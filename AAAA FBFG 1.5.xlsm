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FB" defaultThemeVersion="166925"/>
  <mc:AlternateContent xmlns:mc="http://schemas.openxmlformats.org/markup-compatibility/2006">
    <mc:Choice Requires="x15">
      <x15ac:absPath xmlns:x15ac="http://schemas.microsoft.com/office/spreadsheetml/2010/11/ac" url="D:\Users\Zeger\Desktop\to sort\"/>
    </mc:Choice>
  </mc:AlternateContent>
  <xr:revisionPtr revIDLastSave="0" documentId="8_{01504B44-0949-4914-A231-220DEF39A945}" xr6:coauthVersionLast="40" xr6:coauthVersionMax="40" xr10:uidLastSave="{00000000-0000-0000-0000-000000000000}"/>
  <bookViews>
    <workbookView xWindow="0" yWindow="0" windowWidth="12285" windowHeight="5790" firstSheet="5" activeTab="7" xr2:uid="{85B104C5-DFB3-47D1-A320-56E0C7F9712C}"/>
  </bookViews>
  <sheets>
    <sheet name="FGTemplate" sheetId="18" state="hidden" r:id="rId1"/>
    <sheet name="Verantwoordelijkheden " sheetId="3" r:id="rId2"/>
    <sheet name="Competentie matrix " sheetId="8" state="hidden" r:id="rId3"/>
    <sheet name="Functietitels" sheetId="5" r:id="rId4"/>
    <sheet name="Waarden " sheetId="6" r:id="rId5"/>
    <sheet name="Kennis &amp; Ervaring" sheetId="56" r:id="rId6"/>
    <sheet name="ResultaatGerichte Acties RGA " sheetId="7" r:id="rId7"/>
    <sheet name="Language" sheetId="57" r:id="rId8"/>
    <sheet name="FBTemplate" sheetId="54" state="hidden" r:id="rId9"/>
    <sheet name="Competenties Profile Builder " sheetId="1" r:id="rId10"/>
  </sheets>
  <functionGroups builtInGroupCount="19"/>
  <definedNames>
    <definedName name="_xlnm._FilterDatabase" localSheetId="9" hidden="1">'Competenties Profile Builder '!$A$1:$I$386</definedName>
    <definedName name="_xlnm._FilterDatabase" localSheetId="1" hidden="1">'Verantwoordelijkheden '!$A$1:$G$614</definedName>
    <definedName name="_GoBack" localSheetId="9">'Competenties Profile Builder '!$I$162</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89" i="1" l="1"/>
  <c r="A389" i="1"/>
  <c r="B388" i="1"/>
  <c r="A388" i="1"/>
  <c r="B387" i="1"/>
  <c r="A387" i="1"/>
  <c r="B386" i="1"/>
  <c r="A386" i="1"/>
  <c r="B385" i="1"/>
  <c r="A385" i="1"/>
  <c r="B384" i="1"/>
  <c r="A384" i="1"/>
  <c r="B383" i="1"/>
  <c r="A383" i="1"/>
  <c r="B382" i="1"/>
  <c r="A382" i="1"/>
  <c r="B381" i="1"/>
  <c r="A381" i="1"/>
  <c r="B380" i="1"/>
  <c r="A380" i="1"/>
  <c r="B379" i="1"/>
  <c r="A379" i="1"/>
  <c r="B378" i="1"/>
  <c r="A378" i="1"/>
  <c r="B377" i="1"/>
  <c r="A377" i="1"/>
  <c r="B376" i="1"/>
  <c r="A376" i="1"/>
  <c r="B375" i="1"/>
  <c r="A375" i="1"/>
  <c r="B374" i="1"/>
  <c r="A374" i="1"/>
  <c r="B373" i="1"/>
  <c r="A373" i="1"/>
  <c r="B372" i="1"/>
  <c r="A372" i="1"/>
  <c r="B371" i="1"/>
  <c r="A371" i="1"/>
  <c r="B370" i="1"/>
  <c r="A370" i="1"/>
  <c r="B369" i="1"/>
  <c r="A369" i="1"/>
  <c r="B368" i="1"/>
  <c r="A368" i="1"/>
  <c r="B367" i="1"/>
  <c r="A367" i="1"/>
  <c r="B366" i="1"/>
  <c r="A366" i="1"/>
  <c r="B365" i="1"/>
  <c r="A365" i="1"/>
  <c r="B364" i="1"/>
  <c r="A364" i="1"/>
  <c r="B363" i="1"/>
  <c r="A363" i="1"/>
  <c r="B362" i="1"/>
  <c r="A362" i="1"/>
  <c r="B361" i="1"/>
  <c r="A361" i="1"/>
  <c r="B360" i="1"/>
  <c r="A360" i="1"/>
  <c r="B359" i="1"/>
  <c r="A359" i="1"/>
  <c r="B358" i="1"/>
  <c r="A358" i="1"/>
  <c r="B357" i="1"/>
  <c r="A357" i="1"/>
  <c r="B356" i="1"/>
  <c r="A356" i="1"/>
  <c r="B355" i="1"/>
  <c r="A355" i="1"/>
  <c r="B354" i="1"/>
  <c r="A354" i="1"/>
  <c r="B353" i="1"/>
  <c r="A353" i="1"/>
  <c r="B352" i="1"/>
  <c r="A352" i="1"/>
  <c r="B351" i="1"/>
  <c r="A351" i="1"/>
  <c r="B350" i="1"/>
  <c r="A350" i="1"/>
  <c r="B349" i="1"/>
  <c r="A349" i="1"/>
  <c r="B348" i="1"/>
  <c r="A348" i="1"/>
  <c r="B347" i="1"/>
  <c r="A347" i="1"/>
  <c r="B346" i="1"/>
  <c r="A346" i="1"/>
  <c r="B345" i="1"/>
  <c r="A345" i="1"/>
  <c r="B344" i="1"/>
  <c r="A344" i="1"/>
  <c r="B343" i="1"/>
  <c r="A343" i="1"/>
  <c r="B342" i="1"/>
  <c r="A342" i="1"/>
  <c r="B341" i="1"/>
  <c r="A341" i="1"/>
  <c r="B340" i="1"/>
  <c r="A340" i="1"/>
  <c r="B339" i="1"/>
  <c r="A339" i="1"/>
  <c r="B338" i="1"/>
  <c r="A338" i="1"/>
  <c r="B337" i="1"/>
  <c r="A337" i="1"/>
  <c r="B336" i="1"/>
  <c r="A336" i="1"/>
  <c r="B335" i="1"/>
  <c r="A335" i="1"/>
  <c r="B334" i="1"/>
  <c r="A334" i="1"/>
  <c r="B333" i="1"/>
  <c r="A333" i="1"/>
  <c r="B332" i="1"/>
  <c r="A332" i="1"/>
  <c r="B331" i="1"/>
  <c r="A331" i="1"/>
  <c r="B330" i="1"/>
  <c r="A330" i="1"/>
  <c r="B329" i="1"/>
  <c r="A329" i="1"/>
  <c r="B328" i="1"/>
  <c r="A328" i="1"/>
  <c r="B327" i="1"/>
  <c r="A327" i="1"/>
  <c r="B326" i="1"/>
  <c r="A326" i="1"/>
  <c r="B325" i="1"/>
  <c r="A325" i="1"/>
  <c r="B324" i="1"/>
  <c r="A324" i="1"/>
  <c r="B323" i="1"/>
  <c r="A323" i="1"/>
  <c r="B322" i="1"/>
  <c r="A322" i="1"/>
  <c r="B321" i="1"/>
  <c r="A321" i="1"/>
  <c r="B320" i="1"/>
  <c r="A320" i="1"/>
  <c r="B319" i="1"/>
  <c r="A319" i="1"/>
  <c r="B318" i="1"/>
  <c r="A318" i="1"/>
  <c r="B317" i="1"/>
  <c r="A317" i="1"/>
  <c r="B316" i="1"/>
  <c r="A316" i="1"/>
  <c r="B315" i="1"/>
  <c r="A315" i="1"/>
  <c r="B314" i="1"/>
  <c r="A314" i="1"/>
  <c r="B313" i="1"/>
  <c r="A313" i="1"/>
  <c r="B312" i="1"/>
  <c r="A312" i="1"/>
  <c r="B311" i="1"/>
  <c r="A311" i="1"/>
  <c r="B310" i="1"/>
  <c r="A310" i="1"/>
  <c r="B309" i="1"/>
  <c r="A309" i="1"/>
  <c r="B308" i="1"/>
  <c r="A308" i="1"/>
  <c r="B307" i="1"/>
  <c r="A307" i="1"/>
  <c r="B306" i="1"/>
  <c r="A306" i="1"/>
  <c r="B305" i="1"/>
  <c r="A305" i="1"/>
  <c r="B304" i="1"/>
  <c r="A304" i="1"/>
  <c r="B303" i="1"/>
  <c r="A303" i="1"/>
  <c r="B302" i="1"/>
  <c r="A302" i="1"/>
  <c r="B301" i="1"/>
  <c r="A301" i="1"/>
  <c r="B300" i="1"/>
  <c r="A300" i="1"/>
  <c r="B299" i="1"/>
  <c r="A299" i="1"/>
  <c r="B298" i="1"/>
  <c r="A298" i="1"/>
  <c r="B297" i="1"/>
  <c r="A297" i="1"/>
  <c r="B296" i="1"/>
  <c r="A296" i="1"/>
  <c r="B295" i="1"/>
  <c r="A295" i="1"/>
  <c r="B294" i="1"/>
  <c r="A294" i="1"/>
  <c r="B293" i="1"/>
  <c r="A293" i="1"/>
  <c r="B292" i="1"/>
  <c r="A292" i="1"/>
  <c r="B291" i="1"/>
  <c r="A291" i="1"/>
  <c r="B290" i="1"/>
  <c r="A290" i="1"/>
  <c r="B289" i="1"/>
  <c r="A289" i="1"/>
  <c r="B288" i="1"/>
  <c r="A288" i="1"/>
  <c r="B287" i="1"/>
  <c r="A287" i="1"/>
  <c r="B286" i="1"/>
  <c r="A286" i="1"/>
  <c r="B285" i="1"/>
  <c r="A285" i="1"/>
  <c r="B284" i="1"/>
  <c r="A284" i="1"/>
  <c r="B283" i="1"/>
  <c r="A283" i="1"/>
  <c r="B282" i="1"/>
  <c r="A282" i="1"/>
  <c r="B281" i="1"/>
  <c r="A281" i="1"/>
  <c r="B280" i="1"/>
  <c r="A280" i="1"/>
  <c r="B279" i="1"/>
  <c r="A279" i="1"/>
  <c r="B278" i="1"/>
  <c r="A278" i="1"/>
  <c r="B277" i="1"/>
  <c r="A277" i="1"/>
  <c r="B276" i="1"/>
  <c r="A276" i="1"/>
  <c r="B275" i="1"/>
  <c r="A275" i="1"/>
  <c r="B274" i="1"/>
  <c r="A274" i="1"/>
  <c r="B273" i="1"/>
  <c r="A273" i="1"/>
  <c r="B272" i="1"/>
  <c r="A272" i="1"/>
  <c r="B271" i="1"/>
  <c r="A271" i="1"/>
  <c r="B270" i="1"/>
  <c r="A270" i="1"/>
  <c r="B269" i="1"/>
  <c r="A269" i="1"/>
  <c r="B268" i="1"/>
  <c r="A268" i="1"/>
  <c r="B267" i="1"/>
  <c r="A267" i="1"/>
  <c r="B266" i="1"/>
  <c r="A266" i="1"/>
  <c r="B265" i="1"/>
  <c r="A265" i="1"/>
  <c r="B264" i="1"/>
  <c r="A264" i="1"/>
  <c r="B263" i="1"/>
  <c r="A263" i="1"/>
  <c r="B262" i="1"/>
  <c r="A262" i="1"/>
  <c r="B261" i="1"/>
  <c r="A261" i="1"/>
  <c r="B260" i="1"/>
  <c r="A260" i="1"/>
  <c r="B259" i="1"/>
  <c r="A259" i="1"/>
  <c r="B258" i="1"/>
  <c r="A258" i="1"/>
  <c r="B257" i="1"/>
  <c r="A257" i="1"/>
  <c r="B256" i="1"/>
  <c r="A256" i="1"/>
  <c r="B255" i="1"/>
  <c r="A255" i="1"/>
  <c r="B254" i="1"/>
  <c r="A254" i="1"/>
  <c r="B253" i="1"/>
  <c r="A253" i="1"/>
  <c r="B252" i="1"/>
  <c r="A252" i="1"/>
  <c r="B251" i="1"/>
  <c r="A251" i="1"/>
  <c r="B250" i="1"/>
  <c r="A250" i="1"/>
  <c r="B249" i="1"/>
  <c r="A249" i="1"/>
  <c r="B248" i="1"/>
  <c r="A248" i="1"/>
  <c r="B247" i="1"/>
  <c r="A247" i="1"/>
  <c r="B246" i="1"/>
  <c r="A246" i="1"/>
  <c r="B245" i="1"/>
  <c r="A245" i="1"/>
  <c r="B244" i="1"/>
  <c r="A244" i="1"/>
  <c r="B243" i="1"/>
  <c r="A243" i="1"/>
  <c r="B242" i="1"/>
  <c r="A242" i="1"/>
  <c r="B241" i="1"/>
  <c r="A241" i="1"/>
  <c r="B240" i="1"/>
  <c r="A240" i="1"/>
  <c r="B239" i="1"/>
  <c r="A239" i="1"/>
  <c r="B238" i="1"/>
  <c r="A238" i="1"/>
  <c r="B237" i="1"/>
  <c r="A237" i="1"/>
  <c r="B236" i="1"/>
  <c r="A236" i="1"/>
  <c r="B235" i="1"/>
  <c r="A235" i="1"/>
  <c r="B234" i="1"/>
  <c r="A234" i="1"/>
  <c r="B233" i="1"/>
  <c r="A233" i="1"/>
  <c r="B232" i="1"/>
  <c r="A232" i="1"/>
  <c r="B231" i="1"/>
  <c r="A231" i="1"/>
  <c r="B230" i="1"/>
  <c r="A230" i="1"/>
  <c r="B229" i="1"/>
  <c r="A229" i="1"/>
  <c r="B228" i="1"/>
  <c r="A228" i="1"/>
  <c r="B227" i="1"/>
  <c r="A227" i="1"/>
  <c r="B226" i="1"/>
  <c r="A226" i="1"/>
  <c r="B225" i="1"/>
  <c r="A225" i="1"/>
  <c r="B224" i="1"/>
  <c r="A224" i="1"/>
  <c r="B223" i="1"/>
  <c r="A223" i="1"/>
  <c r="B222" i="1"/>
  <c r="A222" i="1"/>
  <c r="B221" i="1"/>
  <c r="A221" i="1"/>
  <c r="B220" i="1"/>
  <c r="A220" i="1"/>
  <c r="B219" i="1"/>
  <c r="A219" i="1"/>
  <c r="B218" i="1"/>
  <c r="A218" i="1"/>
  <c r="B217" i="1"/>
  <c r="A217" i="1"/>
  <c r="B216" i="1"/>
  <c r="A216" i="1"/>
  <c r="B215" i="1"/>
  <c r="A215" i="1"/>
  <c r="B214" i="1"/>
  <c r="A214" i="1"/>
  <c r="B213" i="1"/>
  <c r="A213" i="1"/>
  <c r="B212" i="1"/>
  <c r="A212" i="1"/>
  <c r="B211" i="1"/>
  <c r="A211" i="1"/>
  <c r="B210" i="1"/>
  <c r="A210" i="1"/>
  <c r="B209" i="1"/>
  <c r="A209" i="1"/>
  <c r="B208" i="1"/>
  <c r="A208" i="1"/>
  <c r="B207" i="1"/>
  <c r="A207" i="1"/>
  <c r="B206" i="1"/>
  <c r="A206" i="1"/>
  <c r="B205" i="1"/>
  <c r="A205" i="1"/>
  <c r="B204" i="1"/>
  <c r="A204" i="1"/>
  <c r="B203" i="1"/>
  <c r="A203" i="1"/>
  <c r="B202" i="1"/>
  <c r="A202" i="1"/>
  <c r="B201" i="1"/>
  <c r="A201" i="1"/>
  <c r="B200" i="1"/>
  <c r="A200" i="1"/>
  <c r="B199" i="1"/>
  <c r="A199" i="1"/>
  <c r="B198" i="1"/>
  <c r="A198" i="1"/>
  <c r="B197" i="1"/>
  <c r="A197" i="1"/>
  <c r="B196" i="1"/>
  <c r="A196" i="1"/>
  <c r="B195" i="1"/>
  <c r="A195" i="1"/>
  <c r="B194" i="1"/>
  <c r="A194" i="1"/>
  <c r="B193" i="1"/>
  <c r="A193" i="1"/>
  <c r="B192" i="1"/>
  <c r="A192" i="1"/>
  <c r="B191" i="1"/>
  <c r="A191" i="1"/>
  <c r="B190" i="1"/>
  <c r="A190" i="1"/>
  <c r="B189" i="1"/>
  <c r="A189" i="1"/>
  <c r="B188" i="1"/>
  <c r="A188" i="1"/>
  <c r="B187" i="1"/>
  <c r="A187" i="1"/>
  <c r="B186" i="1"/>
  <c r="A186" i="1"/>
  <c r="B185" i="1"/>
  <c r="A185" i="1"/>
  <c r="B184" i="1"/>
  <c r="A184" i="1"/>
  <c r="B183" i="1"/>
  <c r="A183" i="1"/>
  <c r="B182" i="1"/>
  <c r="A182" i="1"/>
  <c r="B181" i="1"/>
  <c r="A181" i="1"/>
  <c r="B180" i="1"/>
  <c r="A180" i="1"/>
  <c r="B179" i="1"/>
  <c r="A179" i="1"/>
  <c r="B178" i="1"/>
  <c r="A178" i="1"/>
  <c r="B177" i="1"/>
  <c r="A177" i="1"/>
  <c r="B176" i="1"/>
  <c r="A176" i="1"/>
  <c r="B175" i="1"/>
  <c r="A175" i="1"/>
  <c r="B174" i="1"/>
  <c r="A174" i="1"/>
  <c r="B173" i="1"/>
  <c r="A173" i="1"/>
  <c r="B172" i="1"/>
  <c r="A172" i="1"/>
  <c r="B171" i="1"/>
  <c r="A171" i="1"/>
  <c r="B170" i="1"/>
  <c r="A170" i="1"/>
  <c r="B169" i="1"/>
  <c r="A169" i="1"/>
  <c r="B168" i="1"/>
  <c r="A168" i="1"/>
  <c r="B167" i="1"/>
  <c r="A167" i="1"/>
  <c r="B166" i="1"/>
  <c r="A166" i="1"/>
  <c r="B165" i="1"/>
  <c r="A165" i="1"/>
  <c r="B164" i="1"/>
  <c r="A164" i="1"/>
  <c r="B163" i="1"/>
  <c r="A163" i="1"/>
  <c r="B162" i="1"/>
  <c r="A162" i="1"/>
  <c r="B161" i="1"/>
  <c r="A161" i="1"/>
  <c r="B160" i="1"/>
  <c r="A160" i="1"/>
  <c r="B159" i="1"/>
  <c r="A159" i="1"/>
  <c r="B158" i="1"/>
  <c r="A158" i="1"/>
  <c r="B157" i="1"/>
  <c r="A157" i="1"/>
  <c r="B156" i="1"/>
  <c r="A156" i="1"/>
  <c r="B155" i="1"/>
  <c r="A155" i="1"/>
  <c r="B154" i="1"/>
  <c r="A154" i="1"/>
  <c r="B153" i="1"/>
  <c r="A153" i="1"/>
  <c r="B152" i="1"/>
  <c r="A152" i="1"/>
  <c r="B151" i="1"/>
  <c r="A151" i="1"/>
  <c r="B150" i="1"/>
  <c r="A150" i="1"/>
  <c r="B149" i="1"/>
  <c r="A149" i="1"/>
  <c r="B148" i="1"/>
  <c r="A148" i="1"/>
  <c r="B147" i="1"/>
  <c r="A147" i="1"/>
  <c r="B146" i="1"/>
  <c r="A146" i="1"/>
  <c r="B145" i="1"/>
  <c r="A145" i="1"/>
  <c r="B144" i="1"/>
  <c r="A144" i="1"/>
  <c r="B143" i="1"/>
  <c r="A143" i="1"/>
  <c r="B142" i="1"/>
  <c r="A142" i="1"/>
  <c r="B141" i="1"/>
  <c r="A141" i="1"/>
  <c r="B140" i="1"/>
  <c r="A140" i="1"/>
  <c r="B139" i="1"/>
  <c r="A139" i="1"/>
  <c r="B138" i="1"/>
  <c r="A138" i="1"/>
  <c r="B137" i="1"/>
  <c r="A137" i="1"/>
  <c r="B136" i="1"/>
  <c r="A136" i="1"/>
  <c r="B135" i="1"/>
  <c r="A135" i="1"/>
  <c r="B134" i="1"/>
  <c r="A134" i="1"/>
  <c r="B133" i="1"/>
  <c r="A133" i="1"/>
  <c r="B132" i="1"/>
  <c r="A132" i="1"/>
  <c r="B131" i="1"/>
  <c r="A131" i="1"/>
  <c r="B130" i="1"/>
  <c r="A130" i="1"/>
  <c r="B129" i="1"/>
  <c r="A129" i="1"/>
  <c r="B128" i="1"/>
  <c r="A128" i="1"/>
  <c r="B127" i="1"/>
  <c r="A127" i="1"/>
  <c r="B126" i="1"/>
  <c r="A126" i="1"/>
  <c r="B125" i="1"/>
  <c r="A125" i="1"/>
  <c r="B124" i="1"/>
  <c r="A124" i="1"/>
  <c r="B123" i="1"/>
  <c r="A123" i="1"/>
  <c r="B122" i="1"/>
  <c r="A122" i="1"/>
  <c r="B121" i="1"/>
  <c r="A121" i="1"/>
  <c r="B120" i="1"/>
  <c r="A120" i="1"/>
  <c r="B119" i="1"/>
  <c r="A119" i="1"/>
  <c r="B118" i="1"/>
  <c r="A118" i="1"/>
  <c r="B117" i="1"/>
  <c r="A117" i="1"/>
  <c r="B116" i="1"/>
  <c r="A116" i="1"/>
  <c r="B115" i="1"/>
  <c r="A115" i="1"/>
  <c r="B114" i="1"/>
  <c r="A114" i="1"/>
  <c r="B113" i="1"/>
  <c r="A113" i="1"/>
  <c r="B112" i="1"/>
  <c r="A112" i="1"/>
  <c r="B111" i="1"/>
  <c r="A111" i="1"/>
  <c r="B110" i="1"/>
  <c r="A110" i="1"/>
  <c r="B109" i="1"/>
  <c r="A109" i="1"/>
  <c r="B108" i="1"/>
  <c r="A108" i="1"/>
  <c r="B107" i="1"/>
  <c r="A107" i="1"/>
  <c r="B106" i="1"/>
  <c r="A106" i="1"/>
  <c r="B105" i="1"/>
  <c r="A105" i="1"/>
  <c r="B104" i="1"/>
  <c r="A104" i="1"/>
  <c r="B103" i="1"/>
  <c r="A103" i="1"/>
  <c r="B102" i="1"/>
  <c r="A102" i="1"/>
  <c r="B101" i="1"/>
  <c r="A101" i="1"/>
  <c r="B100" i="1"/>
  <c r="A100" i="1"/>
  <c r="B99" i="1"/>
  <c r="A99" i="1"/>
  <c r="B98" i="1"/>
  <c r="A98" i="1"/>
  <c r="B97" i="1"/>
  <c r="A97" i="1"/>
  <c r="B96" i="1"/>
  <c r="A96" i="1"/>
  <c r="B95" i="1"/>
  <c r="A95" i="1"/>
  <c r="B94" i="1"/>
  <c r="A94" i="1"/>
  <c r="B93" i="1"/>
  <c r="A93" i="1"/>
  <c r="B92" i="1"/>
  <c r="A92" i="1"/>
  <c r="B91" i="1"/>
  <c r="A91" i="1"/>
  <c r="B90" i="1"/>
  <c r="A90" i="1"/>
  <c r="B89" i="1"/>
  <c r="A89" i="1"/>
  <c r="B88" i="1"/>
  <c r="A88" i="1"/>
  <c r="B87" i="1"/>
  <c r="A87" i="1"/>
  <c r="B86" i="1"/>
  <c r="A86" i="1"/>
  <c r="B85" i="1"/>
  <c r="A85" i="1"/>
  <c r="B84" i="1"/>
  <c r="A84" i="1"/>
  <c r="B83" i="1"/>
  <c r="A83" i="1"/>
  <c r="B82" i="1"/>
  <c r="A82" i="1"/>
  <c r="B81" i="1"/>
  <c r="A81" i="1"/>
  <c r="B80" i="1"/>
  <c r="A80" i="1"/>
  <c r="B79" i="1"/>
  <c r="A79" i="1"/>
  <c r="B78" i="1"/>
  <c r="A78" i="1"/>
  <c r="B77" i="1"/>
  <c r="A77" i="1"/>
  <c r="B76" i="1"/>
  <c r="A76" i="1"/>
  <c r="B75" i="1"/>
  <c r="A75" i="1"/>
  <c r="B74" i="1"/>
  <c r="A74" i="1"/>
  <c r="B73" i="1"/>
  <c r="A73" i="1"/>
  <c r="B72" i="1"/>
  <c r="A72" i="1"/>
  <c r="B71" i="1"/>
  <c r="A71" i="1"/>
  <c r="B70" i="1"/>
  <c r="A70" i="1"/>
  <c r="B69" i="1"/>
  <c r="A69" i="1"/>
  <c r="B68" i="1"/>
  <c r="A68" i="1"/>
  <c r="B67" i="1"/>
  <c r="A67" i="1"/>
  <c r="B66" i="1"/>
  <c r="A66" i="1"/>
  <c r="B65" i="1"/>
  <c r="A65" i="1"/>
  <c r="B64" i="1"/>
  <c r="A64" i="1"/>
  <c r="B63" i="1"/>
  <c r="A63" i="1"/>
  <c r="B62" i="1"/>
  <c r="A62" i="1"/>
  <c r="B61" i="1"/>
  <c r="A61" i="1"/>
  <c r="B60" i="1"/>
  <c r="A60" i="1"/>
  <c r="B59" i="1"/>
  <c r="A59" i="1"/>
  <c r="B58" i="1"/>
  <c r="A58" i="1"/>
  <c r="B57" i="1"/>
  <c r="A57" i="1"/>
  <c r="B56" i="1"/>
  <c r="A56" i="1"/>
  <c r="B55" i="1"/>
  <c r="A55" i="1"/>
  <c r="B54" i="1"/>
  <c r="A54" i="1"/>
  <c r="B53" i="1"/>
  <c r="A53" i="1"/>
  <c r="B52" i="1"/>
  <c r="A52" i="1"/>
  <c r="B51" i="1"/>
  <c r="A51" i="1"/>
  <c r="B50" i="1"/>
  <c r="A50" i="1"/>
  <c r="B49" i="1"/>
  <c r="A49" i="1"/>
  <c r="B48" i="1"/>
  <c r="A48" i="1"/>
  <c r="B47" i="1"/>
  <c r="A47" i="1"/>
  <c r="B46" i="1"/>
  <c r="A46" i="1"/>
  <c r="B45" i="1"/>
  <c r="A45" i="1"/>
  <c r="B44" i="1"/>
  <c r="A44" i="1"/>
  <c r="B43" i="1"/>
  <c r="A43" i="1"/>
  <c r="B42" i="1"/>
  <c r="A42" i="1"/>
  <c r="B41" i="1"/>
  <c r="A41" i="1"/>
  <c r="B40" i="1"/>
  <c r="A40" i="1"/>
  <c r="B39" i="1"/>
  <c r="A39" i="1"/>
  <c r="B38" i="1"/>
  <c r="A38" i="1"/>
  <c r="B37" i="1"/>
  <c r="A37" i="1"/>
  <c r="B36" i="1"/>
  <c r="A36" i="1"/>
  <c r="B35" i="1"/>
  <c r="A35" i="1"/>
  <c r="B34" i="1"/>
  <c r="A34" i="1"/>
  <c r="B33" i="1"/>
  <c r="A33" i="1"/>
  <c r="B32" i="1"/>
  <c r="A32" i="1"/>
  <c r="B31" i="1"/>
  <c r="A31" i="1"/>
  <c r="B30" i="1"/>
  <c r="A30" i="1"/>
  <c r="B29" i="1"/>
  <c r="A29" i="1"/>
  <c r="B28" i="1"/>
  <c r="A28" i="1"/>
  <c r="B27" i="1"/>
  <c r="A27" i="1"/>
  <c r="B26" i="1"/>
  <c r="A26" i="1"/>
  <c r="B25" i="1"/>
  <c r="A25" i="1"/>
  <c r="B24" i="1"/>
  <c r="A24" i="1"/>
  <c r="B23" i="1"/>
  <c r="A23" i="1"/>
  <c r="B22" i="1"/>
  <c r="A22" i="1"/>
  <c r="B21" i="1"/>
  <c r="A21" i="1"/>
  <c r="B20" i="1"/>
  <c r="A20" i="1"/>
  <c r="B19" i="1"/>
  <c r="A19" i="1"/>
  <c r="B18" i="1"/>
  <c r="A18" i="1"/>
  <c r="B17" i="1"/>
  <c r="A17" i="1"/>
  <c r="B16" i="1"/>
  <c r="A16" i="1"/>
  <c r="B15" i="1"/>
  <c r="A15" i="1"/>
  <c r="B14" i="1"/>
  <c r="A14" i="1"/>
  <c r="B13" i="1"/>
  <c r="A13" i="1"/>
  <c r="B12" i="1"/>
  <c r="A12" i="1"/>
  <c r="B11" i="1"/>
  <c r="A11" i="1"/>
  <c r="B10" i="1"/>
  <c r="A10" i="1"/>
  <c r="B9" i="1"/>
  <c r="A9" i="1"/>
  <c r="B8" i="1"/>
  <c r="A8" i="1"/>
  <c r="B7" i="1"/>
  <c r="A7" i="1"/>
  <c r="B6" i="1"/>
  <c r="A6" i="1"/>
  <c r="B5" i="1"/>
  <c r="A5" i="1"/>
  <c r="B4" i="1"/>
  <c r="A4" i="1"/>
  <c r="B3" i="1"/>
  <c r="A3" i="1"/>
  <c r="B2" i="1"/>
  <c r="A2" i="1"/>
  <c r="A147" i="54"/>
  <c r="C36" i="5"/>
  <c r="C37" i="5" s="1"/>
  <c r="C35" i="5" s="1"/>
  <c r="C39" i="5" s="1"/>
  <c r="C40" i="5" s="1"/>
  <c r="C34" i="5"/>
  <c r="C30" i="5"/>
  <c r="C31" i="5" s="1"/>
  <c r="C32" i="5" s="1"/>
  <c r="C33" i="5" s="1"/>
  <c r="C28" i="5"/>
  <c r="C29" i="5" s="1"/>
  <c r="C27" i="5"/>
  <c r="C25" i="5"/>
  <c r="C26" i="5" s="1"/>
  <c r="C24" i="5"/>
  <c r="C23" i="5"/>
  <c r="C17" i="5"/>
  <c r="C18" i="5" s="1"/>
  <c r="C16" i="5"/>
  <c r="C14" i="5"/>
  <c r="C15" i="5" s="1"/>
  <c r="C13" i="5"/>
  <c r="C8" i="5"/>
  <c r="C9" i="5" s="1"/>
  <c r="C11" i="5" s="1"/>
  <c r="C12" i="5" s="1"/>
  <c r="C7" i="5"/>
  <c r="C6" i="5"/>
  <c r="C29" i="8"/>
  <c r="B29" i="8"/>
  <c r="C28" i="8"/>
  <c r="B28" i="8"/>
  <c r="C27" i="8"/>
  <c r="B27" i="8"/>
  <c r="C26" i="8"/>
  <c r="B26" i="8"/>
  <c r="C25" i="8"/>
  <c r="B25" i="8"/>
  <c r="C24" i="8"/>
  <c r="B24" i="8"/>
  <c r="C23" i="8"/>
  <c r="B23" i="8"/>
  <c r="C22" i="8"/>
  <c r="B22" i="8"/>
  <c r="C21" i="8"/>
  <c r="B21" i="8"/>
  <c r="C20" i="8"/>
  <c r="B20" i="8"/>
  <c r="C19" i="8"/>
  <c r="B19" i="8"/>
  <c r="C18" i="8"/>
  <c r="B18" i="8"/>
  <c r="C17" i="8"/>
  <c r="B17" i="8"/>
  <c r="C16" i="8"/>
  <c r="B16" i="8"/>
  <c r="C15" i="8"/>
  <c r="B15" i="8"/>
  <c r="C14" i="8"/>
  <c r="B14" i="8"/>
  <c r="C13" i="8"/>
  <c r="B13" i="8"/>
  <c r="C12" i="8"/>
  <c r="B12" i="8"/>
  <c r="C11" i="8"/>
  <c r="B11" i="8"/>
  <c r="C10" i="8"/>
  <c r="B10" i="8"/>
  <c r="C9" i="8"/>
  <c r="B9" i="8"/>
  <c r="C8" i="8"/>
  <c r="B8" i="8"/>
  <c r="C7" i="8"/>
  <c r="B7" i="8"/>
  <c r="C6" i="8"/>
  <c r="B6" i="8"/>
  <c r="C5" i="8"/>
  <c r="B5" i="8"/>
  <c r="C4" i="8"/>
  <c r="B4" i="8"/>
  <c r="A502" i="3"/>
  <c r="A503" i="3" s="1"/>
  <c r="A504" i="3" s="1"/>
  <c r="A505" i="3" s="1"/>
  <c r="A506" i="3" s="1"/>
  <c r="A507" i="3" s="1"/>
  <c r="A508" i="3" s="1"/>
  <c r="A509" i="3" s="1"/>
  <c r="A510" i="3" s="1"/>
  <c r="A511" i="3" s="1"/>
  <c r="A512" i="3" s="1"/>
  <c r="A513" i="3" s="1"/>
  <c r="A514" i="3" s="1"/>
  <c r="A345" i="3"/>
  <c r="A346" i="3" s="1"/>
  <c r="A347" i="3" s="1"/>
  <c r="A348" i="3" s="1"/>
  <c r="A349" i="3" s="1"/>
  <c r="A350" i="3" s="1"/>
  <c r="A351" i="3" s="1"/>
  <c r="A352" i="3" s="1"/>
  <c r="A353" i="3" s="1"/>
  <c r="A354" i="3" s="1"/>
  <c r="A355" i="3" s="1"/>
  <c r="A339" i="3"/>
  <c r="A340" i="3" s="1"/>
  <c r="A341" i="3" s="1"/>
  <c r="A342" i="3" s="1"/>
  <c r="A343" i="3" s="1"/>
  <c r="A332" i="3"/>
  <c r="A333" i="3" s="1"/>
  <c r="A334" i="3" s="1"/>
  <c r="A335" i="3" s="1"/>
  <c r="A336" i="3" s="1"/>
  <c r="A337" i="3" s="1"/>
  <c r="A324" i="3"/>
  <c r="A325" i="3" s="1"/>
  <c r="A326" i="3" s="1"/>
  <c r="A327" i="3" s="1"/>
  <c r="A328" i="3" s="1"/>
  <c r="A329" i="3" s="1"/>
  <c r="A330" i="3" s="1"/>
  <c r="A67" i="3"/>
  <c r="A68" i="3" s="1"/>
  <c r="A69" i="3" s="1"/>
  <c r="A70" i="3" s="1"/>
  <c r="A71" i="3" s="1"/>
  <c r="A147" i="18"/>
  <c r="C10" i="5" l="1"/>
  <c r="C38" i="5"/>
  <c r="C20" i="5"/>
  <c r="C21" i="5" s="1"/>
  <c r="C22" i="5" s="1"/>
  <c r="C1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Ariadne</author>
  </authors>
  <commentList>
    <comment ref="G1" authorId="0" shapeId="0" xr:uid="{3D0077EE-453E-4DEC-9B19-DEDC96DAAB72}">
      <text>
        <r>
          <rPr>
            <b/>
            <sz val="12"/>
            <color indexed="81"/>
            <rFont val="Tahoma"/>
            <family val="2"/>
          </rPr>
          <t>Ariadne:</t>
        </r>
        <r>
          <rPr>
            <sz val="12"/>
            <color indexed="81"/>
            <rFont val="Tahoma"/>
            <family val="2"/>
          </rPr>
          <t xml:space="preserve">
Kies uit blad "functietitel" kolom A met =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Ariadne</author>
  </authors>
  <commentList>
    <comment ref="A1" authorId="0" shapeId="0" xr:uid="{DB13D93C-08C7-4298-AD15-FBC0824ACC7A}">
      <text>
        <r>
          <rPr>
            <b/>
            <sz val="12"/>
            <color indexed="81"/>
            <rFont val="Tahoma"/>
            <family val="2"/>
          </rPr>
          <t>Ariadne:</t>
        </r>
        <r>
          <rPr>
            <sz val="12"/>
            <color indexed="81"/>
            <rFont val="Tahoma"/>
            <family val="2"/>
          </rPr>
          <t xml:space="preserve">
Kies uit blad "functietitels" kolom A </t>
        </r>
      </text>
    </comment>
    <comment ref="B1" authorId="0" shapeId="0" xr:uid="{56505165-B116-4CF9-A8FE-8F442135484E}">
      <text>
        <r>
          <rPr>
            <b/>
            <sz val="12"/>
            <color indexed="81"/>
            <rFont val="Tahoma"/>
            <family val="2"/>
          </rPr>
          <t>Ariadne:</t>
        </r>
        <r>
          <rPr>
            <sz val="12"/>
            <color indexed="81"/>
            <rFont val="Tahoma"/>
            <family val="2"/>
          </rPr>
          <t xml:space="preserve">
Kies een categorie uit de filter </t>
        </r>
      </text>
    </comment>
    <comment ref="C1" authorId="0" shapeId="0" xr:uid="{F3C07D0E-9AF5-4590-9D40-D0F9D3252F2B}">
      <text>
        <r>
          <rPr>
            <b/>
            <sz val="12"/>
            <color indexed="81"/>
            <rFont val="Tahoma"/>
            <family val="2"/>
          </rPr>
          <t>Ariadne:</t>
        </r>
        <r>
          <rPr>
            <sz val="12"/>
            <color indexed="81"/>
            <rFont val="Tahoma"/>
            <family val="2"/>
          </rPr>
          <t xml:space="preserve">
Kies uit lijst hieronder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Ariadne</author>
  </authors>
  <commentList>
    <comment ref="D5" authorId="0" shapeId="0" xr:uid="{CDDFE88F-BBA5-43E7-9FC9-B2E2855F947F}">
      <text>
        <r>
          <rPr>
            <b/>
            <sz val="12"/>
            <color indexed="81"/>
            <rFont val="Tahoma"/>
            <family val="2"/>
          </rPr>
          <t>Ariadne:</t>
        </r>
        <r>
          <rPr>
            <sz val="12"/>
            <color indexed="81"/>
            <rFont val="Tahoma"/>
            <family val="2"/>
          </rPr>
          <t xml:space="preserve">
Vul profile builder nummers in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Ariadne</author>
  </authors>
  <commentList>
    <comment ref="G1" authorId="0" shapeId="0" xr:uid="{19B01A22-6D81-4E3F-B86B-07BDE51F4BCD}">
      <text>
        <r>
          <rPr>
            <b/>
            <sz val="12"/>
            <color indexed="81"/>
            <rFont val="Tahoma"/>
            <family val="2"/>
          </rPr>
          <t>Ariadne:</t>
        </r>
        <r>
          <rPr>
            <sz val="12"/>
            <color indexed="81"/>
            <rFont val="Tahoma"/>
            <family val="2"/>
          </rPr>
          <t xml:space="preserve">
Kies uit blad "functietitel" kolom A met = </t>
        </r>
      </text>
    </comment>
  </commentList>
</comments>
</file>

<file path=xl/sharedStrings.xml><?xml version="1.0" encoding="utf-8"?>
<sst xmlns="http://schemas.openxmlformats.org/spreadsheetml/2006/main" count="5424" uniqueCount="2709">
  <si>
    <t>Past nieuwe kennis toe en graaft dieper</t>
  </si>
  <si>
    <t>Benut kansen en zet problemen om in kansen</t>
  </si>
  <si>
    <t>Creëert eigen maatstaven voor uitstekende prestaties en verbetert eigen prestaties</t>
  </si>
  <si>
    <t>Houdt zich aan de afspraken en toont zich loyaal</t>
  </si>
  <si>
    <t>Werkt nauwkeurig en controleert eigen werk</t>
  </si>
  <si>
    <t>Werkt ordelijk, systematisch en efficiënt</t>
  </si>
  <si>
    <t>Verbetert de prestaties van anderen en zoekt uitdagingen voor zichzelf en anderen</t>
  </si>
  <si>
    <t>Bewaakt de samenhang van meerdere processen/projecten</t>
  </si>
  <si>
    <t>Maakt kosten-batenanalyses, stelt uitdagende doelen op en werkt efficiënt om ze te behalen</t>
  </si>
  <si>
    <t>Denkt in strategische (toekomstgerichte) termen; legt de link tussen huidige gebeurtenissen, de bedrijfsstrategie en een langetermijnvisie</t>
  </si>
  <si>
    <t>Kiest voor uitdagingen en gaat conflicten niet uit de weg</t>
  </si>
  <si>
    <t>Geeft ruimte en steun aan medewerkers en geeft feedback om te stimuleren</t>
  </si>
  <si>
    <t>Berekent de impact van eigen woorden of acties en gebruikt indirecte invloed</t>
  </si>
  <si>
    <t>Ziet meervoudige relaties in een probleem</t>
  </si>
  <si>
    <t>Begrijpt en handelt naar de informele structuren, het klimaat en de cultuur</t>
  </si>
  <si>
    <t>Stimuleert samenwerking en legt accent op gezamenlijk doel en belang</t>
  </si>
  <si>
    <t>Vat het besprokene helder en to-the-point samen, legt zaken begrijpelijk en stapsgewijs uit</t>
  </si>
  <si>
    <t>Komt met voorstellen ter verbetering van anderen hun werkmethoden.</t>
  </si>
  <si>
    <t>Wijzigt op een specifieke manier de werkmethoden van anderen.</t>
  </si>
  <si>
    <t>Is continu bezig eigen grenzen te verleggen.</t>
  </si>
  <si>
    <t>Toont zich kritisch ten aanzien van eigen prestaties.</t>
  </si>
  <si>
    <t>Tracht zich te ontwikkelen en zwakke punten te verbeteren.</t>
  </si>
  <si>
    <t>Daagt anderen uit om tot hogere prestaties te komen.</t>
  </si>
  <si>
    <t>Geeft duidelijke en opbouwende feedback op geleverde prestaties.</t>
  </si>
  <si>
    <t>Reikt anderen methoden en systemen aan om efficiënt met stress om te gaan.</t>
  </si>
  <si>
    <t>Onderkent tijdig oplopende spanningen.</t>
  </si>
  <si>
    <t>Ziet grote tijdsdruk of problemen aankomen en onderneemt acties om deze terug te dringen.</t>
  </si>
  <si>
    <t>Heeft op voorhand speciale manieren of plannen om met heftige emoties of stress om te gaan.</t>
  </si>
  <si>
    <t>Ondersteunt openlijk de organisatie op een kritische en constructieve manier.</t>
  </si>
  <si>
    <t>Neemt acties om de doelen van de organisatie te ondersteunen.</t>
  </si>
  <si>
    <t>Maakt keuzes, stelt prioriteiten en werkt met anderen samen om de doelen van de organisatie te behalen.</t>
  </si>
  <si>
    <t>Steunt de organisatie openlijk.</t>
  </si>
  <si>
    <t>Is kritisch op voornemens en plannen van het management en brengt dit zodanig naar voren dat het management er baat bij heeft.</t>
  </si>
  <si>
    <t>Laat het belang van de organisatie primeren boven eigen belang.</t>
  </si>
  <si>
    <t>Staat achter beslissingen die voor de gehele organisatie goed zijn, zelfs als ze op korte termijn een minder goed effect hebben.</t>
  </si>
  <si>
    <t>Anticipeert in de planning op interne/externe omgeving en stelt prioriteiten</t>
  </si>
  <si>
    <t>Stelt prioriteiten in een plan van aanpak.</t>
  </si>
  <si>
    <t>Stelt concrete doelen, zowel voor zichzelf als voor anderen.</t>
  </si>
  <si>
    <t>Anticipeert op wijzigingen en ontwikkelingen.</t>
  </si>
  <si>
    <t>Realiseert doelen.</t>
  </si>
  <si>
    <t>Coördineert en stemt doelen van diverse teams/afdelingen/activiteiten op elkaar af.</t>
  </si>
  <si>
    <t>Moedigt anderen aan en zorgt voor teamspirit</t>
  </si>
  <si>
    <t>Geeft openlijk krediet aan anderen die goed hebben gepresteerd.</t>
  </si>
  <si>
    <t>Moedigt anderen aan en geeft ze het gevoel dat ze belangrijk zijn.</t>
  </si>
  <si>
    <t>Reageert actief en op een constructieve wijze op de ideeën van anderen.</t>
  </si>
  <si>
    <t>Past aangeleerde concepten toe en verheldert complexe gegevens of situaties</t>
  </si>
  <si>
    <t>Luistert en stelt vragen</t>
  </si>
  <si>
    <t>Maakt samenvattingen en aansprekende teksten</t>
  </si>
  <si>
    <t>Controleert het werk van anderen en bepaalt acties na analyse van relevante details</t>
  </si>
  <si>
    <t>Accepteert de verwachte flexibiliteit van de organisatie en gaat er effectief mee om</t>
  </si>
  <si>
    <t>Neemt uit zichzelf een standpunt in en oordeelt op basis van alle beschikbare gegevens</t>
  </si>
  <si>
    <t>Vastberadenheid</t>
  </si>
  <si>
    <t>Gedraagt en uit zich optimistisch en is volhardend op korte termijn</t>
  </si>
  <si>
    <t>Procesgerichte dynamiek</t>
  </si>
  <si>
    <t>Sociaalvaardigheid</t>
  </si>
  <si>
    <t>Maakt een goede eerste indruk en legt makkelijk formele contacten</t>
  </si>
  <si>
    <t>Teamgeest</t>
  </si>
  <si>
    <t>Uit positieve verwachtingen over de groep en vraagt om input.</t>
  </si>
  <si>
    <t>Leidinggevende dynamiek</t>
  </si>
  <si>
    <t>Geeft instructies aan medewerkers en geeft grenzen aan</t>
  </si>
  <si>
    <t>Stressbestendigheid</t>
  </si>
  <si>
    <t>Probleemanalyse</t>
  </si>
  <si>
    <t xml:space="preserve">Planning en organisatie </t>
  </si>
  <si>
    <t xml:space="preserve">Overtuigingskracht </t>
  </si>
  <si>
    <t>Ontwikkelingsgerichte dynamiek</t>
  </si>
  <si>
    <t>Ondernemerszin</t>
  </si>
  <si>
    <t xml:space="preserve">Mondelinge communicatie </t>
  </si>
  <si>
    <t xml:space="preserve">Luistervaardigheid </t>
  </si>
  <si>
    <t xml:space="preserve">Loyaliteit </t>
  </si>
  <si>
    <t xml:space="preserve">Leervermogen </t>
  </si>
  <si>
    <t xml:space="preserve">Initiatief </t>
  </si>
  <si>
    <t>Groepsgerichte dynamiek</t>
  </si>
  <si>
    <t>Flexibiliteit</t>
  </si>
  <si>
    <t>Durf</t>
  </si>
  <si>
    <t xml:space="preserve">Creativiteit </t>
  </si>
  <si>
    <t xml:space="preserve">Accuratesse </t>
  </si>
  <si>
    <t xml:space="preserve">Blijft volharden, ook op langere termijn, en onderneemt verschillende acties </t>
  </si>
  <si>
    <t>Visie</t>
  </si>
  <si>
    <t xml:space="preserve">Herkent snel de hoofdlijnen van een probleem of een discussie </t>
  </si>
  <si>
    <t xml:space="preserve">Probleemanalyse </t>
  </si>
  <si>
    <t xml:space="preserve">Besluitvaardigheid </t>
  </si>
  <si>
    <t xml:space="preserve">Neemt tijdig beslissingen </t>
  </si>
  <si>
    <t xml:space="preserve">Neemt lastige beslissingen </t>
  </si>
  <si>
    <t xml:space="preserve">Stelt beslissingen niet onnodig lang uit </t>
  </si>
  <si>
    <t xml:space="preserve">Deelt problemen op en ziet elementaire relaties </t>
  </si>
  <si>
    <t>Maakt complexe plannen of analyses van een probleem en komt met een weloverwogen oordeel</t>
  </si>
  <si>
    <t xml:space="preserve">Maakt een lijst van onderwerpen zonder specifieke prioriteiten te stellen </t>
  </si>
  <si>
    <t>Deelt problemen op</t>
  </si>
  <si>
    <t xml:space="preserve">Legt relaties tussen twee delen </t>
  </si>
  <si>
    <t xml:space="preserve">Kan opdelen in pro's en contra's </t>
  </si>
  <si>
    <t xml:space="preserve">Brengt prioriteiten aan in een lijst van taken of activiteiten </t>
  </si>
  <si>
    <t xml:space="preserve">Stelt vragen zowel in de diepte (één aspect) , als in de breedte (verscheidene aspecten) om een zo eenvoudig beeld te verkrijgen </t>
  </si>
  <si>
    <t xml:space="preserve">Geeft aan welke informatie vereist is voor een goede beeldvorming </t>
  </si>
  <si>
    <t xml:space="preserve">Gebruikt verscheiden analysetechnieken om complexe problemen op te splitsen in samenhangende delen </t>
  </si>
  <si>
    <t>Gebruikt verscheiden analysetechnieken om meerdere oplossingen te identificeren en weegt de waarde van iedere oplossing af.</t>
  </si>
  <si>
    <t xml:space="preserve">Toetst voorstellen vanuit verscheidene invalshoeken </t>
  </si>
  <si>
    <t>Schat haalbaarheden realistisch in</t>
  </si>
  <si>
    <t xml:space="preserve">Overziet de consequenties van bepaalde keuzes. Benoemt voor- en nadelen van deze keuzes en komt met een weloverwogen oordeel waarbij effectief gebruik wordt gemaakt van alle beschikbare informatie en waarbij de lange termijn in ogenschouw wordt genomen. </t>
  </si>
  <si>
    <t xml:space="preserve">Integriteit </t>
  </si>
  <si>
    <t xml:space="preserve">Is open en eerlijk over de werksituatie en benadert de ander op een open en duidelijke manier </t>
  </si>
  <si>
    <t>Behandeld de anderen met respect en eist wederzijds respect</t>
  </si>
  <si>
    <t>Weegt belangen zorgvuldig af en reageert via passende waarden en normen</t>
  </si>
  <si>
    <t>Is eerlijk over de activiteiten die ondernomen moeten worden en de hoeveelheid moeite die hiervoor nodig is</t>
  </si>
  <si>
    <t xml:space="preserve">Bespreekt verwachtingen, problemen en irritaties met de betreffende persoon zelf , zelfs wanneer het makkelijker is dit niet te doen </t>
  </si>
  <si>
    <t>Blijft consistent in de eigen handelswijze, ook als er druk wordt uitgeoefend</t>
  </si>
  <si>
    <t>Brengt anderen niet in situaties die ze niet aankunnen</t>
  </si>
  <si>
    <t xml:space="preserve">Promoot wederzijds respect </t>
  </si>
  <si>
    <t>Heeft geen problemen met het aanhoren van een minder positieve opmerking.</t>
  </si>
  <si>
    <t xml:space="preserve">Profileert zich in zakelijke situaties als een onafhankelijke integere partij </t>
  </si>
  <si>
    <t xml:space="preserve">Is op de hoogte van de beleidskeuzes en plannen die door het management zijn geformuleerd </t>
  </si>
  <si>
    <t xml:space="preserve">Respecteert en informeert de management keuzes </t>
  </si>
  <si>
    <t>Houdt zich aan de afspraken ondanks tegenkanting: 'afspraak is afspraak'</t>
  </si>
  <si>
    <t xml:space="preserve">Ontwikkelt netwerken en creëert mogelijkheden voor de organisatie </t>
  </si>
  <si>
    <t xml:space="preserve">Begrijpt en optimaliseert de interactie van de organisatie en haar netwerken. </t>
  </si>
  <si>
    <t xml:space="preserve">Hoofdcompetentie </t>
  </si>
  <si>
    <t xml:space="preserve">Detail Competenties </t>
  </si>
  <si>
    <t xml:space="preserve">Zakelijk inzicht </t>
  </si>
  <si>
    <t xml:space="preserve">Kent eigen vakgebied </t>
  </si>
  <si>
    <t xml:space="preserve">Blijft op de hoogte van ontwikkelingen binnen eigen en relevant vakgebieden </t>
  </si>
  <si>
    <t xml:space="preserve">Stelt vragen om informatie te verkrijgen </t>
  </si>
  <si>
    <t xml:space="preserve">Gebruikt eenvoudige regels gebaseerd op 'gezond verstand' en ziet patronen tussen situaties </t>
  </si>
  <si>
    <t xml:space="preserve">Creëert nieuwe concepten </t>
  </si>
  <si>
    <t xml:space="preserve">Begrijpt externe invloeden op interne strategie en plant acties om de strategie te realiseren en te voldoen aan externe ontwikkelingen </t>
  </si>
  <si>
    <t xml:space="preserve">Relationele communicatie </t>
  </si>
  <si>
    <t>Denkt na over mogelijke ontwikkelingen en de rol van de eigen organisatie en handelt daarnaar</t>
  </si>
  <si>
    <t>Treedt zodanig naar buiten dat hiermee het gewenste imago van de organisatie tot stand wordt gebracht</t>
  </si>
  <si>
    <t xml:space="preserve">Gebruikt bestaande netwerken </t>
  </si>
  <si>
    <t xml:space="preserve">Begrijpt en handelt naar de formele structuur binnen de organisatie </t>
  </si>
  <si>
    <t>Begrijpt, beschrijft en gebruikt politieke relaties binnen de organisatie (allianties, coalities, …)</t>
  </si>
  <si>
    <t xml:space="preserve">Weet wie te benaderen ten behoeve van de besluitvorming </t>
  </si>
  <si>
    <t>Begrijpt waarom de organisatie zich op de gekozen manier positioneert</t>
  </si>
  <si>
    <t xml:space="preserve">Begrijpt onderliggende problemen, kansen en politieke 'krachten' die de organisatie aangaan. </t>
  </si>
  <si>
    <t xml:space="preserve">Gebruikt de kennis van producten en diensten van de organisatie effectief </t>
  </si>
  <si>
    <t>Kent de producten en diensten van de organisatie, en weet hoe deze zich verhouden tot de behoeften van de markt.</t>
  </si>
  <si>
    <t xml:space="preserve">Neemt weloverwogen risico's binnen de eigen functie en de onderneming </t>
  </si>
  <si>
    <t>Dynamiek</t>
  </si>
  <si>
    <t xml:space="preserve">Werkt hard, effectief en met enthousiasme </t>
  </si>
  <si>
    <t xml:space="preserve">Neemt extra werk op </t>
  </si>
  <si>
    <t>Draagt enthousiasme naar anderen uit</t>
  </si>
  <si>
    <t>Klantgerichtheid</t>
  </si>
  <si>
    <t xml:space="preserve">Volgt klanten op </t>
  </si>
  <si>
    <t>Anticipeert op kansen en bedreigingen op langere termijn</t>
  </si>
  <si>
    <t xml:space="preserve">Doet het werk volgens hem/haar goed </t>
  </si>
  <si>
    <t xml:space="preserve">Onderneemt verschillende acties om moeilijke doelen te bereiken </t>
  </si>
  <si>
    <t xml:space="preserve">Past zich aan de organisatie aan </t>
  </si>
  <si>
    <t xml:space="preserve">Onafhankelijkheid </t>
  </si>
  <si>
    <t>Is open en eerlijk ; onderneemt acties die consistent zijn met eigen waarden en normen</t>
  </si>
  <si>
    <t>Hout vast aan principes, ondanks de druk van anderen en probeert hen te overtuigen</t>
  </si>
  <si>
    <t xml:space="preserve">Handelt op basis van eigen overtuiging, ook wanneer hier risico's aan verbonden zijn. </t>
  </si>
  <si>
    <t xml:space="preserve">Bedwingt emoties en blijft beheerst </t>
  </si>
  <si>
    <t>Staat stevig in de schoenen</t>
  </si>
  <si>
    <t>Handelt zelfstandig en gelooft in eigen kunnen</t>
  </si>
  <si>
    <t xml:space="preserve">Ambitie </t>
  </si>
  <si>
    <t>Investeert in zichzelf om vooropgestelde doelen te bereiken</t>
  </si>
  <si>
    <t>Onderneemt gerichte acties om een carrière uit te bouwen</t>
  </si>
  <si>
    <t xml:space="preserve">Accepteert en vraagt om extra taken en verantwoordelijkheden </t>
  </si>
  <si>
    <t xml:space="preserve">Behandelt contacten op een gelijkwaardige manier en legt informele contacten </t>
  </si>
  <si>
    <t xml:space="preserve">Onderhoudt makkelijk sociale contacten </t>
  </si>
  <si>
    <t>Vraagt door, gaat in op reacties en stelt zich beschikbaar voor anderen</t>
  </si>
  <si>
    <t xml:space="preserve">Begrijpt bedoelingen, onderliggende gedachten, gevoelens en problemen, en voorspelt reacties van anderen </t>
  </si>
  <si>
    <t>Bouwt teksten helder op</t>
  </si>
  <si>
    <t xml:space="preserve">Werkt samen </t>
  </si>
  <si>
    <t xml:space="preserve">Is doeltreffend in het presenteren </t>
  </si>
  <si>
    <t xml:space="preserve">Onderneemt acties om te overtuigen </t>
  </si>
  <si>
    <t xml:space="preserve">Balans werk-leven </t>
  </si>
  <si>
    <t xml:space="preserve">Weet welk persoonlijk evenwicht belangrijk is en voelt zich goed in balans </t>
  </si>
  <si>
    <t xml:space="preserve">Komt met een plan van aanpak naar persoonlijke balans </t>
  </si>
  <si>
    <t xml:space="preserve">Ondersteunt anderen in hun persoonlijke balans </t>
  </si>
  <si>
    <t>Past de regels flexibel toe en gebruikt de juiste tactiek</t>
  </si>
  <si>
    <t>Past eigen strategie aan de noden aan</t>
  </si>
  <si>
    <t xml:space="preserve">Gaat effectief te werk aan de hand van details </t>
  </si>
  <si>
    <t>Komt met een plan van aanpak en kan verschillende werkzaamheden combineren</t>
  </si>
  <si>
    <t>Creëert duidelijkheid en controleert eigen werk</t>
  </si>
  <si>
    <t xml:space="preserve">Stelt duidelijke en hoge eisen aan prestaties van medewerkers </t>
  </si>
  <si>
    <t xml:space="preserve">Houdt de medewerkers verantwoordelijk voor hun functioneren en hun prestaties </t>
  </si>
  <si>
    <t xml:space="preserve">Leid bijeenkomsten goed en houdt mensen op de hoogte </t>
  </si>
  <si>
    <t xml:space="preserve">Krijgt groepen mee in de gewenste richting </t>
  </si>
  <si>
    <t>Uit positieve verwachtingen over een persoon en geeft directe ontwikkelingspunten aan</t>
  </si>
  <si>
    <t xml:space="preserve">Doet aan langetermijncoaching of training van anderen </t>
  </si>
  <si>
    <t>Zorgt voor de juiste en ontwikkelingsgerichte taken, training of andere ervaringen met als doel de ontwikkeling van een medewerker te realiseren</t>
  </si>
  <si>
    <t>Onderzoek op welke wijze men zich verder kan ontwikkelen</t>
  </si>
  <si>
    <t>Zal problemen en situaties persoonlijk onderzoeken</t>
  </si>
  <si>
    <t>Vraagt aan de personen die met het probleem te maken hebben wat er gebeurd is</t>
  </si>
  <si>
    <t>Neemt nieuwe feiten en gegevens snel op en past deze correct toe</t>
  </si>
  <si>
    <t>Stelt vragen om tot de kern van een probleem of situatie door te dringen en zoekt naar mogelijke kansen</t>
  </si>
  <si>
    <t>Vraagt anderen, die niet persoonlijk betrokken zijn, om hun mening en ervaring</t>
  </si>
  <si>
    <t>Stopt niet bij het eerst antwoord, zoekt uit waarom iets gebeurd is</t>
  </si>
  <si>
    <t>Toont zich nieuwsgierig of leergierig om huidige kennis te verbreden en te verdiepen</t>
  </si>
  <si>
    <t>Gebruikt kennis van theorieën of verschillende ervaringen om huidige situaties te onderzoeken.</t>
  </si>
  <si>
    <t>Past aangeleerde concepten of methoden goed toe en is ook in staat deze aan te passen.</t>
  </si>
  <si>
    <t>Maakt complexe ideeën of situaties helder, simpel en begrijpelijk (bv door het gebruik van metaforen)</t>
  </si>
  <si>
    <t>Combineert eigen ideeën, kennis van situaties en observaties om een duidelijke en begrijpelijke uitleg te kunnen geven.</t>
  </si>
  <si>
    <t>Combineert bestaande oplossingen om tot een unieke oplossing te komen, één die anderen ook aanspreekt.</t>
  </si>
  <si>
    <t>Durft een standpunt in te nemen en spreekt dit uit.</t>
  </si>
  <si>
    <t>Geeft snel aan wanneer iets wel of niet kan.</t>
  </si>
  <si>
    <t>Zal oordelen op basis van alle beschikbare gegevens.</t>
  </si>
  <si>
    <t>Neemt op basis van deze beoordelingen snel een besluit.</t>
  </si>
  <si>
    <t>Deelt problemen op.</t>
  </si>
  <si>
    <t>Legt meervoudige oorzakelijke relaties.</t>
  </si>
  <si>
    <t>Analyseert relaties tussen meerdere delen van een probleem of situatie.</t>
  </si>
  <si>
    <t>Anticipeert op hindernissen en denkt vooruit over mogelijke stappen.</t>
  </si>
  <si>
    <t>Onderscheidt feiten van veronderstellingen.</t>
  </si>
  <si>
    <t>Stelt prioriteiten op basis van bedrijfsdoelstellingen.</t>
  </si>
  <si>
    <t>Handelt in overeenkomst met de bedrijfsstrategie en –doelen.</t>
  </si>
  <si>
    <t>Ziet kansen of mogelijkheden op lange termijn, alsook de weg die er naartoe kan leiden.</t>
  </si>
  <si>
    <t>Stelt langetermijnonderwerpen, problemen of kansen vast (zonder daarbij rekening te houden met externe ontwikkelingen).</t>
  </si>
  <si>
    <t>Bekijkt kortetermijntaken in de context van de langetermijnbedrijfsstrategieën en – doelstellingen. Analyseert of de kortetermijndoelen voldoen aan de langetermijndoelstellingen.</t>
  </si>
  <si>
    <t>Heeft een langetermijndoel en de weg, om dit doel te bereiken, is uitgetekend.</t>
  </si>
  <si>
    <t>Ontwikkelt en onderhoudt netwerken, die voor de organisatie belangrijk zijn.</t>
  </si>
  <si>
    <t>Schat verhoudingen, relaties binnen de organisatie goed in en maakt er gebruik van (machtsverhoudingen, sleutelfiguren, …).</t>
  </si>
  <si>
    <t>Betrekt diverse partijen in de oordeelsvorming over een bepaald voorstel.</t>
  </si>
  <si>
    <t>Herkent onuitgesproken grenzen binnen de organisatie (wat is mogelijk en wat niet in bepaalde posities).</t>
  </si>
  <si>
    <t>Past de organisatiecultuur – en taal toe om de juiste respons te krijgen.</t>
  </si>
  <si>
    <t xml:space="preserve">Heeft een plan van aanpak, waarbij rekening gehouden wordt met de gevoeligheden binnen en de acceptatie door de organisatie. </t>
  </si>
  <si>
    <t xml:space="preserve">Toetst bij de juiste partijen of er voldoende draagvlak is voor een bepaald voorstel. </t>
  </si>
  <si>
    <t>Neemt beslissingen, stelt prioriteiten en kiest doelen op basis van het afwegen van input en output.</t>
  </si>
  <si>
    <t>Maakt duidelijke afwegingen van mogelijke winst en opbrengst door middel van kosten-batenanalyses.</t>
  </si>
  <si>
    <t>Creëert (commerciële) kansen en maakt verborgen behoeftes zichtbaar.</t>
  </si>
  <si>
    <t>Bepaalt acties op basis van eigen verbeeldingskracht en inzicht.</t>
  </si>
  <si>
    <t>Komt met voorstellen die gericht zijn op het vergroten van de marktgerichtheid.</t>
  </si>
  <si>
    <t>Herkent en benut kansen die zich voordoen om doelstellingen te bereiken</t>
  </si>
  <si>
    <t>Haalt barrières weg om tot een oplossing te komen</t>
  </si>
  <si>
    <t>Handelt snel en resoluut in geval van problemen</t>
  </si>
  <si>
    <t>Neemt het voortouw en onderneemt ongevraagd extra acties buiten hetgeen oorspronkelijk gevraagd was</t>
  </si>
  <si>
    <t>Draagt uit eigen beweging ideeën en oplossingen aan</t>
  </si>
  <si>
    <t>Stelt hoge eisen aan het eigen functioneren en probeert hieraan te voldoen</t>
  </si>
  <si>
    <t>Zet prestaties af tegen die van anderen en werkt zelfstandig aan verbeteringen in het werk en/of het gedrag</t>
  </si>
  <si>
    <t>Brengt specifieke veranderingen aan in systemen of in eigen werkmethoden (vb. doet iets sneller, beter, tegen lagere kosten, efficiënter, verbetert kwaliteit)</t>
  </si>
  <si>
    <t>Tracht continu bestaande werksituaties en praktijken te verbeteren</t>
  </si>
  <si>
    <t>Komt met voorstellen ter verbetering</t>
  </si>
  <si>
    <t>Ziet ook in negatieve omstandigheden mogelijkheden om tot een oplossing te komen.</t>
  </si>
  <si>
    <t>Staat achter een ingenomen standpunt en draagt dit ook uit als anderen het er niet mee eens zijn.</t>
  </si>
  <si>
    <t>Komt in actie om tegenkantingen het hoofd te bieden.</t>
  </si>
  <si>
    <t>Onderneemt verschillende acties om tegenstanders te overtuigen.</t>
  </si>
  <si>
    <t>Gaat omzichtig en voorzichtig te werk om eigen doelen te bereiken en slaagt daar in.</t>
  </si>
  <si>
    <t>Houdt zich aan gemaakte afspraken ondanks tegenkanting: afspraak is afspraak</t>
  </si>
  <si>
    <t>Houdt zich aan afgesproken regels en procedures , ook indien deze negatieve reacties bij anderen oproepen</t>
  </si>
  <si>
    <t>Zoekt bij onduidelijkheden bevestiging bij de juiste autoriteit</t>
  </si>
  <si>
    <t>Handelt snel en adequaat op vragen van het management</t>
  </si>
  <si>
    <t>Stelt zich loyaal op ten aanzien van de gemaakte managementkeuzes</t>
  </si>
  <si>
    <t>Houdt van uitdagende opdrachten en raakt hierdoor geënthousiasmeerd.</t>
  </si>
  <si>
    <t>Zoekt naar, en krijgt nieuwe verantwoordelijkheden.</t>
  </si>
  <si>
    <t>Komt met een gedurfd voorstel naar voor, met het risico tot afwijzing.</t>
  </si>
  <si>
    <t>Komt met een zienswijze naar voor die haaks staat op de status-quo.</t>
  </si>
  <si>
    <t>Confronteert het management en de interne/externe klanten openlijk.</t>
  </si>
  <si>
    <t>Wendt weerstanden af.</t>
  </si>
  <si>
    <t>Komt met voorstellen die zowel de kans op een hoge opbrengst, alsook de kans op mislukking kunnen veroorzaken.</t>
  </si>
  <si>
    <t>Neemt beleefdheidsvormen en etiquette in acht.</t>
  </si>
  <si>
    <t>Maakt een rustige, zelfverzekerde indruk.</t>
  </si>
  <si>
    <t>Handelt volgens de voor hem/haar geldende rol en verwachtingen.</t>
  </si>
  <si>
    <t>Stapt gemakkelijk op anderen af indien dit gewenst is voor een goede uitvoering van de eigen taak, of in het algemeen belang.</t>
  </si>
  <si>
    <t>Luistert naar wat de ander zegt en haakt hierop in.</t>
  </si>
  <si>
    <t>Komt terug op wat eerder in een gesprek gezegd is.</t>
  </si>
  <si>
    <t>Vraagt door op onduidelijke afspraken.</t>
  </si>
  <si>
    <t>Spreekt positieve verwachtingen over anderen uit in termen van hun mogelijkheden en kunnen.</t>
  </si>
  <si>
    <t>Spreekt in positieve zin over anderen.</t>
  </si>
  <si>
    <t>Toont respect voor anderen.</t>
  </si>
  <si>
    <t>Betrekt anderen actief bij het gesprek.</t>
  </si>
  <si>
    <t>Waardeert input en ervaring van anderen.</t>
  </si>
  <si>
    <t>Is bereid van anderen te leren (ook van medewerkers en collega’s)</t>
  </si>
  <si>
    <t>Vraagt naar ideeën en meningen van anderen om besluiten te nemen of plannen te maken.</t>
  </si>
  <si>
    <t>Houdt rekening met de inbreng van anderen.</t>
  </si>
  <si>
    <t>Werkt met heldere voorbeelden of metaforen om zijn/haar betoog te ondersteunen.</t>
  </si>
  <si>
    <t xml:space="preserve">Hanteert een goed evenwicht tussen het ingaan op reacties van anderen enerzijds, en het vasthouden van de structuur van zijn/haar betoog anderzijds. Verkrijgt hiermee begrip van anderen. </t>
  </si>
  <si>
    <t>Staat comfortabel voor groepen en dwingt aandacht af.</t>
  </si>
  <si>
    <t>Sluit in een gesprek of discussie aan bij interesse of niveau van een ander.</t>
  </si>
  <si>
    <t>Anticipeert op het effect dat een bepaalde actie of uitspraak kan hebben op iemand.</t>
  </si>
  <si>
    <t>Hanteert argumenten, die een ander aanspreken.</t>
  </si>
  <si>
    <t>Onderneemt twee of meerdere stappen om anderen te beïnvloeden.</t>
  </si>
  <si>
    <t>Gebruikt experts of andere derde partijen om te beïnvloeden.</t>
  </si>
  <si>
    <t>Doseert argumenten en standpunten op beslissende momenten.</t>
  </si>
  <si>
    <t>Begrijpt dat de eigen strategie niet altijd de beste is binnen het bedrijf of voor de eigen functie.</t>
  </si>
  <si>
    <t>Observeert anderen om hun strategie te analyseren.</t>
  </si>
  <si>
    <t>Is bereid ideeën of percepties te veranderen op basis van nieuwe informatie of gegronde redenen.</t>
  </si>
  <si>
    <t>Begrijpt gezichtspunten van anderen.</t>
  </si>
  <si>
    <t>Werkt zorgvuldig met oog voor detail</t>
  </si>
  <si>
    <t>Kan over een lange periode met details werken zonder fouten te maken</t>
  </si>
  <si>
    <t>Kijkt het eigen werk op correctheid en volledigheid na</t>
  </si>
  <si>
    <t>Vraagt aan anderen of afspraken volledig zijn nagekomen</t>
  </si>
  <si>
    <t>Zal aan de hand van al de verzamelde informatie en details, acties ondernemen.</t>
  </si>
  <si>
    <t>Stuurt anderen aan tot nauwkeurig werken.</t>
  </si>
  <si>
    <t>Werkt ordelijk en systematisch</t>
  </si>
  <si>
    <t>Zorgt dat benodigde middelen tijdig beschikbaar zijn</t>
  </si>
  <si>
    <t>Weet optimaal gebruik te maken van de beschikbare middelen</t>
  </si>
  <si>
    <t>Houdt deadlines en mijlpalen van meerdere samenhangende processen/projecten in de gaten.</t>
  </si>
  <si>
    <t>Signaleert snel afwijkingen op gemaakte plannen en de consequenties daarvan op meerdere processen/projecten en komt met voorstellen om dit bij te sturen.</t>
  </si>
  <si>
    <t>Geeft duidelijke opdrachten en instructies aan medewerkers.</t>
  </si>
  <si>
    <t>Zegt “nee” tegen onredelijke verzoeken.</t>
  </si>
  <si>
    <t>Stelt grenzen aan het gedrag van medewerkers waar nodig.</t>
  </si>
  <si>
    <t>Geeft duidelijk de ruimte aan waarbinnen men zelfstandig tot een keuze kan komen.</t>
  </si>
  <si>
    <t>Delegeert verantwoordelijkheden zo laag mogelijk binnen de organisatie.</t>
  </si>
  <si>
    <t>Stimuleert sfeer en samenwerking.</t>
  </si>
  <si>
    <t>Legt accent op doelen, kansen en successen.</t>
  </si>
  <si>
    <t>Betrekt anderen bij planning, besluitvorming (vraagt om inbreng).</t>
  </si>
  <si>
    <t>Creëert een win -winsituatie binnen het team.</t>
  </si>
  <si>
    <t>Schept randvoorwaarden (zoals voldoende personeel, middelen, informatie voor de groep,…).</t>
  </si>
  <si>
    <t>Verdeelt verantwoordelijkheden en creëert synergie.</t>
  </si>
  <si>
    <t>Is er niet op uit zelf te scoren.</t>
  </si>
  <si>
    <t xml:space="preserve">Organiseert besluitvorming zodanig dat iedereen zijn bijdrage kan en moet leveren en er een goed draagvlak ontstaat. </t>
  </si>
  <si>
    <t>Brengt medewerkers in situaties die voor hen uitdagend en leerzaam zijn.</t>
  </si>
  <si>
    <t>Geeft ruimte en steun aan degene die nieuwe dingen wil oppakken.</t>
  </si>
  <si>
    <t>Zet mensen aan tot het leveren van betere prestaties.</t>
  </si>
  <si>
    <t>Creëert situaties waarvan men kan leren.</t>
  </si>
  <si>
    <t>Geeft specifieke of afgewogen positieve en negatieve feedback met het oog op ontwikkeling.</t>
  </si>
  <si>
    <t>Geeft steun na een mislukking of tegenslag.</t>
  </si>
  <si>
    <t>Is kritisch naar geleverde prestaties, maar spreekt ook vertrouwen uit in de mogelijkheden van de medewerker.</t>
  </si>
  <si>
    <t>Laat mensen zelf de antwoorden op problemen vinden in plaats van het antwoord zelf aan te reiken, zodat zij een dieper inzicht verwerven.</t>
  </si>
  <si>
    <t>Integreert nieuwe kennis in bestaande kennis</t>
  </si>
  <si>
    <t xml:space="preserve">Cat </t>
  </si>
  <si>
    <t xml:space="preserve">Is eerlijk gemaakte fouten en onzekerheden </t>
  </si>
  <si>
    <t>Spreekt uit wat hij/zij denkt zonder dat dat vereist is.</t>
  </si>
  <si>
    <t xml:space="preserve">Handelt volgens eigen normen en waarden </t>
  </si>
  <si>
    <t>Trekt zijn/haar eigen plan en handelt ernaar.</t>
  </si>
  <si>
    <t>Houdt vast aan (professionele) principes, ondanks de druk van anderen om deze opzij te zetten</t>
  </si>
  <si>
    <t>Handelt volgens een aanpak waarin hij/zij gelooft, ook als anderen bezwaren maken</t>
  </si>
  <si>
    <t>Brengt voorstellen in, ook wanneer hier nog geen draagvlak voor is, of wanneer er onzekerheid is over dit draagvlak</t>
  </si>
  <si>
    <t>Zal anderen overtuigen van eigen systemen en aanpak aan de hand van goed geformuleerde argumenten.</t>
  </si>
  <si>
    <t>Gaat weloverwogen risico's aan, ook wanneer anderen dit afraden of druk uitoefenen.</t>
  </si>
  <si>
    <t xml:space="preserve">Is altijd open en eerlijk in onderhandelingen, noemt zowel kosten als opbrengsten, voor en nadelen. </t>
  </si>
  <si>
    <t xml:space="preserve">Wijst op goede elementen </t>
  </si>
  <si>
    <t>Eigen standpunt wordt verwoord met eigen teksten</t>
  </si>
  <si>
    <t>Maakt geen taalfouten en maakt juist gebruik van de grammatica</t>
  </si>
  <si>
    <t>Delegeert opdrachten die passen bij het niveau en de omstandigheden van de betreffende medewerker.</t>
  </si>
  <si>
    <t>Laat stijl van leidinggeven aansluiten op de behoeften bij de medewerker en de eisen van de situatie.</t>
  </si>
  <si>
    <t xml:space="preserve">Spreekt duidelijke verwachtingen uit over gewenst functioneren en te bereiken resultaten </t>
  </si>
  <si>
    <t>Zet individuele prestaties tegen duidelijke normen af.</t>
  </si>
  <si>
    <t>Volgt de voortgang van het op te leveren resultaat aan de hand van, op voorhand vastgelegde criteria</t>
  </si>
  <si>
    <t xml:space="preserve">Geeft tussentijds feedback op het functioneren en over de bereikte resultaten </t>
  </si>
  <si>
    <t>Spreekt consequenties uit en confronteert medewerkers met functionerings- en prestatieproblemen op een open en directe wijze</t>
  </si>
  <si>
    <t xml:space="preserve">Is nieuwgierig naar recente trends en ontwikkelingen binnen het eigen vakgebied </t>
  </si>
  <si>
    <t>Neemt het initiatief om op de hoogte te blijven van de nieuwe trends en van de ontwikkelingen binnen eigen en relevante vakgebieden door erover te lezen, congressen te bezoeken, cursussen te volgen en dergelijke.</t>
  </si>
  <si>
    <t>Kent de trends en ontwikkelingen binnen het eigen vakgebied en de markt</t>
  </si>
  <si>
    <t>Weet wie de belangrijkste concurrenten zijn en ziet betekenis hiervan voor de organisatie</t>
  </si>
  <si>
    <t xml:space="preserve">Heeft continu een volledig begrip van de markt en het vakgebied </t>
  </si>
  <si>
    <t xml:space="preserve">Heeft zich op verschillende toepassingsmogelijkheden van de huidige of toekomstige technologieën/benaderingen die aansluiten op de behoeft van de markt </t>
  </si>
  <si>
    <t xml:space="preserve">Houdt rekening met de huidige en toekomstige behoeften van de markt, de sterkten en de zwakten van concurrenten en stemt zijn/haar aanpak hierop af. </t>
  </si>
  <si>
    <t>Analyseert hoe externe ontwikkelingen en trends het huidige beleid, de processen en de methoden kunnen beïnvloeden</t>
  </si>
  <si>
    <t>Vertaalt externe ontwikkelingen in bedrijfsdoelstellingen en strategieën</t>
  </si>
  <si>
    <t xml:space="preserve">Scenario's worden opgesteld en herzien om op problemen en situaties juist te kunnen reageren. </t>
  </si>
  <si>
    <t xml:space="preserve">Licht toe en bespreekt met anderen het gewenste, toekomstige beeld van de organisatie </t>
  </si>
  <si>
    <t>Stelt directe vragen aan de betrokken personen</t>
  </si>
  <si>
    <t xml:space="preserve">Doet onderzoek en gebruikt eigen systemen om informatie te verkrijgen </t>
  </si>
  <si>
    <t xml:space="preserve">Onderneemt gedurende een lange periode zelf actie om benodigde gegevens of feedback te verkrijgen </t>
  </si>
  <si>
    <t>Probeert nieuwe manieren van aanpak uit en evalueert deze adequaat</t>
  </si>
  <si>
    <t xml:space="preserve">Heeft persoonlijke werkwijzen of manieren om informatie te verkrijgen </t>
  </si>
  <si>
    <t xml:space="preserve">Laat regelmatig anderen informatie verzamelen voor hem/haar </t>
  </si>
  <si>
    <t>Gebruikt eenvoudige regels gebaseerd op 'gezond verstand' en ervaring uit het verleden om problemen te definiëren</t>
  </si>
  <si>
    <t xml:space="preserve">Herkent wanneer een huidige situatie gelijk is aan een situatie in het verleden </t>
  </si>
  <si>
    <t xml:space="preserve">Ziet patronen, trends of missende stukken informatie </t>
  </si>
  <si>
    <t xml:space="preserve">Herkent goede ideeën (van anderen) en bouwt hierop voort. </t>
  </si>
  <si>
    <t xml:space="preserve">Ontwerpt concepten die nieuw zijn voor anderen, om situaties uit te leggen of problemen op te lossen </t>
  </si>
  <si>
    <t xml:space="preserve">Komt met nieuwe ideeën die anderen aanspreken. Doorbreekt bestaande denkkaders met originele ideeën </t>
  </si>
  <si>
    <t xml:space="preserve">Volgt vragen of klachten van interne/externe klanten op. </t>
  </si>
  <si>
    <t xml:space="preserve">Houdt de interne/externe klant op de hoogte van de voortgang van projecten </t>
  </si>
  <si>
    <t>Let op klantentevredenheid</t>
  </si>
  <si>
    <t>Geeft op vriendelijke wijze behulpzame informatie aan interne/externe klanten</t>
  </si>
  <si>
    <t xml:space="preserve">Neemt persoonlijke verantwoordelijkheid  voor het corrigeren van problemen bij interne/externe klanten </t>
  </si>
  <si>
    <t>Vraagt door op wensen en behoeften van de interne/externe klant</t>
  </si>
  <si>
    <t xml:space="preserve">Stelt zichzelf beschikbaar op voor de interne/externe klant </t>
  </si>
  <si>
    <t>Werkt met een langetermijnperspectief aan het oplossen van  interne/externe klantproblemen</t>
  </si>
  <si>
    <t xml:space="preserve">Doet investeringen met het oog op de langetermijnrelatie </t>
  </si>
  <si>
    <t xml:space="preserve">Maakt gebruik van bestaande netwerken </t>
  </si>
  <si>
    <t xml:space="preserve">Levert een bijdrage aan het gewenste imago van de organisatie in de markt </t>
  </si>
  <si>
    <t>Begrijpt hoe de interactie van de organisatie met de omgeving in elkaar zit (zoal relaties met politiek, aandeelhouders concurrentie en partners )</t>
  </si>
  <si>
    <t xml:space="preserve">Kent en handelt volgens de regels en procedures </t>
  </si>
  <si>
    <t>Kent en handelt naar de formele regels van het spel.</t>
  </si>
  <si>
    <t xml:space="preserve">Maakt een beduidende hoeveelheid tijd of middelen vrij om de eigen voordelen te vergroten </t>
  </si>
  <si>
    <t xml:space="preserve">Combineert visie met gerichte actie </t>
  </si>
  <si>
    <t xml:space="preserve">Neemt weloverwogen risico's om een bepaald voordeel voor de organisatie of de klant te behalen. </t>
  </si>
  <si>
    <t>Blijft doorgaan tot de klus geklaard is</t>
  </si>
  <si>
    <t>Blijft enthousiasme en kracht uitstralen, ondanks hard en veel werken</t>
  </si>
  <si>
    <t xml:space="preserve">Neemt het voortouw in het oppakken van zaken die blijven liggen </t>
  </si>
  <si>
    <t xml:space="preserve">Creëert kansen en minimaliseert potentiële problemen door extra inspanningen en actie te ondernemen. </t>
  </si>
  <si>
    <t>Anticipeert en bereidt zich voor op specifieke kansen en bedreigingen in de nabije toekomst (3-12 maanden)</t>
  </si>
  <si>
    <t xml:space="preserve">Anticipeert op situaties in de toekomst (over 1-2 jaar ) en onderneemt actie om een kans te creëren of een toekomstige crisis die niet zichtbaar is voor anderen, te voorkomen. </t>
  </si>
  <si>
    <t xml:space="preserve">Onderneemt zelf acties hierop of zet anderen hiertoe aan. </t>
  </si>
  <si>
    <t>Probeert het werk goed en juist te doen</t>
  </si>
  <si>
    <t xml:space="preserve">Brengt verbeteringen aan in het werk op aanwijzingen van anderen </t>
  </si>
  <si>
    <t>Sluit aan bij de manier waarop de dingen in de organisatie worden gedaan</t>
  </si>
  <si>
    <t>Doet wat van hem/haar verwacht wordt</t>
  </si>
  <si>
    <t xml:space="preserve">Blijft beheerst reageren bij spanningen en emoties </t>
  </si>
  <si>
    <t xml:space="preserve">Laat zich niet erg afleiden door zijn/haar emoties </t>
  </si>
  <si>
    <t xml:space="preserve">Is goed in staat af te maken waar hij/zij mee bezig was </t>
  </si>
  <si>
    <t>Blijft onder druk constante prestaties leveren</t>
  </si>
  <si>
    <t>Heeft geen toezicht nodig bij de uitvoering van het werk</t>
  </si>
  <si>
    <t xml:space="preserve">Brengt eigen standpunten krachtig naar voren </t>
  </si>
  <si>
    <t xml:space="preserve">Toont vertrouwen in zichzelf </t>
  </si>
  <si>
    <t xml:space="preserve">Kiest voor een aanpak waarmee nog geen ervaring is opgedaan </t>
  </si>
  <si>
    <t>Beschrijft zichzelf als kundig; als iemand die iets voor elkaar kan krijgen</t>
  </si>
  <si>
    <t xml:space="preserve">Toont bereidheid om te investeren in de eigen ontwikkeling, maar onderneemt nog geen acties op eigen initiatief </t>
  </si>
  <si>
    <t>Door extra werk op zich te nemen, maakt hij/zij aan anderen duidelijk in zichzelf te willen investeren om vooropgestelde doelen te bereiken</t>
  </si>
  <si>
    <t>Accepteert extra taken en verantwoordelijkheden die leiden tot de ontwikkeling en verbreding van de eigen rol</t>
  </si>
  <si>
    <t>Vraagt om meer verantwoordelijkheden en legt daarbij claims op bepaalde verantwoordelijkheden</t>
  </si>
  <si>
    <t>Legt gemakkelijk contact met anderen binnen en buiten de organisatie</t>
  </si>
  <si>
    <t>Weet anderen op hun gemak te stellen, hun interesse op te wekken en de relatie te onderhouden</t>
  </si>
  <si>
    <t xml:space="preserve">Geeft geen voorkeursbehandeling </t>
  </si>
  <si>
    <t>Beweegt zich gemakkelijk in een onbekende sociale omgeving</t>
  </si>
  <si>
    <t xml:space="preserve">Spreekt mensen aan en legt contacten </t>
  </si>
  <si>
    <t xml:space="preserve">Is in staat onder verschillende omstandigheden en met diverse mensen (afkomstig uit diverse milieus en met verschillende achtergronden) contact te leggen </t>
  </si>
  <si>
    <t>Pikt onduidelijke uitspraken of signalen over gevoelens en bedoelingen van anderen op</t>
  </si>
  <si>
    <t xml:space="preserve">Stelt vragen om er achter te komen of de gemaakte inschatting van de ander juist begrepen is. </t>
  </si>
  <si>
    <t xml:space="preserve">Vat de boodschap van de ander correct samen </t>
  </si>
  <si>
    <t>Is toegankelijk en probeert begrip te verkrijgen van de ander</t>
  </si>
  <si>
    <t>Laat anderen in hun waarde en laat dat blijken</t>
  </si>
  <si>
    <t>Is makkelijk om mee te praten over persoonlijke zaken en biedt hulp</t>
  </si>
  <si>
    <t xml:space="preserve">Begrijpt onuitgesproken gedachten, zorgen of gevoelens </t>
  </si>
  <si>
    <t>Gebruikt kennis en begrip van andere mensen (zoals gedrag, eigenschappen, …) om op reacties van hen te anticiperen met het oog op beïnvloeding, ontwikkeling of hulpaanbod</t>
  </si>
  <si>
    <t xml:space="preserve">Begrijpt onderliggende problemen van anderen </t>
  </si>
  <si>
    <t>Begrijpt de onderliggende reden voor gevoelens, gedachten of zorgen van iemand, en de gevolgen op lange termijn.</t>
  </si>
  <si>
    <t xml:space="preserve">Presenteert een gebalanceerd beeld van specifieke sterkte en zwakke punten van een persoon. </t>
  </si>
  <si>
    <t>Heeft heldere opbouw en structuur in notities, presentatie, materiaal, brochures, …</t>
  </si>
  <si>
    <t>Schrijft duidelijk en op heldere wijze een samenvatting van teksten, boeken, conferenties,…</t>
  </si>
  <si>
    <t xml:space="preserve">Maakt heldere, aansprekende en bondige teksten, die voor een breed publiek leesbaar zijn. </t>
  </si>
  <si>
    <t xml:space="preserve">Zal werk van anderen controleren en hen wijzen op fouten </t>
  </si>
  <si>
    <t xml:space="preserve">Participeert en ondersteunt waar groepsbesluiten genomen worden </t>
  </si>
  <si>
    <t>Doet zijn/haar deel van het werk</t>
  </si>
  <si>
    <t>Houdt als lid van de groep andere groepsleden op de hoogte</t>
  </si>
  <si>
    <t>Deelt alle relevante of bruikbare informatie met de groep of groepsleden</t>
  </si>
  <si>
    <t xml:space="preserve">Speelt informatie die voor anderen van belang is, tijdig door. </t>
  </si>
  <si>
    <t xml:space="preserve">Kan halverwege een presentatie van aanpak veranderen </t>
  </si>
  <si>
    <t>Gebruikt directe overtuiging in een discussie, vergadering of gesprek (zoals concrete voorbeelden, visuele hulpmiddelen bij presentaties, …)</t>
  </si>
  <si>
    <t xml:space="preserve">Neemt meerdere stappen om te overtuigen zonder zich aan te passen aan interesse of niveau van een ander. </t>
  </si>
  <si>
    <t>Heeft er plezier in om een andere te winnen voor zijn/haar opvattingen.</t>
  </si>
  <si>
    <t>Bouwt politieke coalities, bouwt 'achter de schermen' aan steun voor ideeën</t>
  </si>
  <si>
    <t xml:space="preserve">Houdt bewust informatie achter om iets te bewerkstelligen. </t>
  </si>
  <si>
    <t xml:space="preserve">Bepaalt hoe het evenwicht werk-leven dient te liggen </t>
  </si>
  <si>
    <t xml:space="preserve">Stelt verwachtingen voor werk en leven </t>
  </si>
  <si>
    <t xml:space="preserve">Maakt keuzes naar het evenwicht werk-leven en aanvaard de gevolgen hiervan. </t>
  </si>
  <si>
    <t>Behaalt voldoening uit zowel werk als leven</t>
  </si>
  <si>
    <t>Weet welke acties ondernomen moeten worden om tot een evenwicht werk-leven te kopen</t>
  </si>
  <si>
    <t xml:space="preserve">Zet effectieve acties op om een persoonlijke balans te vinden </t>
  </si>
  <si>
    <t>Kan tussentijdse keuzes aanpassen om tot een persoonlijke werk-leven balans te komen</t>
  </si>
  <si>
    <t>Ondersteunt anderen in het bepalen van hun persoonlijke verwachtingen t.a.v. evenwicht werk-leven</t>
  </si>
  <si>
    <t>Stuurt anderen aan tot effectieve acties naar een persoonlijke balans</t>
  </si>
  <si>
    <t>Past de regels en procedures zodanig aan om in een specifieke situatie het werk gedaan te krijgen of doelen te bereiken</t>
  </si>
  <si>
    <t>Bereikt zijn/haar doel via verschillende wegen</t>
  </si>
  <si>
    <t>Onderneemt acties om aan te sluiten bij een bepaalde situatie of persoon</t>
  </si>
  <si>
    <t xml:space="preserve">Voorziet weerstanden </t>
  </si>
  <si>
    <t>Schakelt weerstanden uit door eigen gedrag aan te passen tot het doel bereikt is.</t>
  </si>
  <si>
    <t>Verandert het algemeen plan, doel of project om aan te sluiten bij de situatie</t>
  </si>
  <si>
    <t xml:space="preserve">Stelt oorspronkelijk doel bij om een effectieve bijdrage te kunnen blijven leveren </t>
  </si>
  <si>
    <t xml:space="preserve">Herkent onvolledigheden en inconsistenties in het werk van anderen </t>
  </si>
  <si>
    <t xml:space="preserve">Haalt de meest relevante details naar boven uit een grote hoeveelheid informatie </t>
  </si>
  <si>
    <t>Benoemt relevante details, die de grote lijn ondersteunen</t>
  </si>
  <si>
    <t>Pikt zaken op waar anderen overheen kijken.</t>
  </si>
  <si>
    <t>Stelt agenda en doelstellingen op</t>
  </si>
  <si>
    <t xml:space="preserve">Controleert de tijd </t>
  </si>
  <si>
    <t xml:space="preserve">Wijst taken toe aan de juiste persoon </t>
  </si>
  <si>
    <t xml:space="preserve">Houdt mensen op de hoogte van beslissingen en de consequenties </t>
  </si>
  <si>
    <t xml:space="preserve">Zorgt ervoor dat de groep alle nodige informatie heeft </t>
  </si>
  <si>
    <t xml:space="preserve">Legt de redenering achter een besluit uit </t>
  </si>
  <si>
    <t xml:space="preserve">Organiseert effectieve samenwerken binnen het team en neutraliseert eventuele wrijving tijdig en effectief </t>
  </si>
  <si>
    <t>Zorgt ervoor dat anderen meedenken over en geloven in de missie , de doelstellingen, het beleid en dat ze deze aspecten ook begrijpen .</t>
  </si>
  <si>
    <t>Is een goed voorbeeld voor anderen (vertoont gewenst gedrag)</t>
  </si>
  <si>
    <t>Verzekert dat aan de randvoorwaarden voldaan is en dat groepstaken worden uitgevoerd</t>
  </si>
  <si>
    <t>Is een geloofwaardig en onbetwist 'leider'</t>
  </si>
  <si>
    <t>Gelooft erin dat anderen willen en kunnen leren en hun prestaties willen verbeteren</t>
  </si>
  <si>
    <t xml:space="preserve">Geeft aan waar iemands ontwikkelings- en verbeterpunten liggen </t>
  </si>
  <si>
    <t>Geeft gedetailleerde instructies of demonstraties over deze verbeterpunten (vertelt hoe een taak moet uitgevoerd worden, geeft specifieke, helpende suggesties)</t>
  </si>
  <si>
    <t xml:space="preserve">Combineert verschillende werkzaamheden op een effectieve en efficiënte manier </t>
  </si>
  <si>
    <t xml:space="preserve">Brengt activiteiten en te verrichten taken die tot het gewenste doel leiden, in kaart </t>
  </si>
  <si>
    <t>Komt met een plan van aanpak om het gestelde doel te bereiken</t>
  </si>
  <si>
    <t xml:space="preserve">Werkt stap voor stap naar het doel, ook over een langere periode </t>
  </si>
  <si>
    <t>Controleert tussentijds de uitvoering van het eigen werk</t>
  </si>
  <si>
    <t>Checkt nauwkeurig de juistheid van de gebruikte informatie</t>
  </si>
  <si>
    <t xml:space="preserve">Creëert voor zichzelf en voor de anderen inzicht in de gang van zaken </t>
  </si>
  <si>
    <t xml:space="preserve">Houdt gedetailleerd het van anderen bij </t>
  </si>
  <si>
    <t>.</t>
  </si>
  <si>
    <t>N+1</t>
  </si>
  <si>
    <t>N</t>
  </si>
  <si>
    <t xml:space="preserve">Verantwoordelijk voor </t>
  </si>
  <si>
    <t xml:space="preserve">Meetbare doelstelling </t>
  </si>
  <si>
    <t>Oplevering volgens afgesproken deliverables, budgetten en timing.</t>
  </si>
  <si>
    <t xml:space="preserve">Functietitels </t>
  </si>
  <si>
    <t xml:space="preserve">Competenties </t>
  </si>
  <si>
    <t xml:space="preserve">De Waarden van </t>
  </si>
  <si>
    <t xml:space="preserve">Functietitel </t>
  </si>
  <si>
    <t>Voert grondig onderzoek uit</t>
  </si>
  <si>
    <r>
      <rPr>
        <b/>
        <sz val="18"/>
        <color theme="1"/>
        <rFont val="Calibri"/>
        <family val="2"/>
        <scheme val="minor"/>
      </rPr>
      <t>R</t>
    </r>
    <r>
      <rPr>
        <sz val="18"/>
        <color theme="1"/>
        <rFont val="Calibri"/>
        <family val="2"/>
        <scheme val="minor"/>
      </rPr>
      <t>esultaat</t>
    </r>
    <r>
      <rPr>
        <b/>
        <sz val="18"/>
        <color theme="1"/>
        <rFont val="Calibri"/>
        <family val="2"/>
        <scheme val="minor"/>
      </rPr>
      <t>G</t>
    </r>
    <r>
      <rPr>
        <sz val="18"/>
        <color theme="1"/>
        <rFont val="Calibri"/>
        <family val="2"/>
        <scheme val="minor"/>
      </rPr>
      <t xml:space="preserve">erichte </t>
    </r>
    <r>
      <rPr>
        <b/>
        <sz val="18"/>
        <color theme="1"/>
        <rFont val="Calibri"/>
        <family val="2"/>
        <scheme val="minor"/>
      </rPr>
      <t>A</t>
    </r>
    <r>
      <rPr>
        <sz val="18"/>
        <color theme="1"/>
        <rFont val="Calibri"/>
        <family val="2"/>
        <scheme val="minor"/>
      </rPr>
      <t>ctie (RGA's)</t>
    </r>
  </si>
  <si>
    <t xml:space="preserve">N+1 </t>
  </si>
  <si>
    <t>General Manager</t>
  </si>
  <si>
    <t>Sales &amp; Marketing Manager</t>
  </si>
  <si>
    <t>International Sales Representative</t>
  </si>
  <si>
    <t>Inside Sales Employee</t>
  </si>
  <si>
    <t>Operations Manager</t>
  </si>
  <si>
    <t>Production Responsible</t>
  </si>
  <si>
    <t>Engineering Employee</t>
  </si>
  <si>
    <t>Technical Support Employee</t>
  </si>
  <si>
    <t>Teamleader Valve Assy</t>
  </si>
  <si>
    <t>Finance &amp; Admin Manager</t>
  </si>
  <si>
    <t>HR Responsible</t>
  </si>
  <si>
    <t>Accountant (Accounting Employee)</t>
  </si>
  <si>
    <t>GM</t>
  </si>
  <si>
    <t>S&amp;M Mgr</t>
  </si>
  <si>
    <t>Int Sales Rep</t>
  </si>
  <si>
    <t>Ins Sales Emp</t>
  </si>
  <si>
    <t>OPS Mgr</t>
  </si>
  <si>
    <t>Prod Resp</t>
  </si>
  <si>
    <t>Tech Sup Emp</t>
  </si>
  <si>
    <t>Purch Lead</t>
  </si>
  <si>
    <t>F&amp;A Mgr</t>
  </si>
  <si>
    <t>HR Resp</t>
  </si>
  <si>
    <t>Acc Emp</t>
  </si>
  <si>
    <t>Aquion</t>
  </si>
  <si>
    <t>De goede samenwerking in het managementteam</t>
  </si>
  <si>
    <t>Het proces van aanwerving &amp; selectie</t>
  </si>
  <si>
    <t xml:space="preserve">Het delegeren van de verantwoordelijkheden </t>
  </si>
  <si>
    <t xml:space="preserve">De corporate reporting </t>
  </si>
  <si>
    <t>Om op te treden als externe vertegenwoordiger</t>
  </si>
  <si>
    <t>De beoordeling van de kwaliteitsnormen</t>
  </si>
  <si>
    <t xml:space="preserve">De revenu </t>
  </si>
  <si>
    <t>De Gross Margin</t>
  </si>
  <si>
    <t>De EBITDA</t>
  </si>
  <si>
    <t>Zie lijst PMO</t>
  </si>
  <si>
    <t>Het bepalen van de prioriteiten van de interne projecten</t>
  </si>
  <si>
    <t xml:space="preserve">Samenwerking </t>
  </si>
  <si>
    <t>Transparantie</t>
  </si>
  <si>
    <t>Ondernemend</t>
  </si>
  <si>
    <t>Empatisch</t>
  </si>
  <si>
    <t>Resultaatgericht</t>
  </si>
  <si>
    <t>zowel om onze gezamenlijke bedrijfsdoelstellingen te bereiken</t>
  </si>
  <si>
    <t>als om individuele problemen op te lossen</t>
  </si>
  <si>
    <t>We communiceren met elkaar op een open, constructieve en respectvolle manier,</t>
  </si>
  <si>
    <t xml:space="preserve"> zowel over positieve als negatieve zaken.</t>
  </si>
  <si>
    <t xml:space="preserve">We zijn zelf-kritisch en gedreven en ambitieus in het nemen van initiatieven </t>
  </si>
  <si>
    <t>om verbeteringen door te voeren.</t>
  </si>
  <si>
    <t>We zetten ons in om de noden en verzuchtingen van onze interne en/of externe klant te begrijpen</t>
  </si>
  <si>
    <t xml:space="preserve"> en er maximaal aan te voldoen</t>
  </si>
  <si>
    <t xml:space="preserve">We werken niet voor ‘de prestatie’ op zich, </t>
  </si>
  <si>
    <t>maar wel voor de meerwaarde die door deze prestatie geboekt wordt.</t>
  </si>
  <si>
    <t>Raadpleegt alle beschikbare informatiebronnen</t>
  </si>
  <si>
    <t>Herkent het wanneer een huidige situatie gelijk is aan een situatie in het verleden en identificeert de gelijkenissen (kan het specifiek benoemen)</t>
  </si>
  <si>
    <t xml:space="preserve">Neemt beslissingen op basis van beperkte gegevens </t>
  </si>
  <si>
    <t xml:space="preserve">Neemt de juiste beslissing in het geval van tegenstrijdige belangen, ook wanneer anderen het er niet mee eens zijn. </t>
  </si>
  <si>
    <t>Is in staat om reeds bestaande strategieën te begrijpen en te analyseren, maar heeft op basis hiervan zelf nog geen eigen effectieve strategie ontwikkeld.</t>
  </si>
  <si>
    <t xml:space="preserve">Ziet gemakkelijk de rode draad uit dagelijkse gebeurtenissen en kan de consequenties hiervan aangeven </t>
  </si>
  <si>
    <t xml:space="preserve">Ontwikkelt acties om het langetermijndoel te bereiken </t>
  </si>
  <si>
    <t xml:space="preserve">Onderhoudt duidelijke communicatie met de externe/interne klant met betrekking tot wederzijdse verwachtingen </t>
  </si>
  <si>
    <t>Corrigeert problemen snel en is niet defensief ten opzichte van de interne/externe klant</t>
  </si>
  <si>
    <t>Biedt ongevraagd extra service</t>
  </si>
  <si>
    <t xml:space="preserve">Kent de business van de  interne/externe klant of gaat op zoek naar informatie over de behoeften van de  interne/externe klant </t>
  </si>
  <si>
    <t xml:space="preserve">Komt met voorstellen die inspelen op de belangen van de  interne/externe klant. Zoekt naar langetermijnrendement voor de  interne/externe klant </t>
  </si>
  <si>
    <t xml:space="preserve">Toont belangstelling voor vraagstukken/problemen, die niet direct aan de vraag van de  interne/externe klant zijn gerelateerd </t>
  </si>
  <si>
    <t xml:space="preserve">Ontwikkelt deze kennis en legt contacten ten behoeve van het verbeteren van de resultaten van de organisatie </t>
  </si>
  <si>
    <t xml:space="preserve">Herkent of gebruikt de formele structuur binnen de organisatie </t>
  </si>
  <si>
    <t>Weet anderen op te peppen om de gewenste extra prestatie te leveren</t>
  </si>
  <si>
    <t>Verbindt anderen aan de gestelde doelen door middel van enthousiasme en energie</t>
  </si>
  <si>
    <t xml:space="preserve">Onderneemt actie om een kans te creëren of een toekomstige calamiteit die niet zichtbaar is voor anderen te voorkomen. </t>
  </si>
  <si>
    <t>Blijft consequent bij het eigen standpunt, ook bij tegenstand of tegenwerking, zonder te vervallen in een dogmatische of rigide opstelling.</t>
  </si>
  <si>
    <t xml:space="preserve">Laat iedereen ten allen tijde in zijn/haar waarde </t>
  </si>
  <si>
    <t xml:space="preserve">Weegt belangen en verschillende zienswijzen zorgvuldig tegen elkaar af en geeft volledige duidelijkheid over de situatie </t>
  </si>
  <si>
    <t>Handhaaft ethische waarden en normen</t>
  </si>
  <si>
    <t>Blijft bij grote problemen, tijdsdruk of hevige emoties naar een mogelijke oplossing zoeken om deze te reguleren en het werk te blijven uitvoeren</t>
  </si>
  <si>
    <t>Neemt besluiten, ook wanneer anderen het er niet mee eens zijn</t>
  </si>
  <si>
    <t>Behandelt verschillende types en klassen van mensen op een rechtvaardige en gelijke manier</t>
  </si>
  <si>
    <t>Begrijpt zowel inhoud als het onderliggende aspect in een boodschap (bv: emotie, problemen,…)</t>
  </si>
  <si>
    <t>Begrijpt onuitgesproken, of slecht uitgesproken, bedoelingen</t>
  </si>
  <si>
    <t xml:space="preserve">Brengt voorstellen met enthousiasme en beslistheid </t>
  </si>
  <si>
    <t>Reageert efficiënt op bepaalde onverwachte, maar urgente zaken</t>
  </si>
  <si>
    <t>Stelt aanpak en gedrag tijdig bij, teneinde efficiënt te kunnen blijven opereren</t>
  </si>
  <si>
    <t>Spreekt van tevoren duidelijke mijlpalen of meetpunten af</t>
  </si>
  <si>
    <t>Stuurt aan op een duidelijke rol- en taakverdeling en zet dit vaak op schrift</t>
  </si>
  <si>
    <t>Maakt positieve opmerkingen met betrekking tot de toekomst van een medewerker: huidige en verwachte mogelijkheden en/of leerpotentieel</t>
  </si>
  <si>
    <t>De projectleiding van de toegewezen projecten</t>
  </si>
  <si>
    <t>3 procesvoorstellen geïmplementeerd</t>
  </si>
  <si>
    <t>Het opmaken van een analyse van de capaciteit van medewerkers</t>
  </si>
  <si>
    <t>De kwaliteitscontrole (inkomende goederen)</t>
  </si>
  <si>
    <t>De goede relatie tussen leverancier en bedrijf</t>
  </si>
  <si>
    <t>A-leveranciers (o.b.v. omzet) minstens 1 maal per jaar bezoeken ter plaatse en B-leveranciers te ontvangen en volgens het lever performantie systeem (kwaliteit – prijs correct – levertermijn – levercondities – betalingstermijnen – afroep en leverfrequentie); nog te bepalen) -  geen stock breuken NOG OP TE MAKEN</t>
  </si>
  <si>
    <t>Het bepalen van een aanvaardbare stockwaarde en het vermijden van stock breuken</t>
  </si>
  <si>
    <t>Het handhaven van de raamcontracten</t>
  </si>
  <si>
    <t>Het bedingen van concurrentiële Prijsonderhandelingen tegen een aanvaardbare kwaliteit</t>
  </si>
  <si>
    <t>Het behouden van het aantal leveranciers</t>
  </si>
  <si>
    <t>Het bewaken van Single Component Unit (aantal onderdelen) – standaardiseren van componenten (daling componenten) – aanbevelingen geven op basis van materiaal kennis</t>
  </si>
  <si>
    <t>De innovatie; nieuwe producten en nieuwe leveranciers</t>
  </si>
  <si>
    <t>Het verminderen van de waarde van obsolete stock</t>
  </si>
  <si>
    <t>De optimale inrichting van het magazijn (waar welk product plaatsen)</t>
  </si>
  <si>
    <t>De optimale verpakking van aangeleverde producten en reduceren van het afval materiaal(pallet/doos/bulk/verpakt per stuk/…)</t>
  </si>
  <si>
    <t>De optimale interne logistiek van magazijn naar productie</t>
  </si>
  <si>
    <t>Een tijdige verzending van producten met het vermijden van claims</t>
  </si>
  <si>
    <t>Het beheer en organisatie van externe magazijnen</t>
  </si>
  <si>
    <t>De correcte en tijdige Aanlevering van 3PL</t>
  </si>
  <si>
    <t>Het onderhoud van machinepark</t>
  </si>
  <si>
    <t>100% inzetbaar van machines en bij uitval snelle heropstart</t>
  </si>
  <si>
    <t>De correcte naleving van de processen van aankoop en logistiek</t>
  </si>
  <si>
    <t>Het correct plaatsen van bestellingen van alle inkomende goederen met opvolging en verwerking van alle logistieke formaliteiten</t>
  </si>
  <si>
    <t xml:space="preserve">Het accuraat opvolgen van levertermijnen, betaalcondities, prijsafspraken gerelateerd aan alle inkomende goederen </t>
  </si>
  <si>
    <t>Het up-to-date houden van alle informatie, gerelateerd aan aankoop en logistiek, in het MRP-systeem</t>
  </si>
  <si>
    <t>De controle van inkomende goederenfacturen</t>
  </si>
  <si>
    <t>De analyse van productieplanning voor bestellingen (bestelhoeveelheden i.f.v. verbruik, levertermijnen, …</t>
  </si>
  <si>
    <t xml:space="preserve">De analyse van het bepalen van de optimale voorraadhoogte </t>
  </si>
  <si>
    <t xml:space="preserve">De transparante communicatie naar leveranciers (niet naleving) en interne klanten </t>
  </si>
  <si>
    <t xml:space="preserve">Een correcte rapportering </t>
  </si>
  <si>
    <t xml:space="preserve">Nick Govaert </t>
  </si>
  <si>
    <t xml:space="preserve">Tim Swaans </t>
  </si>
  <si>
    <t>Sanne Wijnens</t>
  </si>
  <si>
    <t xml:space="preserve">Jurgen Lambrechts </t>
  </si>
  <si>
    <t xml:space="preserve">Dieter Sas </t>
  </si>
  <si>
    <t xml:space="preserve">Dieter Swerts </t>
  </si>
  <si>
    <t xml:space="preserve">Sofie Redig </t>
  </si>
  <si>
    <t xml:space="preserve">Marleen Neyens </t>
  </si>
  <si>
    <t>Sabine Janssens</t>
  </si>
  <si>
    <t xml:space="preserve">Tom Sameys </t>
  </si>
  <si>
    <t xml:space="preserve">Marina Thys </t>
  </si>
  <si>
    <t xml:space="preserve">Brigitte Moons </t>
  </si>
  <si>
    <t xml:space="preserve">Tiny Fauvarque </t>
  </si>
  <si>
    <t xml:space="preserve">Tania Selderslaghs </t>
  </si>
  <si>
    <t xml:space="preserve">Kelly De Ryck </t>
  </si>
  <si>
    <t xml:space="preserve">Britt Aerts </t>
  </si>
  <si>
    <t xml:space="preserve">Tinne Gijbels </t>
  </si>
  <si>
    <t xml:space="preserve">Bianca Vertessen </t>
  </si>
  <si>
    <t xml:space="preserve">Maarten Jennes </t>
  </si>
  <si>
    <t xml:space="preserve">Yann Chevalier </t>
  </si>
  <si>
    <t xml:space="preserve">Kaijun Huang </t>
  </si>
  <si>
    <t xml:space="preserve">  Naam </t>
  </si>
  <si>
    <t>Competenties</t>
  </si>
  <si>
    <t>Code</t>
  </si>
  <si>
    <t>Functiebeschrijving</t>
  </si>
  <si>
    <t>functietitel N</t>
  </si>
  <si>
    <t>functietitel N+1</t>
  </si>
  <si>
    <t>Naam N+1</t>
  </si>
  <si>
    <t>Naam N</t>
  </si>
  <si>
    <t>We staan steeds klaar voor elkaar</t>
  </si>
  <si>
    <t>Laatste 
update</t>
  </si>
  <si>
    <t xml:space="preserve">Het proces van de klachten behandeling </t>
  </si>
  <si>
    <t xml:space="preserve">Proces nog op te maken na opmaak en goed te keuren </t>
  </si>
  <si>
    <t xml:space="preserve">Het proces van de technische documentatie  </t>
  </si>
  <si>
    <t xml:space="preserve">Het proces van technische nazorg </t>
  </si>
  <si>
    <t xml:space="preserve">Het geven van goede technische trainingen aan interne-externe klanten  en/of installatieteams van onze klanten </t>
  </si>
  <si>
    <t>Aantal trainingen jaarlijks te bepalen tijdens functioneringsgesprek – toekomst o.b.v. CRM</t>
  </si>
  <si>
    <t xml:space="preserve">De correcte behandeling en zorgvuldige opvolging van klachten : </t>
  </si>
  <si>
    <t>2 keer per jaar nakijken of de manuals nog up to date zijn (momenten te bepalen tijdens functioneringsgesprek)</t>
  </si>
  <si>
    <t>2 keer face to face contacten met lijst strategische klanten (Van Marcke – Leyco-Entretec-Monarch-Vercalo-Ecomatch-DMTE-PURO Italia)</t>
  </si>
  <si>
    <t>Minimum 1 bezoek per jaar aan vakbeurs voor waterbehandeling en met lijst strategische klanten (Van Marcke – Leyco-Entretec-Monarch-Vercalo-Ecomatch-DMTE-PURO Italia-)</t>
  </si>
  <si>
    <t xml:space="preserve">De goede samenwerking met de geselecteerde partners  </t>
  </si>
  <si>
    <t xml:space="preserve">Het communiceren en uitdragen van de missie, visie, waarden en doelstellingen  </t>
  </si>
  <si>
    <t>Het informeren van N+1 over de werking van het departement</t>
  </si>
  <si>
    <t xml:space="preserve">Geen verrassingen bij de GM. </t>
  </si>
  <si>
    <t xml:space="preserve">De correcte rapportering (intern en extern) van Finance (audit, belastingen,…)  </t>
  </si>
  <si>
    <t xml:space="preserve">Een correcte boekhouding (A/R-A/P-)  inkomende en uitgaande reminders en voldoen aan wettelijke richtlijnen. </t>
  </si>
  <si>
    <t>De opstellingen van budgetten</t>
  </si>
  <si>
    <t>Geen klachten.</t>
  </si>
  <si>
    <t xml:space="preserve">De dienstverlening aan andere managers - het bouwen van rapportering voor andere managers (trends weergeven)  </t>
  </si>
  <si>
    <t xml:space="preserve">De analyse van de financiële gegevens en advies aan het MT   </t>
  </si>
  <si>
    <t>Het Compensation &amp; Benefit incl. wagenpark (komen tot een beleid in overleg met partijen en het beleid correct laten uitvoeren of tevredenheid van medewerkers over loonbeleid – bevraging ondersteuning interne klanten)</t>
  </si>
  <si>
    <t>Opleidingen (komen tot een beleid in overleg met partijen en het beleid correct laten uitvoeren) -  Rapportering - Performance Management (komen tot een beleid in overleg met partijen en het beleid correct laten uitvoeren) - Interne Communicatie binnen de organisatie</t>
  </si>
  <si>
    <t xml:space="preserve">De wettelijkheid van Finance-HR-IT-Administratie </t>
  </si>
  <si>
    <t xml:space="preserve">De correcte werking van de systemen (ERP/telefonie/licenties/algemeen software)  </t>
  </si>
  <si>
    <t>Het beheer van contracten</t>
  </si>
  <si>
    <t xml:space="preserve">De  helpdesk  </t>
  </si>
  <si>
    <t xml:space="preserve">De hardware (intranet, website, linkedin, facebook) en Software voor automatisering van processen van de deelgebieden van de afdeling  </t>
  </si>
  <si>
    <t xml:space="preserve">Het beheer van de budgetten van de deelgebieden van de afdeling  </t>
  </si>
  <si>
    <t xml:space="preserve">Budget niet overschreden tenzij na goedkeuring verandering scope. </t>
  </si>
  <si>
    <t xml:space="preserve">Het beheer van de verzekeringen  </t>
  </si>
  <si>
    <t xml:space="preserve">De algemene netheid van faciliteiten  </t>
  </si>
  <si>
    <t>Het stroomlijnen en laten toepassen van de HR processen doorheen de volledige organisatie</t>
  </si>
  <si>
    <t xml:space="preserve"> initiatieven ontwikkelen om HR processen te beschrijven en te verbeteren, zich opstellen als proceseigenaar.</t>
  </si>
  <si>
    <t xml:space="preserve"> invulling van de job binnen de met de betrokken manager besproken termijn en de nodige / juiste facilities zijn tijdig beschikbaar en eerste positieve evaluatie na 6 maanden. </t>
  </si>
  <si>
    <t>Het proces van het afscheid nemen van medewerkers (ontslaggesprekken en exit gesprekken)</t>
  </si>
  <si>
    <t xml:space="preserve"> voor de betrokken medewerker mag het afscheid geen verrassing zijn en de betrokkene krijgt correcte info op een professionele manier en sterke en verbeterpunten van Erie Water Treatent leren kennen om gerichte acties op te zetten.</t>
  </si>
  <si>
    <t>Het organiseren van teambuilding activiteiten</t>
  </si>
  <si>
    <t xml:space="preserve"> 2 activiteiten per jaar in lijn met visie, missie en waarden binnen het bepaalde budget</t>
  </si>
  <si>
    <t>De uitwerking van een ontwikkelingsbeleid (performance management) voor medewerkers</t>
  </si>
  <si>
    <t xml:space="preserve"> in samenspraak met de betrokken manager op basis van de visie en strategische doelstellingen taakgerichte en individuele ontwikkelingsdoelen bepalen voor de medewerkers. </t>
  </si>
  <si>
    <t>De payroll van de tijdelijke en vaste binnenlandse en buitenlandse medewerkers van Aquion Belgium</t>
  </si>
  <si>
    <t xml:space="preserve"> tijdig en correct verlonen van de medewerkers en nakijken en goedkeuren van de gerelateerde facturen.</t>
  </si>
  <si>
    <t>Het onthaal van nieuwe medewerkers</t>
  </si>
  <si>
    <t xml:space="preserve"> nieuwe medewerkers geven aan dat zij goed geïnformeerd zijn en vlot geïntegreerd zijn.</t>
  </si>
  <si>
    <t>De coördinatie van de gevraagde opleiding en het maximaal binnentrekken van subsidies</t>
  </si>
  <si>
    <t xml:space="preserve"> alle goedgekeurde opleidingsaanvragen organiseren en bevragen op kwaliteit. Alle mogelijke subsidies tijdig aanvragen en alle noodzakelijke aanwezigheidsdocumenten verzamelen en meesturen. </t>
  </si>
  <si>
    <t>Het opvolgen van verzuim en het opzetten van verzuimreductie programma’s</t>
  </si>
  <si>
    <t xml:space="preserve"> opstellen, opvolgen van verzuimstatistieken en informeren medewerkers over verzuimcijfers tevens in samenspraak met het management team de kosten van verzuim houden onder x % van de loonmassa.</t>
  </si>
  <si>
    <t>Het ontwikkelen en implementeren van een HR-beleid in lijn met visie, missie en waarden</t>
  </si>
  <si>
    <t xml:space="preserve"> transparant referentiekader waaraan correcte beslissingen kunnen getoetst worden.</t>
  </si>
  <si>
    <t>Het organiseren en het (laten) uitvoeren van functioneringsgesprekken</t>
  </si>
  <si>
    <t xml:space="preserve"> opstellen en opvolgen van de competentiematrix.</t>
  </si>
  <si>
    <t xml:space="preserve"> tijdig ingrijpen wanneer afspraken niet worden nagekomen.</t>
  </si>
  <si>
    <t>Het economaat</t>
  </si>
  <si>
    <t>Het bestellen van broodjes</t>
  </si>
  <si>
    <t>De boekhouding</t>
  </si>
  <si>
    <t>De Accounts Payables</t>
  </si>
  <si>
    <t>De Accounts Receivables</t>
  </si>
  <si>
    <t>De General Ledger</t>
  </si>
  <si>
    <t>De maandelijkse afsluiting; zorgen voor een correcte en tijdige afsluiting</t>
  </si>
  <si>
    <t>De correcte naleving van de processen van facility en boekhouding</t>
  </si>
  <si>
    <t>De ontwikkeling van nieuwe componenten, producten en diensten, en de bijhorende documentatie en het optimaal onderhouden van leverancierscontacten</t>
  </si>
  <si>
    <t>De technische ondersteuning en opleiding aan andere afdelingen (prod, aankoop, sales, techn support)</t>
  </si>
  <si>
    <t>Aantal meldingen die geëscaleerd worden door andere afdelingen</t>
  </si>
  <si>
    <t>Het beheer van technische innovaties op de markt</t>
  </si>
  <si>
    <t>Het beheer van technische wijzigingen</t>
  </si>
  <si>
    <t>De orderverwerking (sales,  facturatie, communic nr prod, check pre payments) binnen ERP (80% vd tijd)</t>
  </si>
  <si>
    <t>Het boeken van transport en opmaken van bijhorende docs (pakbonnen, ) (inkomende fact)</t>
  </si>
  <si>
    <t>Het goedkeuren van binnenkomende facturen van transport</t>
  </si>
  <si>
    <t>De opvolging van de betalingsvoorwaarden (check pre payments/franco zendingen)</t>
  </si>
  <si>
    <t>Het digitaal en fysiek archief (adminis (papier en in systeem) / alg inside sales map en dossiers correct archiveren)</t>
  </si>
  <si>
    <t>Het onderhouden van de klantenfiches</t>
  </si>
  <si>
    <t>Het correct beantwoorden van vragen van klanten</t>
  </si>
  <si>
    <t>(ondersteun sales reps en info) klantenklachten op dit gebied worden minimaal gehouden</t>
  </si>
  <si>
    <t>De rapportering van de sales cijfers (omzet, verschil tussen actuals Y en Y-1 enz.) (enkel Sanne)</t>
  </si>
  <si>
    <t>Het beheer van inside sales procedures (WOW)</t>
  </si>
  <si>
    <t>Het telefonisch onthaal/receptie</t>
  </si>
  <si>
    <t>Het onderhouden van strategische klantenrelaties</t>
  </si>
  <si>
    <t>De prospectie van klanten</t>
  </si>
  <si>
    <t>Het opstellen en behalen van sales budget</t>
  </si>
  <si>
    <t>Het beheren van klantendossiers en marktkennis</t>
  </si>
  <si>
    <t>Het opnemen van sales projecten</t>
  </si>
  <si>
    <t>De samenwerking van het salesteam</t>
  </si>
  <si>
    <t>De interne communicatie met andere afdelingen, bvb certificatie voor specifiek</t>
  </si>
  <si>
    <t>Het nemen van initiatieven voor omzetverhogende projecten (creatie/beheer projecten bepaalde klanten (coördinatie klante/landspecifieke prod aanpassingen 'ontwikkeling' (engineering en klant))</t>
  </si>
  <si>
    <t>De rapportering naar N+1</t>
  </si>
  <si>
    <t>Het opstellen van het budget</t>
  </si>
  <si>
    <t>Line Resp CU</t>
  </si>
  <si>
    <t>Het uitvoeren van de assemblyactiviteiten</t>
  </si>
  <si>
    <t>Het volgen van de assemblage procedures</t>
  </si>
  <si>
    <t>geen afwijkingen vastgesteld,  het toepassen van one-piece-flow, geen onderdelen vergeten</t>
  </si>
  <si>
    <t>De taakverdeling binnen CU (Maarten en Atilla)</t>
  </si>
  <si>
    <t>Het blijven draaien van de lijn, iedereen in gang blijven, niet stilstaan, meedraaien, alles uitbalanceren</t>
  </si>
  <si>
    <t>De orde en netheid van de specifieke werkposten</t>
  </si>
  <si>
    <t>Het betrouwbaar uitvoeren van elke subtaak</t>
  </si>
  <si>
    <t>Line Resp Valve Assy</t>
  </si>
  <si>
    <t>planning behaald, Q (enkel assemblage) correct, geen klantenklachten</t>
  </si>
  <si>
    <t>De rotatie 3 posten in de cel 541 als iedereen aanwezig is</t>
  </si>
  <si>
    <t>De reporting vande KPI's</t>
  </si>
  <si>
    <t>Het correct scannen in ERP</t>
  </si>
  <si>
    <t>De orde en netheid van specifieke werkposten</t>
  </si>
  <si>
    <t>Het melden van afwijkingen (materiaal, infrastructuur enz.)</t>
  </si>
  <si>
    <t>Het rapporteren van de KPI's</t>
  </si>
  <si>
    <t>De continuïteit van de productie</t>
  </si>
  <si>
    <t>Het voorzien van de juiste productiemiddelen</t>
  </si>
  <si>
    <t>Het onderhoud van machines en tools</t>
  </si>
  <si>
    <t>TL CU</t>
  </si>
  <si>
    <t>De volledige productieplanning (valves +CU)</t>
  </si>
  <si>
    <t>De verdeling van de werkplekken binnen CU ifv aantal aanwezige medewerkers</t>
  </si>
  <si>
    <t>De administratie, afsluitingen, tellen van de assemblage, afdrukken werkbladen, lijsten werknemers en rapporteringen</t>
  </si>
  <si>
    <t>De laad- en losactivteiten wanneer warehouse employee afwezig is</t>
  </si>
  <si>
    <t>De juiste basiswerkmiddelen</t>
  </si>
  <si>
    <t>kwantiteit en Q wordt behaald, ziekteverzuim beperkt</t>
  </si>
  <si>
    <t>Het signaleren van processverbeteringen (optimalisatie)</t>
  </si>
  <si>
    <t>KPI doelstelling behaald</t>
  </si>
  <si>
    <t>TL Valve Assy</t>
  </si>
  <si>
    <t>De planning/verdeling werkplekken ifv het aantal aanwezige medewerkers</t>
  </si>
  <si>
    <t>De picking shoporders (losse onderdelen die besteld worden)</t>
  </si>
  <si>
    <t>Het toezicht op orde en netheid van de specifieke werkposten</t>
  </si>
  <si>
    <t>Het opvolgen en toepassen van de KPI's van de kleppen</t>
  </si>
  <si>
    <t>De retours van de kleppen</t>
  </si>
  <si>
    <t>Klachten klanten (herstellingen), via monitoring planning</t>
  </si>
  <si>
    <t xml:space="preserve">Het schrijven en up to date houden van bruikbare technische manuals : </t>
  </si>
  <si>
    <t xml:space="preserve">Het verlenen van een degelijke technische ondersteuning aan Sales Team en de technische dienst van onze klanten: </t>
  </si>
  <si>
    <t>De uitwerking van product management (innovatie – input vanuit de markt):</t>
  </si>
  <si>
    <t>Geen fouten in rapporten.</t>
  </si>
  <si>
    <t xml:space="preserve">Teamleader Complete Units Systems </t>
  </si>
  <si>
    <t xml:space="preserve">Line Responsible Production Complete Units </t>
  </si>
  <si>
    <t>Line Responsible Production Valve Assy</t>
  </si>
  <si>
    <t xml:space="preserve">Vacature </t>
  </si>
  <si>
    <t>Emile Janssen</t>
  </si>
  <si>
    <t xml:space="preserve">Eddy Diels </t>
  </si>
  <si>
    <t>Stefan Vandenbergh</t>
  </si>
  <si>
    <t>Peter Augustynen</t>
  </si>
  <si>
    <t>Alparslan Kurt</t>
  </si>
  <si>
    <t>Attila Kurt</t>
  </si>
  <si>
    <t>Natasja Crabbé</t>
  </si>
  <si>
    <t xml:space="preserve">Bert Verbeek </t>
  </si>
  <si>
    <t xml:space="preserve">Lore Weerts </t>
  </si>
  <si>
    <t>Robert Rink</t>
  </si>
  <si>
    <t>Michiel Truyen</t>
  </si>
  <si>
    <t xml:space="preserve">David Van Reet </t>
  </si>
  <si>
    <t>Engin Emp</t>
  </si>
  <si>
    <t xml:space="preserve">Purchase Leader </t>
  </si>
  <si>
    <t>Purchase Employee</t>
  </si>
  <si>
    <t>Purch Emp</t>
  </si>
  <si>
    <t>Bevraging bij de medewerkers door N+1</t>
  </si>
  <si>
    <t>Opmaken van heldere en beslisbare management summary</t>
  </si>
  <si>
    <t>Nog te bepalen niet aanwezig in organisatie</t>
  </si>
  <si>
    <t>Vork min-max te bepalen tegen einde 2017</t>
  </si>
  <si>
    <t>Conform de jaarlijkse afspraken gemaakt met strategisch belangrijke leveranciers (cfr lijst te bepalen)</t>
  </si>
  <si>
    <t>Volgens MCOS 56% van de omzet - waarde jaarlijks te bespreken</t>
  </si>
  <si>
    <t>Cfr. Huidige aantal nog te bepalen en te bespreken tijdens het functioneringsgesprek</t>
  </si>
  <si>
    <t>Voorstellen lanceren minimaal 5 per jaar (aantal jaarlijks te bespreken)</t>
  </si>
  <si>
    <t>Formuleren van aanbevelingen aan verkoop in functie van obsolete items – leveranciers in functie van einde afname - …</t>
  </si>
  <si>
    <t>Bevraging bij medewerkers die materialen uit magazijn ophalen (score geven) of tijdverlies bij ophalen van materialen vanuit magazijn</t>
  </si>
  <si>
    <t xml:space="preserve">Afvalberg per geproduceerd product (nog niet bekend – te bepalen) en bevraging bij betrokken medewerkers </t>
  </si>
  <si>
    <t>Bevraging bij betrokken medewerkers</t>
  </si>
  <si>
    <t>Cfr lijst</t>
  </si>
  <si>
    <t>Integratie in VISUAL – on hold tot project afgewerkt</t>
  </si>
  <si>
    <t xml:space="preserve">O.b.v. matrix parameters start van de behandeling en afhandeling van de klacht en op termijn voegen we looptijd van de klacht toe - toekomst o.b.v. CRM </t>
  </si>
  <si>
    <t>Tijdig ingrijpen wanneer afspraken niet worden nagekomen.</t>
  </si>
  <si>
    <t>Bedrijfsdoelstellingen worden naar teamdoelstellingen vertaald.</t>
  </si>
  <si>
    <t>Tijdig (cfr. Time Table) en correct (cfr. ….) volgens afspraak met N+1.</t>
  </si>
  <si>
    <t xml:space="preserve">Budgetten tijdeig en correct opgesteld </t>
  </si>
  <si>
    <t xml:space="preserve">Bevraging tevredenheid van andere managers – collega’s zijn tevreden. </t>
  </si>
  <si>
    <t>Correcte analyses en zorgvuldig advies (te beoordelen door de managers)</t>
  </si>
  <si>
    <t>Geen boetes.</t>
  </si>
  <si>
    <t xml:space="preserve">Alle contracten tijdig vernieuwd of opgezegd. </t>
  </si>
  <si>
    <t xml:space="preserve">Meten van de interne klantentevredenheid. </t>
  </si>
  <si>
    <t xml:space="preserve">Projecten opgelijst, geprioritiseerd en opgevolgd. Milestones gehaald. </t>
  </si>
  <si>
    <t xml:space="preserve">Geen claims die negatief wegen op het eindresultaat. </t>
  </si>
  <si>
    <t xml:space="preserve">Alles ligt er netjes bij. </t>
  </si>
  <si>
    <t>Geen stockbreuken</t>
  </si>
  <si>
    <t>Tijdige en correcte betalingen – geen aanmaningen</t>
  </si>
  <si>
    <t>Tijdig betaald krijgen van de klantenfacturen</t>
  </si>
  <si>
    <t>Zorgen dat de balansposten een correcte weergave hebben – correcte aansluiting van de afsluitfile</t>
  </si>
  <si>
    <t>Cijfers de 3de werkdag van de maand klaar hebben</t>
  </si>
  <si>
    <t>Correcte en tijdige aangiftes zonder boetes</t>
  </si>
  <si>
    <t>Processen nog op te maken</t>
  </si>
  <si>
    <t>Afwijkingen tov specificatie, (prod en invest) kost, doorlooptijd tijdig en transparant communiceren</t>
  </si>
  <si>
    <t>Aantal engineering klachten dient 0 te zijn</t>
  </si>
  <si>
    <t>Behalen van vooropgesteld aantal beurs – en leveranciersbezoeken</t>
  </si>
  <si>
    <t>Correctheid en up to date houden van BOM's en parts</t>
  </si>
  <si>
    <t>Binnen de werkdag orderbevestiging verstuurd tenzij niet alle planningsgegevens voorhanden zijn en de bestelling werd gefactureerd</t>
  </si>
  <si>
    <t>Alle goederen worden opgehaald volgens boeking</t>
  </si>
  <si>
    <t>Het aangerekende bedrag moet correct zijn</t>
  </si>
  <si>
    <t>Klanten met bepaalde prepayment voorwaarden worden on hold gezet tot betaling binnen is</t>
  </si>
  <si>
    <t>Up to date houden van deze elementen, alle docs zijn geklasseerd in submappen</t>
  </si>
  <si>
    <t>Nieuwe klanten, bepal sales rep, wijzigingen, verwerken prijzen (bvb kortingen) BTW nrs checken (in visual): al de aangereikte info wrd onmiddellijk bijgewerkt</t>
  </si>
  <si>
    <t>Tijdige en correcte oplevering vd verschillende rapporten</t>
  </si>
  <si>
    <t>Procedures weerspiegelen effectieve en correcte werking inside sales</t>
  </si>
  <si>
    <t>Snel en goed doorverbinden</t>
  </si>
  <si>
    <t>Tijdig escaleren van problemen</t>
  </si>
  <si>
    <t>Gebudgetteerde omzet nieuwe klanten behaald</t>
  </si>
  <si>
    <t>Budgetten behaald</t>
  </si>
  <si>
    <t>Dossiers zijn transparant gedocumenteerd</t>
  </si>
  <si>
    <t>Sales projectdoelstellingen worden gerealiseerd</t>
  </si>
  <si>
    <t>Meetbare doelstelling geformuleerd in projectaanvragen</t>
  </si>
  <si>
    <t>Geen afwijkingen vastgesteld,  het toepassen van one-piece-flow, geen onderdelen vergeten</t>
  </si>
  <si>
    <t>Geen opmerkingen van teamleader of assistent-TL of andere collega's</t>
  </si>
  <si>
    <t>Tijdig en correct invullen Excelsheet</t>
  </si>
  <si>
    <t>Systematisch en correct laten draaien in visual</t>
  </si>
  <si>
    <t>Geen klachten collega's, Q behalen, behalen van KPI's</t>
  </si>
  <si>
    <t>Behalen van de prod KPI’s, aantal process stilstanden moeten binnen 1u opgelost worden</t>
  </si>
  <si>
    <t>Productie/to do bord check vervallen taken en nakijken van meeting minutes die naar Jurgen worden verzonden</t>
  </si>
  <si>
    <t>Opstellen en beheren maintenance plan</t>
  </si>
  <si>
    <t>Productieaantallen behaald</t>
  </si>
  <si>
    <t>Correcte en tijdge afhandeling maandafsluit, feedback HR en team, correcte capaciteitsbewaking - planning zonder ingrijpen van Ops Mgr</t>
  </si>
  <si>
    <t>Scrap ophaling ook bij Tiny, werktafels, 5S ewaarden opvolgen</t>
  </si>
  <si>
    <t>Cfr. Jaarlijks te bepalen criteria a.d.h.v.. matrix leverperformantie</t>
  </si>
  <si>
    <t>Conform lijst A-leveranciers aankoopafwijkingen nog te maken</t>
  </si>
  <si>
    <t>Conform KPI stockwaarde jaarlijks te bepalen</t>
  </si>
  <si>
    <t>Bevraging bij interne klanten en leveranciers</t>
  </si>
  <si>
    <t>To be defined</t>
  </si>
  <si>
    <t>De orde en netheid van de refter en de toiletten</t>
  </si>
  <si>
    <t xml:space="preserve">Sub competentie </t>
  </si>
  <si>
    <t xml:space="preserve">Vertaalt de kennis over het vakgebied en de markt naar de juiste aanpak en past kennis toe op de marktbehoeften. </t>
  </si>
  <si>
    <t xml:space="preserve">Begrijpt bedrijfsstrategieën en legt verbanden tussen eigen acties en strategische doelen </t>
  </si>
  <si>
    <t xml:space="preserve">Onderhoud duidelijke communicatie met klanten en neemt persoonlijke verantwoordelijkheid </t>
  </si>
  <si>
    <t xml:space="preserve">Onderneemt actie ten behoeve van de klant en hanteert hierbij een langetermijnperspectief </t>
  </si>
  <si>
    <t xml:space="preserve">Organisatorische communicatie </t>
  </si>
  <si>
    <t xml:space="preserve">Begrijpt en handelt naar de politieke relaties en de onderliggende problematiek van de organisatie </t>
  </si>
  <si>
    <t>Maakt een beduidende hoeveelheid tijd of middelen vrij om de  rentabiliteit van de onderneming te vergroten (bv om prestaties te verbeteren of een uitdagend doel te bereiken, enz.…)</t>
  </si>
  <si>
    <t>Creëert kansen en mogelijkheden, en anticipeert op kansen en bedreigingen in de nabije toekomst</t>
  </si>
  <si>
    <t xml:space="preserve">Is op lange termijn gericht op het bereiken van het doel, blijft bij het eigen standpunt tot anderen erkennen of er rekening mee houden. </t>
  </si>
  <si>
    <t>Houdt zich aan de afgesproken procedures en afspraken</t>
  </si>
  <si>
    <t>Gaat efficiënt om met stress</t>
  </si>
  <si>
    <t>Probeert anderen onder stress te leren werken en gaat zelf proactief om met stress</t>
  </si>
  <si>
    <t>Maakt een stappenplan om onderneemt gerichte acties om een bepaalde positie te bekomen (bv: training, meedoen aan specifieke projecten om ervaring op te doen)</t>
  </si>
  <si>
    <t xml:space="preserve">Schriftelijke communicatie </t>
  </si>
  <si>
    <t>Maakt zich verstaanbaar door een heldere opbouw en structuur, en is goed te volgen door de anderen</t>
  </si>
  <si>
    <t>Formuleert zaken in goed lopende, vloeiende zinnen.</t>
  </si>
  <si>
    <t>Drukt zich helder uit.</t>
  </si>
  <si>
    <t xml:space="preserve">De boodschap wordt door de anderen goed begrepen </t>
  </si>
  <si>
    <t>Houdt een samenhangend en helder betoog, waarin hoofd- en bijzaken gescheiden zijn.</t>
  </si>
  <si>
    <t>Beantwoordt inhoudelijke vragen afdoende .</t>
  </si>
  <si>
    <t>Gebruikt complexe onderhandelingsstrategieën</t>
  </si>
  <si>
    <t xml:space="preserve">Controleert het werk van anderen en controleert de voortgang van processen/projecten </t>
  </si>
  <si>
    <t xml:space="preserve">Zet op consistente wijze prestaties en functioneren af tegen afgesproken normen en geeft hierop tijdig feedback aan de medewerkers </t>
  </si>
  <si>
    <t>Controleert teksten van anderen zeer nauwkeurig en zal hen wijzen op eventuele fouten; zal samenvattingen en teksten gebruiken om het eigen handelen daadkracht te geven</t>
  </si>
  <si>
    <t>Categorie</t>
  </si>
  <si>
    <t>Het management team is gemotiveerd en werk goed samen.</t>
  </si>
  <si>
    <t xml:space="preserve">Alle verantwoordelijkheden zijn zo ver mogelijk in de organisatie gedelegeerd </t>
  </si>
  <si>
    <t xml:space="preserve">Corporate Bowling Chart is up to date </t>
  </si>
  <si>
    <t>Het bedrijf is extern correct vertegenwoordigd</t>
  </si>
  <si>
    <t>De kwaliteitsnormen worden jaarlijks beoordeeld 'beoordeling door de directie'</t>
  </si>
  <si>
    <t>Zie RGA's RGA en departementele Bowling Charts en opvolging tussentijdse KPI’s</t>
  </si>
  <si>
    <t>Zie RGA en departementele Bowling Charts en opvolging tussentijdse KPI’s</t>
  </si>
  <si>
    <t>Het opvolgen van de succesvolle realisatie vd interne projecten binnen Dept Operations</t>
  </si>
  <si>
    <t>De Levering van de bestellingen binnen afgesproken termijnen ahv afgesproken planning</t>
  </si>
  <si>
    <t>De opvopvolging klachten</t>
  </si>
  <si>
    <t>De goede samenwerking tussen teamleden</t>
  </si>
  <si>
    <t xml:space="preserve">Geen klachten van medewerkers </t>
  </si>
  <si>
    <t>De te behalen KPI’s</t>
  </si>
  <si>
    <t xml:space="preserve">KPI's werden behaald </t>
  </si>
  <si>
    <t>Geen opmerkongen mbt communicatie van N+1</t>
  </si>
  <si>
    <t>Het opstellen van operations budget</t>
  </si>
  <si>
    <t>Behalen van de targets mbt MCOS, direct labor tov catalogusprijs</t>
  </si>
  <si>
    <t>Het bedrijf werkt met de juiste leveranciers/partners/leveringscondities (w gedelegeerd nr Tim – Purchase Leader)</t>
  </si>
  <si>
    <t>De aankoop van goederen</t>
  </si>
  <si>
    <t>Het bepalen en uitvoeren van de sales strategie</t>
  </si>
  <si>
    <t>Salesstrategie is gecommuniceerd en gekend in bedrijf</t>
  </si>
  <si>
    <t>Het bepalen en uitvoeren van de marketing strategie</t>
  </si>
  <si>
    <t>Marketingstrategie is gecommuniceerd en gekend in bedrijf</t>
  </si>
  <si>
    <t xml:space="preserve">Het communicatieplan van de organisatie </t>
  </si>
  <si>
    <t>Imago en naambekendheid van de organisatie wordt groter</t>
  </si>
  <si>
    <t>Het managen van klantentevredenheid</t>
  </si>
  <si>
    <t>De klantverwachtingen zijn gekend; geen klanten verliezen</t>
  </si>
  <si>
    <t>Het nemen van initiatieven voor de motivatie van eigen personeel en ter bevordering van de goede teamwerking</t>
  </si>
  <si>
    <t>Het behalen van de KPI’s</t>
  </si>
  <si>
    <t>De KPI's werden behaald</t>
  </si>
  <si>
    <t xml:space="preserve">De samenwerking tss Dept Sales en Operations </t>
  </si>
  <si>
    <t xml:space="preserve">Geen klachten van de medewerkers </t>
  </si>
  <si>
    <t>Het correct en tijdige + efficiënte aanvoer materiaal naar assemblage posten (CU + valves)</t>
  </si>
  <si>
    <t>Geen stilstand aan de posten en geen opmerkingen vanuit assemblage medew/LG</t>
  </si>
  <si>
    <t>Het aanvullen van grijpvoorraden en hoofdvoorraden (2 x dag / vrijdagse vrbereid vaste aanvuldag)</t>
  </si>
  <si>
    <t>Het visuele checken van kwaliteit van geleverde goederen en escaleren van problemen nr montage</t>
  </si>
  <si>
    <t>Geen kwaliteitsproblemen vastgesteld tijdens montage</t>
  </si>
  <si>
    <t xml:space="preserve">De Sub Assy taken </t>
  </si>
  <si>
    <t>Zie functiebeschrijving Prod Emp valve</t>
  </si>
  <si>
    <t xml:space="preserve">Geen accidenten </t>
  </si>
  <si>
    <t>Het rijden met de heftruck</t>
  </si>
  <si>
    <t>Alle producttekeningen bevatten de juist versienummer en de laatste versie wordt gehanteerd</t>
  </si>
  <si>
    <t>De juiste technische definities en goedkeuring van producten en diensten (app)</t>
  </si>
  <si>
    <t>De vooropgestelde planningen worden behaald</t>
  </si>
  <si>
    <t>Productieaantallen worden behaald en is realistisch</t>
  </si>
  <si>
    <t>Magazijn blijft functioneren bij afwezigheid van magazijnier</t>
  </si>
  <si>
    <t>Het opvolgen en toepassen van de KPI's van CU</t>
  </si>
  <si>
    <t xml:space="preserve">KPI's worden behaald </t>
  </si>
  <si>
    <t>Kwantiteit en Kwaliteit worden behaald, ziekteverzuim is beperkt</t>
  </si>
  <si>
    <t>Planning behaald, Kwaliteit (enkel assemblage) correct, geen klantenklachten</t>
  </si>
  <si>
    <t>Alle projecten worden opgevolgd vlg projectmatige parameters (timing, budget, cost reduction, kwaliteit/scope)</t>
  </si>
  <si>
    <t xml:space="preserve">Geen klantenklachten </t>
  </si>
  <si>
    <t>Alle klachten werden beantwoord en opgelost.</t>
  </si>
  <si>
    <t xml:space="preserve">Het operations budget is tijdig klaar en realistisch. </t>
  </si>
  <si>
    <t>De productiekost van de onderdelen</t>
  </si>
  <si>
    <t>Jing Liang</t>
  </si>
  <si>
    <t>Verantwoordelijk voor externe rapportering (BTW, INTRASTAT,Recupel …)</t>
  </si>
  <si>
    <t xml:space="preserve">Behalen van de vooropgestelde productieaantallen - geen stilstand </t>
  </si>
  <si>
    <t>De opzet aan de band, body trimming en inpak (3 cellen klaarzetten voor de productie aanvangt)</t>
  </si>
  <si>
    <t xml:space="preserve">Het klaarzetten aan de lijn van de verschillende componenten: sub assy briene well, sub assy accessoires,  sub assy covers (3 cellen)   </t>
  </si>
  <si>
    <t>Het toepassen van de rotatiesysteem aan 1 van de 6 stations als iedereen aanwezig is</t>
  </si>
  <si>
    <t>Medewerkers zijn tevreden over de planning</t>
  </si>
  <si>
    <t>Planning wordt behaald, Kwaliteit is correct en er zijn geen klantenklachten</t>
  </si>
  <si>
    <t>Oplossingen worden gevonden bij capaciteitsproblemen (ziekte, afwezigheden, …)</t>
  </si>
  <si>
    <t xml:space="preserve">Medewerkers zijn gemotiveerd </t>
  </si>
  <si>
    <t>Het escaleren van een vraag naar TL CU mbt het behandelen van het product</t>
  </si>
  <si>
    <t xml:space="preserve">Geen assemblage fouten </t>
  </si>
  <si>
    <t xml:space="preserve">Medewerkers kennen de job. </t>
  </si>
  <si>
    <t>De opleiding van nieuwe medewerkers (+ bevraging kennis jobinoud na 6 maand)</t>
  </si>
  <si>
    <t xml:space="preserve">Het laten 'draaien' van de werkpost van de 541 klep </t>
  </si>
  <si>
    <t>Feedback van de medewerkers, communicatie bnnen het team en feedback naar engineering over mogelijke problemen</t>
  </si>
  <si>
    <t xml:space="preserve">De overdracht van productinformatie bij aangepaste producten </t>
  </si>
  <si>
    <t xml:space="preserve">Alle medewerkers zijn op de hoogte van de aanpassingen </t>
  </si>
  <si>
    <t>Planning behaald,Kwaliteit (enkel assemblage) correct, geen klantenklachten</t>
  </si>
  <si>
    <t>Planning wordt behaald, Kwaliteitcorrect en geen klantenklachten</t>
  </si>
  <si>
    <t xml:space="preserve">De werkplek ligt er altijd netjes bij. </t>
  </si>
  <si>
    <t>Geen klachten collega's, Kwaliteit behalen, behalen van KPI's</t>
  </si>
  <si>
    <t>Planning behaald, Kwaliteit  (enkel assemblage) correct, geen klantenklachten</t>
  </si>
  <si>
    <t xml:space="preserve">Production Supply Operator </t>
  </si>
  <si>
    <t>Prod Suppl Oper/Assy</t>
  </si>
  <si>
    <t>Production Supply Operator/Assy</t>
  </si>
  <si>
    <t>Prod Suppl Oper</t>
  </si>
  <si>
    <t>Prod Oper CU</t>
  </si>
  <si>
    <t>Production Operator Complete Units</t>
  </si>
  <si>
    <t>Prod Oper valve</t>
  </si>
  <si>
    <t>Production Operator Valve Assy</t>
  </si>
  <si>
    <t xml:space="preserve">Engineering Employee Production Support </t>
  </si>
  <si>
    <t xml:space="preserve">Engin Emp Prod Sup </t>
  </si>
  <si>
    <t xml:space="preserve">De procesverbetering en continuous improvement van de productie </t>
  </si>
  <si>
    <t xml:space="preserve">Afronden van projecten/verbeteringen binnen vooropgestelde termijn (Q, cost, en tijdige oplevering) </t>
  </si>
  <si>
    <t>Het testen en beheren van de ontwikkelde nieuwe componenten, producten en diensten</t>
  </si>
  <si>
    <t>Het beheer van de matrialen database</t>
  </si>
  <si>
    <t>Prototypes worden steeds verder ontwikkeld, klachten moeten beheerd worden mbt nieuwe componenten , nieuwe leverancier vinden als de klachten aanhouden</t>
  </si>
  <si>
    <t xml:space="preserve">Processen nog op te maken zie orderpolicy Purchase Leader </t>
  </si>
  <si>
    <t>Conform KPI stockbreuken jaarlijks te bepalen – nog op te maken definitie stockbreuken</t>
  </si>
  <si>
    <t>Wareh Oper</t>
  </si>
  <si>
    <t xml:space="preserve">Warehouse Operator </t>
  </si>
  <si>
    <t>Björn Verschaeve</t>
  </si>
  <si>
    <t>De verzending van goederen</t>
  </si>
  <si>
    <t>De ontvangst van goederen</t>
  </si>
  <si>
    <t>Er is een correcte match tussen leverbon en  telling van werkelijk geleverd, levering is nagekeken: geen afwijkingen en geen beschadigingen</t>
  </si>
  <si>
    <t>Alle componenten zijn correct verpakt, verzonden en documenten zijn compleet. Geen klantenklachten (via registratie Techn. Supp emp.) obv verzending</t>
  </si>
  <si>
    <t>Er is een correcte match tussen uitgaande onderdelen en geassembleerde onderdelen (problematiek:  levertermijn niet gerespecteerd =&gt; probleem assemblage)</t>
  </si>
  <si>
    <t>Het ingeven van werkorders in Visual, ook voor 3PL (beschutte werkplaats/maatwerkbedrijf) en afboeken voorraad</t>
  </si>
  <si>
    <t>Alles gaat erin</t>
  </si>
  <si>
    <t xml:space="preserve">De correcte en maximale berekening van vulling containers uittellen voor china </t>
  </si>
  <si>
    <t xml:space="preserve">De efficiënte plaatsing (stapeling) van goederen in  in magazijn en van de geloste containers  </t>
  </si>
  <si>
    <t>Het aantal mogelijke productiedagen is maximaal met een volledig gevuld magazijn.</t>
  </si>
  <si>
    <t xml:space="preserve">Het efficient beheren van de afvalstroom (plastiek,, karton, restafval) </t>
  </si>
  <si>
    <t xml:space="preserve">De productiemedewerkers hebben steeds voldoende ruimte voor het deponeren van afval  </t>
  </si>
  <si>
    <t>Het correct invullen van transportdocs</t>
  </si>
  <si>
    <t>Geen klachten van klanten</t>
  </si>
  <si>
    <t>Het overzicht bewaren van alle materialen die geplaatst zijn in magazijn</t>
  </si>
  <si>
    <t>Weten waar alles staat</t>
  </si>
  <si>
    <t>De orde en netheid in de afgebakende zone van magazijn</t>
  </si>
  <si>
    <t>Orde en netheid op ieder moment van de dag</t>
  </si>
  <si>
    <t>Het correct beheren extern magazijn</t>
  </si>
  <si>
    <t>De stocklijst is correct op elk moment</t>
  </si>
  <si>
    <t xml:space="preserve">De orderpicking van spare parts obv klantenorder </t>
  </si>
  <si>
    <t>Het opvolgen van het klein onderhoud van de heftrucks</t>
  </si>
  <si>
    <t xml:space="preserve">Heftrucks zijn preventief onderhouden </t>
  </si>
  <si>
    <t>Het tijdig aangeven van de behoeften mbt magazijnmateriaal (palleten, wikkelfolie, tape, enz.)</t>
  </si>
  <si>
    <t>We vallen niet zonder - geen stockbreuk</t>
  </si>
  <si>
    <t xml:space="preserve">De beschrijving, doen toepassen en de verbetering van de processen van het vakgebied </t>
  </si>
  <si>
    <t>Het communiceren en het laten toepassen van het kwaliteits, veiligheids -, gezondheids -, en milieubeleid van toepassing op de dienst</t>
  </si>
  <si>
    <t>Het kwaliteits, veiligheidsbeleid wordt nageleefd en gecommuniceerd</t>
  </si>
  <si>
    <t>Bevraging bij de medewerkers door N+1 en tijdens het fuctioneringsgesprek</t>
  </si>
  <si>
    <t>Het aansturen/motiveren/coachen/opleiden/samenwerking  en feedback geven van teamleden</t>
  </si>
  <si>
    <t>De retentie eigen personeel</t>
  </si>
  <si>
    <t>Geen ontslagen</t>
  </si>
  <si>
    <t xml:space="preserve">De retentie van eigen personeel </t>
  </si>
  <si>
    <t>De goede samenwerking met de geselecteerde partners (vb. Partena,  …)</t>
  </si>
  <si>
    <t>Het bepalen van de missie, visie en waarden van de organisatie en de communicatie hierrond</t>
  </si>
  <si>
    <t>Iedereen is op de hoogte van de missie, visie en waarden</t>
  </si>
  <si>
    <t>Het bepalen van de proceseigenaars en het toezicht op het opnemen van de verantwoordelijkheden door proceseigenaars</t>
  </si>
  <si>
    <t xml:space="preserve">Alle proceseigenaars zijn gekend en nemen hun verantwoordelijkheden op. </t>
  </si>
  <si>
    <t>De strategie en het businessplan</t>
  </si>
  <si>
    <t>Behalen van de lange termijn doelstellingen en behalen van corporate doelstellingenis gerealiseerd. Businessplan opgemaakt en gevolgd</t>
  </si>
  <si>
    <t xml:space="preserve">Het bepalen van de prioriteiten m.b.t. het verdelen van de resources </t>
  </si>
  <si>
    <t xml:space="preserve">Beoordeling door Raad van Bestuur </t>
  </si>
  <si>
    <t xml:space="preserve">Het beheren van het productmanagement </t>
  </si>
  <si>
    <t>De ontwikkelde producten zijn winstgevend en gedocumenteerd</t>
  </si>
  <si>
    <t>De opvolging van de interne projecten</t>
  </si>
  <si>
    <t>PMO is opgezet en voortgang projecten wordt opgevolgd.</t>
  </si>
  <si>
    <t>Alle verantwoordelijkheden werden zo laag mogelijk gedelegeerd</t>
  </si>
  <si>
    <t xml:space="preserve">Broodjes </t>
  </si>
  <si>
    <t xml:space="preserve">Interne klant is tevreden </t>
  </si>
  <si>
    <t>Economaat</t>
  </si>
  <si>
    <t>Post</t>
  </si>
  <si>
    <t xml:space="preserve">Het verdelen van de post </t>
  </si>
  <si>
    <t>Geen post die terugkomt omdat ze verkeerd toegewezen was - Post is correct en confidentieel verdeeld.</t>
  </si>
  <si>
    <t>Keuken</t>
  </si>
  <si>
    <t>Het beheren van keuken</t>
  </si>
  <si>
    <t>De gebruikers zijn tevreden over beschikbaarheid, orde en netheid, uitrusting van de vergaderzalen - enquête bij de gebruikers</t>
  </si>
  <si>
    <t xml:space="preserve">Betalingen </t>
  </si>
  <si>
    <t xml:space="preserve">De tijdige en correcte betaling van de leveranciers </t>
  </si>
  <si>
    <t>Geen betalingsherinneringen van leveranciers + Geen out of cash probleem</t>
  </si>
  <si>
    <t xml:space="preserve">De opvolging van de betalingen door banken als gevolg van de factoring </t>
  </si>
  <si>
    <t>Bedragen worden allemaal ontvangen</t>
  </si>
  <si>
    <t xml:space="preserve">Het innen van de klantenfacturen </t>
  </si>
  <si>
    <t>Geen betalingsachterstand zodat het factoring bedrag minimaal is.</t>
  </si>
  <si>
    <t>Boekhouding</t>
  </si>
  <si>
    <t xml:space="preserve">Boekhouding </t>
  </si>
  <si>
    <t xml:space="preserve">Het correct ingeven van alle elementen tbv het boekhouding </t>
  </si>
  <si>
    <t>Boekhouding staat correct - Revisor heeft geen opmerkingen</t>
  </si>
  <si>
    <t xml:space="preserve">De bedrijfsspecifieke aangiften (BTW, Intracommunautaire leveringen, Kwartaal, Materieel en outillage  per vestiging voor bepaling KI, # gemotoriseerde machines, belasting Stad A'pen, </t>
  </si>
  <si>
    <t>Geen boetes/ klachten van instanties</t>
  </si>
  <si>
    <t>De boekingen van de maandafsluiting (NTOF, toe te rekenen kosten)</t>
  </si>
  <si>
    <t>P&amp;L rapportage is waarheidsgetrouw</t>
  </si>
  <si>
    <t xml:space="preserve">Factureren </t>
  </si>
  <si>
    <t xml:space="preserve">Het opmaken en versturen van facturen naar de klanten </t>
  </si>
  <si>
    <t>Alle klanten op het orderboek van een bepaalde periode werden correct gefactureerd</t>
  </si>
  <si>
    <t xml:space="preserve">Het inboeken van alle leveranciersfacturen </t>
  </si>
  <si>
    <t>Alles is op het eind van de maand (ten laatste 5e van de volgende maand) correct geboekt volgens boekhoudregels</t>
  </si>
  <si>
    <t xml:space="preserve">De voorschotfacturen </t>
  </si>
  <si>
    <t>Wettelijk betaald</t>
  </si>
  <si>
    <t>Kassa</t>
  </si>
  <si>
    <t>De kassa contant geld in orde houden</t>
  </si>
  <si>
    <t/>
  </si>
  <si>
    <t xml:space="preserve">Ontvangen </t>
  </si>
  <si>
    <t xml:space="preserve">Rapportering </t>
  </si>
  <si>
    <t>Verantwoordelijk voor externe rapportering (BTW, INTRASTAT,…)</t>
  </si>
  <si>
    <t>Magazijn</t>
  </si>
  <si>
    <t>Het stockbeheer van de consumables (handschoenen, maskers, zeep, producten, batterijen, vodden): geen stockbreuk</t>
  </si>
  <si>
    <t>All</t>
  </si>
  <si>
    <t>Admin</t>
  </si>
  <si>
    <t xml:space="preserve">Het uitvoeren van administratieve opdrachten vanuit het ganse bedrijf </t>
  </si>
  <si>
    <t>Door peiling van de interne klanten over tevredenheid - niveau "zeer goed" (4/5)</t>
  </si>
  <si>
    <t xml:space="preserve">Archief </t>
  </si>
  <si>
    <t xml:space="preserve">Het organiseren van het klassement </t>
  </si>
  <si>
    <t>Alles snel en makkelijk terugvindbaar</t>
  </si>
  <si>
    <t xml:space="preserve">Data input </t>
  </si>
  <si>
    <t xml:space="preserve">Het ingeven van de juiste administratieve gegevens in het ERP systeem: </t>
  </si>
  <si>
    <t>Op elk moment correcte data en op uniforme wijze in ERP beschikbaar.</t>
  </si>
  <si>
    <t>Onthaal</t>
  </si>
  <si>
    <t xml:space="preserve">Het goede onthaal van bezoekers </t>
  </si>
  <si>
    <t>Bezoekers zijn tevreden over onthaal (peiling tevredenheid)</t>
  </si>
  <si>
    <t>Het behandelen van inkomende mails van info@.... .be</t>
  </si>
  <si>
    <t>Geen klachten door externen en/of interne medewerkers</t>
  </si>
  <si>
    <t xml:space="preserve">Telefoon </t>
  </si>
  <si>
    <t>De correcte werking van het automatisch antwoordapparaat</t>
  </si>
  <si>
    <t xml:space="preserve">Geen klachten </t>
  </si>
  <si>
    <t>Het afzetten van de doorverwijzing van de telefoon</t>
  </si>
  <si>
    <t>Binnen de werkuren komt de telefoon bij het onthaal.</t>
  </si>
  <si>
    <t xml:space="preserve">Het beantwoorden van telefoon van klanten </t>
  </si>
  <si>
    <t>Binnen 3 x bellen</t>
  </si>
  <si>
    <t xml:space="preserve">Vergaderzalen </t>
  </si>
  <si>
    <t xml:space="preserve">Het beheren van vergaderzalen </t>
  </si>
  <si>
    <t xml:space="preserve">Marketing </t>
  </si>
  <si>
    <t xml:space="preserve">Het realiseren van een positief imago </t>
  </si>
  <si>
    <t>Positief imago meten via klantentevredenheid en leveranciersvertrouwen</t>
  </si>
  <si>
    <t xml:space="preserve">Kwaliteit </t>
  </si>
  <si>
    <t>Het formuleren van verbeteringsvoorstellen</t>
  </si>
  <si>
    <t>Proactief meewerken aan een efficiëntere werking</t>
  </si>
  <si>
    <t>PMO</t>
  </si>
  <si>
    <t>De projectleiding van de toegewezen interne projecten</t>
  </si>
  <si>
    <t>Engin emp</t>
  </si>
  <si>
    <t>Engineering</t>
  </si>
  <si>
    <t>Het beheer van de database</t>
  </si>
  <si>
    <t xml:space="preserve">Engineering </t>
  </si>
  <si>
    <t>Juiste technische definities en goedkeuring van producten en diensten (app)</t>
  </si>
  <si>
    <t>Innovatie</t>
  </si>
  <si>
    <t xml:space="preserve">Product management </t>
  </si>
  <si>
    <t>Engin emp prod sup</t>
  </si>
  <si>
    <t xml:space="preserve">Keuring </t>
  </si>
  <si>
    <t xml:space="preserve">Het uitvoeren van de technische keuring en herkeuring: </t>
  </si>
  <si>
    <t>Alle voertuigen zijn gekeurd vóór vervaldag. Geen herkeuringen voor vermijdbare defecten: 50% minder herkeuringen.</t>
  </si>
  <si>
    <t>Kwaliteit</t>
  </si>
  <si>
    <t xml:space="preserve">De opmaak van QC-gerelateerde procedures en documenten </t>
  </si>
  <si>
    <t>Correcte instructies zijn beschikbaar voor het correct uitvoeren van QC activiteiten</t>
  </si>
  <si>
    <t>De validatie en kalibratie van alle toestellen. Het opvolgen + plannen dat het gebeurd (timing)</t>
  </si>
  <si>
    <t>Ook externe kalibratie</t>
  </si>
  <si>
    <t>De review en goedkeuring van QC gerelateerde procedures en documenten.</t>
  </si>
  <si>
    <t xml:space="preserve">Magazijn </t>
  </si>
  <si>
    <t>Het up-to-date houden van de Gereedschappen</t>
  </si>
  <si>
    <t>Onderhoud</t>
  </si>
  <si>
    <t xml:space="preserve">onderhoud </t>
  </si>
  <si>
    <t xml:space="preserve">Onderhoud  </t>
  </si>
  <si>
    <t xml:space="preserve">Het plannen en (laten) uitvoeren van preventief onderhoud van alle materieel. </t>
  </si>
  <si>
    <t>Per wagen geldt een checklist met vervaldaglijst voor werkzaamheden. Frequentie van elke handeling wordt bepaald en gehanteerd. Gemiddelde maximale stilstand van de wagen door defecten: 10 dagen.</t>
  </si>
  <si>
    <t xml:space="preserve">De goede en volledige staat van het materieel </t>
  </si>
  <si>
    <t>Geen pannes / geen ad hoc spoedinterventies op beschikbaarheid van het materieel/niets verdwijnt</t>
  </si>
  <si>
    <t>De communicatie met bureau om planning, onderhoud en aanschaf materiaal (advies) op elkaar af te stemmen. SPOC</t>
  </si>
  <si>
    <t>Het beheer van de technische bedrijfsmiddelen</t>
  </si>
  <si>
    <t>Bedrijfsmiddelen zijn beschikbaar en zowel technisch, administratief, wettelijk als op gebied van veiligheid in orde.</t>
  </si>
  <si>
    <t>F&amp;A mgr</t>
  </si>
  <si>
    <t xml:space="preserve">Audits </t>
  </si>
  <si>
    <t xml:space="preserve">Het uitvoeren en begeleiden van interne en externe audits </t>
  </si>
  <si>
    <t>Voor de interne audits werd de planning gevolgd. Voor de externe audits werd het antwoord op het auditrapport aanvaard door de externe auditor.</t>
  </si>
  <si>
    <t xml:space="preserve">Het beheren van het archief </t>
  </si>
  <si>
    <t>Archief ordelijk en net en archivering volgens wettelijke bepalingen</t>
  </si>
  <si>
    <t>Budget</t>
  </si>
  <si>
    <t>Het accorderen van budgetten, contracten en overeenkomsten - Het bewaken van de gebudgetteerde overheadkosten met waarborg van de bedrijfsvisie op het vlak van kwaliteit, veiligheid, milieu, algemene doelstellingen ende bedrijfswaarden</t>
  </si>
  <si>
    <t>De budgetten zijn geaccordeerd - Overheadkosten blijven binnen budget.</t>
  </si>
  <si>
    <t xml:space="preserve">Banken </t>
  </si>
  <si>
    <t xml:space="preserve">De goede relatie met de banken </t>
  </si>
  <si>
    <t>Altijd 'on speaking terms' met schuldeisers en banken</t>
  </si>
  <si>
    <t xml:space="preserve">Het tijdig neerleggen van de jaarafsluiting </t>
  </si>
  <si>
    <t xml:space="preserve">Volgens wettelijk voorschriften </t>
  </si>
  <si>
    <t xml:space="preserve">Het oplossen van boekingsverschillen </t>
  </si>
  <si>
    <t>Eind van het jaar zijn alle verschillende afwijkingen tussen betalingen en facturen van klanten en leveranciers opgelost.</t>
  </si>
  <si>
    <t xml:space="preserve">Budget </t>
  </si>
  <si>
    <t>De tijdig en correct opstellingen van budgetten</t>
  </si>
  <si>
    <t>Volgens afspraak</t>
  </si>
  <si>
    <t>Budget niet overschreden tenzij na goedkeuring verandering scope.</t>
  </si>
  <si>
    <t>Cash</t>
  </si>
  <si>
    <t xml:space="preserve">Het opmaken van een cashplanning </t>
  </si>
  <si>
    <t>Signaleren van het cash(flow) probleem als het zich voordoet - documenten optimaal benutten</t>
  </si>
  <si>
    <t>Fin Analyse</t>
  </si>
  <si>
    <t>Het correct adviseren ivm de financiële gezondheid van het bedrijf (cash + LT)</t>
  </si>
  <si>
    <t>Geen verassingen of onvoorziene cashproblemen</t>
  </si>
  <si>
    <t xml:space="preserve">De tijdige en correcte financiële rapportage + interpreteren van de cijfers </t>
  </si>
  <si>
    <t>Beschikbaar op de afgesproken dag. Alle afwijkingen tov Budget/forecast zijn verklaard.</t>
  </si>
  <si>
    <t xml:space="preserve">Het genereren van de financiële rapportage </t>
  </si>
  <si>
    <t>P&amp;L (format Carlos Herman) is tijdig (ten laatste 5e van de volgende maand)en correct ingevuld</t>
  </si>
  <si>
    <t>Verzekeringen</t>
  </si>
  <si>
    <t xml:space="preserve">De correcte verzekering van het bedrijf - Het afsluiten van competitieve verzekeringen voor de bedrijfswerking </t>
  </si>
  <si>
    <t xml:space="preserve">Beste dekking tegen de voordeligste prijs - </t>
  </si>
  <si>
    <t xml:space="preserve">Wetgeving </t>
  </si>
  <si>
    <t>Facilties</t>
  </si>
  <si>
    <t xml:space="preserve">De algemene netheid van faciliteiten  en onderhouden </t>
  </si>
  <si>
    <t>Alles ligt er netjes bij.</t>
  </si>
  <si>
    <t xml:space="preserve">Onderhoud </t>
  </si>
  <si>
    <t>Het ordelijk maken en onderhouden van de burelen/productie</t>
  </si>
  <si>
    <t>Het onderhouden van de  gebouwen (herstellingen)</t>
  </si>
  <si>
    <t>Orde en netheid</t>
  </si>
  <si>
    <t xml:space="preserve">Veiligheid gebouwen </t>
  </si>
  <si>
    <t xml:space="preserve">Het openen &amp; Afsluiten van de gebouwen </t>
  </si>
  <si>
    <t>Het beveiligen van alle assets (cfr verzekeringen)</t>
  </si>
  <si>
    <t>Bedrijfsmiddelen blijven intact. Uitvoeren van het goedgekeurd beveiligingsplan</t>
  </si>
  <si>
    <t xml:space="preserve">Subsidies </t>
  </si>
  <si>
    <t xml:space="preserve">Het binnenhalen van subsidies </t>
  </si>
  <si>
    <t xml:space="preserve">Wordt maximaal gebruik van gemaakt </t>
  </si>
  <si>
    <t xml:space="preserve">Het opvolgen en implementeren van de GDPR reglementering </t>
  </si>
  <si>
    <t>Geen inbreuken</t>
  </si>
  <si>
    <t>Helpdesk</t>
  </si>
  <si>
    <t>Het organiseren van de Helpdesk voor IT-apparatuur</t>
  </si>
  <si>
    <t>Interne klant is tevreden</t>
  </si>
  <si>
    <t xml:space="preserve">IT-infrastructuur </t>
  </si>
  <si>
    <t>Projecten opgelijst, geprioriteerd en opgevolgd. Milestones gehaald.</t>
  </si>
  <si>
    <t>De correcte werking van de IT-infrastructuur</t>
  </si>
  <si>
    <t>Geen klachten medewerkers en downtime &lt; 0,1% (niet besproken)</t>
  </si>
  <si>
    <t xml:space="preserve">Policies </t>
  </si>
  <si>
    <t>Het beschrijven en bewaken van het IT Beleid.</t>
  </si>
  <si>
    <t>Het telefonie, mobiele en draadloze communicatie beleid</t>
  </si>
  <si>
    <t>NCR</t>
  </si>
  <si>
    <t>Het behandelen van NCR (Non conformity reports) (dingen die mis zijn gegaan)</t>
  </si>
  <si>
    <t>Geen lijken uit de kast</t>
  </si>
  <si>
    <t>BPM</t>
  </si>
  <si>
    <t>Het bewaken dat alle belangrijke processen in kaart worden gebracht en op elkaar afgestemd worden, met als doel de effectiviteit, efficiëntie en flexibiliteit te waarborgen. Het stroomlijnen en laten toepassen van de processen doorheen de volledige organisatie. Het implementeren en laten toepassende methodologieën van procesmatig werken</t>
  </si>
  <si>
    <t>Afgesproken PPI’s van de processen beschrijven en verbeteren van processen worden gehaald. Initiatieven ontwikkelen om processen te laten beschrijven en te laten verbeteren, samenwerken met de proceseigenaars-klantentevredenheid is een doelstelling op zich en een waardemeter voor de kwaliteit van de interne processen. Afgesproken PPI’s worden behaald.</t>
  </si>
  <si>
    <t xml:space="preserve">Businessplan </t>
  </si>
  <si>
    <t xml:space="preserve">Het maken en bewaken van het business plan </t>
  </si>
  <si>
    <t>Het businessplan wordt gerealiseerd</t>
  </si>
  <si>
    <t xml:space="preserve">Capaciteitsbalans </t>
  </si>
  <si>
    <t xml:space="preserve">Het bepalen van de prioriteiten m.b.t. het verdelen van de recources </t>
  </si>
  <si>
    <t>Beoordeling door Raad van Bestuur</t>
  </si>
  <si>
    <t xml:space="preserve">Delegeren </t>
  </si>
  <si>
    <t xml:space="preserve">Doelstellingen </t>
  </si>
  <si>
    <t>Het bepalen en behalen van de doelstellingen (KT en LT)</t>
  </si>
  <si>
    <t>Doelstellingen (LT, KPI's, RGA's) worden behaald (vb EBITDA, omzet , ..)</t>
  </si>
  <si>
    <t>Omzetten van visie naar strategie (Das goed maar hoe )</t>
  </si>
  <si>
    <t>De strategische visie van de onderneming wordt vertaald naar meerjarenplannen en naar directe operationele objectieven.</t>
  </si>
  <si>
    <t xml:space="preserve">Het behalen KPI's en specifieke doelstellingen </t>
  </si>
  <si>
    <t>De afgesproken KPI’s worden behaald.</t>
  </si>
  <si>
    <t xml:space="preserve">Externe communicatie </t>
  </si>
  <si>
    <t>Geen communicatiefouten</t>
  </si>
  <si>
    <t xml:space="preserve">Investeringen </t>
  </si>
  <si>
    <t>Het opmaken en goedkeuren van investeringsvoorstellen (Materieel)</t>
  </si>
  <si>
    <t>Geen over - onder investeringen</t>
  </si>
  <si>
    <t>De kwaliteit is beoordeeld</t>
  </si>
  <si>
    <t>De QESH (Quality, Heath, Safety &amp; Environnement )</t>
  </si>
  <si>
    <t>Voldoen aan de wettelijke voorschriften + starten van verbetertrajecten (jaaractieplan) - Collega’s sensibiliseren en gemaakte QESH-afspraken worden nageleefd.</t>
  </si>
  <si>
    <t>De deelname aan de jaarlijkse beoordeling van de hiërarchische lijn op vlak van kwaliteit – veiligheid – milieu – gezondheid.</t>
  </si>
  <si>
    <t>Is uitgevoerd</t>
  </si>
  <si>
    <t>Het uitdragen van het kwaliteits-en veiligheidsbeleid</t>
  </si>
  <si>
    <t>Medewerkers sensibiliseren.</t>
  </si>
  <si>
    <t>Het aanreiken/voorstellen van ontwikkelingsmogelijkheden</t>
  </si>
  <si>
    <t>De concurrentiepositie van de onderneming is beoordeeld en geoptimaliseerd - Voorstellen doen in verband met de toekomstvisie</t>
  </si>
  <si>
    <t xml:space="preserve">Meetings </t>
  </si>
  <si>
    <t>Het organiseren van management meetings</t>
  </si>
  <si>
    <t xml:space="preserve">Meetings liggen vast en worden georganiseerd </t>
  </si>
  <si>
    <t xml:space="preserve">Missie </t>
  </si>
  <si>
    <t xml:space="preserve">Het bepalen en communiceren van de missie </t>
  </si>
  <si>
    <t xml:space="preserve">Missie is bepaald en bij iedereen bekend </t>
  </si>
  <si>
    <t xml:space="preserve">Overnames </t>
  </si>
  <si>
    <t xml:space="preserve">Het succesvol in goede banen leiden van overname dossiers </t>
  </si>
  <si>
    <t>Geen klantenklachten</t>
  </si>
  <si>
    <t>Het selecteren van de interne projecten en bewaken van de afgesproken resultaten ervan</t>
  </si>
  <si>
    <t>De afspraken rond de vooruitgang van de projecten worden nagekomen.</t>
  </si>
  <si>
    <t>Het implementeren en laten toepassende methodologieën van projectmatig werken</t>
  </si>
  <si>
    <t>Methodologie is gekend en wordt toegepast</t>
  </si>
  <si>
    <t>Prioriteiten zijn bepaald</t>
  </si>
  <si>
    <t xml:space="preserve">Sales </t>
  </si>
  <si>
    <t xml:space="preserve">De groei van het bedrijf </t>
  </si>
  <si>
    <t>De organisatie laten groeien en rendabeler maken - het behalen van de afgesproken EBIT.</t>
  </si>
  <si>
    <t>Samenwerken</t>
  </si>
  <si>
    <t>Het nastreven uniforme werking tussen de verschillende deelbedrijven</t>
  </si>
  <si>
    <t>Geen silogedrag</t>
  </si>
  <si>
    <t>Strategie</t>
  </si>
  <si>
    <t>Het bepalen en communiceren van de strategie</t>
  </si>
  <si>
    <t>Strategie is helder en gecommuniceerd</t>
  </si>
  <si>
    <t xml:space="preserve">Strategie </t>
  </si>
  <si>
    <t>De analyse en verbetering van de bedrijfsvoering</t>
  </si>
  <si>
    <t>Bij de medewerkers de focus leggen op efficiëntie en kostenbeheersing.</t>
  </si>
  <si>
    <t xml:space="preserve">Visie </t>
  </si>
  <si>
    <t xml:space="preserve">Het bepalen van de visie van de onderneming </t>
  </si>
  <si>
    <t xml:space="preserve">Visie is bepaald en ij iedereen bekend </t>
  </si>
  <si>
    <t>Het uittekenen en verbeteren van zijn processen en dit laten toepassen doorheen de organisatie</t>
  </si>
  <si>
    <t>Initiatieven ontwikkelen om processen te beschrijven en te verbeteren, zich opstellen als proceseigenaar</t>
  </si>
  <si>
    <t xml:space="preserve">Change request </t>
  </si>
  <si>
    <t xml:space="preserve">Het beheer en opvolging van de change controls </t>
  </si>
  <si>
    <t>Change controles zijn binnen de voorziene termijn afgesloten</t>
  </si>
  <si>
    <t xml:space="preserve">Het beheer en opvolging van interne projecten via het opzetten en onderhouden van de PMO </t>
  </si>
  <si>
    <t>Correcte maandelijkse rapportage van de voortgang van de (interne) projecten</t>
  </si>
  <si>
    <t xml:space="preserve">Het beheer en de opvolging van het modelleren verbeteren van processen </t>
  </si>
  <si>
    <t>Doeltreffende, efficiënte en flexibele processen: CQO is de proceseigenaar</t>
  </si>
  <si>
    <t xml:space="preserve">Het modelleren van de processen + verbeteren van de processen </t>
  </si>
  <si>
    <t>KPI's zijn duidelijk en afgesproken</t>
  </si>
  <si>
    <t>De coördinatie van de inhoudingen van de verkeersboetes</t>
  </si>
  <si>
    <t>Juiste personen opsporen + communiceren aan de Payroll Administrators en HR Officer</t>
  </si>
  <si>
    <t xml:space="preserve">Het afhandelen van verzekeringsissues - schadegevallen - arbeidsongevallen - schade wagens </t>
  </si>
  <si>
    <t xml:space="preserve">Geen openstaande dossiers </t>
  </si>
  <si>
    <t>Geen claims die negatief wegen op het eindresultaat.</t>
  </si>
  <si>
    <t xml:space="preserve">Aanwerven </t>
  </si>
  <si>
    <t xml:space="preserve">Het aanwerven van medewerkers </t>
  </si>
  <si>
    <t>Invulling van de job binnen de met de betrokken manager besproken termijn en de nodige / juiste facilities zijn tijdig beschikbaar en eerste positieve evaluatie na 6 maanden.</t>
  </si>
  <si>
    <t xml:space="preserve">Het standaardiseren contracten </t>
  </si>
  <si>
    <t>Iedereen heeft een gelijkaardig contract per categorie</t>
  </si>
  <si>
    <t>Nieuwe medewerkers geven aan dat zij goed geïnformeerd zijn en vlot geïntegreerd zijn.</t>
  </si>
  <si>
    <t xml:space="preserve">Arbeidsreglement </t>
  </si>
  <si>
    <t xml:space="preserve">Het aanvragen van economische werkeloosheid </t>
  </si>
  <si>
    <t xml:space="preserve">Geen fouten  - geen tijdverlies door verkeerde aanvragen </t>
  </si>
  <si>
    <t xml:space="preserve">Het berekenen van de overuren </t>
  </si>
  <si>
    <t>Het opvolgen van de wettelijkheden van het betrokken paritair comité</t>
  </si>
  <si>
    <t>Geen inbreuken of boetes</t>
  </si>
  <si>
    <t xml:space="preserve">Het à jour houden van arbeidsreglement. </t>
  </si>
  <si>
    <t xml:space="preserve">Arbeidsreglement is up to date </t>
  </si>
  <si>
    <t>Het juridisch up-to-date houden van het arbeidsreglement</t>
  </si>
  <si>
    <t>Geen juridische geschillen rond arbeidsreglement</t>
  </si>
  <si>
    <t>Car policy</t>
  </si>
  <si>
    <t>Het toepassen en à jour houden carpolicy</t>
  </si>
  <si>
    <t xml:space="preserve">Car Policy wordt consequent toegepast </t>
  </si>
  <si>
    <t xml:space="preserve">Communicatie </t>
  </si>
  <si>
    <t xml:space="preserve">Het optimaliseren van de externe communicatie </t>
  </si>
  <si>
    <t xml:space="preserve">Geen externe klachten </t>
  </si>
  <si>
    <t xml:space="preserve">Het optimaliseren van de  interne communicatie </t>
  </si>
  <si>
    <t xml:space="preserve">Geen interne klachten </t>
  </si>
  <si>
    <t xml:space="preserve">Functiebeschrijvingen </t>
  </si>
  <si>
    <t xml:space="preserve">Het opmaken van functiebeschrijvingen </t>
  </si>
  <si>
    <t xml:space="preserve">De functiebeschrijvingen van alle verschillende functies zijn gemaakt </t>
  </si>
  <si>
    <t xml:space="preserve">Functioneringsgesprekken </t>
  </si>
  <si>
    <t xml:space="preserve">Het organiseren van functioneringsgesprekken </t>
  </si>
  <si>
    <t>Opstellen en opvolgen van de competentiematrix.</t>
  </si>
  <si>
    <t>Happy@work</t>
  </si>
  <si>
    <t>De organisatie van funactiviteiten</t>
  </si>
  <si>
    <t>Goede sfeer in het bedrijf ('Fun' Manager)</t>
  </si>
  <si>
    <t>De goede samenwerking in het bedrijf (SILO)</t>
  </si>
  <si>
    <t>Uitvoeren HR beleid</t>
  </si>
  <si>
    <t>De goede sfeer in het bedrijf ('Fun' Manager)</t>
  </si>
  <si>
    <t>Organisatie van funactiviteiten</t>
  </si>
  <si>
    <t>HR-beleid</t>
  </si>
  <si>
    <t>Transparant referentiekader waaraan correcte beslissingen kunnen getoetst worden.</t>
  </si>
  <si>
    <t>Loonbeleid</t>
  </si>
  <si>
    <t>Het toepassen en organiseren Compensation &amp; benifits beleid</t>
  </si>
  <si>
    <t>Beleid is fair en consequent</t>
  </si>
  <si>
    <t>Het opzetten van een bonussysteem</t>
  </si>
  <si>
    <t xml:space="preserve">Bonussysteem wordt consequent toegepast </t>
  </si>
  <si>
    <t>Opleidingen (komen tot een beleid in overleg met partijen en het beleid correct laten uitvoeren) - Rapportering - Performance Management (komen tot een beleid in overleg met partijen en het beleid correct laten uitvoeren) - Interne Communicatie binnen de organisatie</t>
  </si>
  <si>
    <t>Tijdig en correct uitbetalen van de lonen</t>
  </si>
  <si>
    <t xml:space="preserve">Ontslag </t>
  </si>
  <si>
    <t>Voor de betrokken medewerker mag het afscheid geen verrassing zijn en de betrokkene krijgt correcte info op een professionele manier en sterke en verbeterpunten van Erie Water Treatent leren kennen om gerichte acties op te zetten.</t>
  </si>
  <si>
    <t xml:space="preserve">Het toepassen en up to date houden van ontslag beleid </t>
  </si>
  <si>
    <t>Opleiding</t>
  </si>
  <si>
    <t xml:space="preserve">Het ontwikkelen (opleiden) van mensen   </t>
  </si>
  <si>
    <t>Opvolging afspraken gemaakt in functioneringsgesprek.</t>
  </si>
  <si>
    <t>In samenspraak met de betrokken manager op basis van de visie en strategische doelstellingen taakgerichte en individuele ontwikkelingsdoelen bepalen voor de medewerkers.</t>
  </si>
  <si>
    <t xml:space="preserve">Het organiseren van opleidingen </t>
  </si>
  <si>
    <t>Volgens opleidingsplan</t>
  </si>
  <si>
    <t>Alle goedgekeurde opleidingsaanvragen organiseren en bevragen op kwaliteit. Alle mogelijke subsidies tijdig aanvragen en alle noodzakelijke aanwezigheidsdocumenten verzamelen en meesturen.</t>
  </si>
  <si>
    <t xml:space="preserve">Organogram </t>
  </si>
  <si>
    <t xml:space="preserve">De juiste man op de juiste plaats </t>
  </si>
  <si>
    <t xml:space="preserve">De juiste man is op de juiste plaats </t>
  </si>
  <si>
    <t xml:space="preserve">Het up-to date houden organogram </t>
  </si>
  <si>
    <t xml:space="preserve">Organogram up to date </t>
  </si>
  <si>
    <t>Pay roll</t>
  </si>
  <si>
    <t>Tijdig en correct verlonen van de medewerkers en nakijken en goedkeuren van de gerelateerde facturen.</t>
  </si>
  <si>
    <t xml:space="preserve">Het verzamelen van informatie en documenten ten behoeve van de Payroll Administrator </t>
  </si>
  <si>
    <t>Bestelbonnen, doktersattesten, etc. worden tijdig aan P A bezorgd.</t>
  </si>
  <si>
    <t xml:space="preserve">Het ingeven van uren </t>
  </si>
  <si>
    <t>Geen fouten</t>
  </si>
  <si>
    <t>Het afwerken payroll arbeiders /bedienden</t>
  </si>
  <si>
    <t xml:space="preserve">Het opvolgen van de interimkantoren arbeiders / bedienden </t>
  </si>
  <si>
    <t xml:space="preserve">Personeel </t>
  </si>
  <si>
    <t xml:space="preserve">De correcte personeelsadministratie voor bedienden en arbeiders </t>
  </si>
  <si>
    <t>Policies</t>
  </si>
  <si>
    <t>Het correct toepassen van het HR-beleid (loon, sanctie, carpolicy, verzuimbeleid)</t>
  </si>
  <si>
    <t>Alle personeelsdossiers zijn up to date</t>
  </si>
  <si>
    <t>2 activiteiten per jaar in lijn met visie, missie en waarden binnen het bepaalde budget</t>
  </si>
  <si>
    <t>De goede samenwerking met de geselecteerde partners (vb. Partena, Mighty Monday, Ariadne, …)</t>
  </si>
  <si>
    <t>Verzuim</t>
  </si>
  <si>
    <t>Opstellen, opvolgen van verzuimstatistieken en informeren medewerkers over verzuimcijfers tevens in samenspraak met het management team de kosten van verzuim houden onder x % van de loonmassa.</t>
  </si>
  <si>
    <t>Het verbeteren van verzuimcijfers  + ontwikkelen van een verzuimbeleid</t>
  </si>
  <si>
    <t xml:space="preserve">Binnen de bedrijfsnormen </t>
  </si>
  <si>
    <t>Ins Sales emp</t>
  </si>
  <si>
    <t>Orderverwerking</t>
  </si>
  <si>
    <t>Het tijdig en zonder fouten ingeven van de orders +  back-up is aangeduid</t>
  </si>
  <si>
    <t>Zonder fouten en tijdig (zodat levertermijn kan gegarandeerd worden).</t>
  </si>
  <si>
    <t>De orderverwerking (sales,  facturatie, communic nr prod, check pre payments) binnen ERP (80% v.d. tijd)</t>
  </si>
  <si>
    <t>Planning</t>
  </si>
  <si>
    <t xml:space="preserve">Het opvolgen van de uitvoering van de opdracht: </t>
  </si>
  <si>
    <t>Aanmaak order, correcte en volledige werkvoorbereiding, contractuele voorwaarden vervuld, en klant tevreden.</t>
  </si>
  <si>
    <t xml:space="preserve">Planning </t>
  </si>
  <si>
    <t xml:space="preserve">Het aanmaken van orders </t>
  </si>
  <si>
    <t xml:space="preserve">Logistiek </t>
  </si>
  <si>
    <t xml:space="preserve">Klanten </t>
  </si>
  <si>
    <t xml:space="preserve">Een constructieve communicatie met de klant m.b.t. de planning: </t>
  </si>
  <si>
    <t>Klanten tevreden en een professionele aanpak bij eventuele klachten.</t>
  </si>
  <si>
    <t>Het geven van feedback naar klant rond niet-uitgevoerde planning of nodige meerwerken</t>
  </si>
  <si>
    <t>Dagelijks en proactief doorgeven aan ops mgr en klant asap verwittigen om te herplannen, liefst in aanwezigheid van operator</t>
  </si>
  <si>
    <t xml:space="preserve">Offertes </t>
  </si>
  <si>
    <t xml:space="preserve">Een correcte offerte berekening </t>
  </si>
  <si>
    <t>Geen fouten/bewaakte marge</t>
  </si>
  <si>
    <t xml:space="preserve">Overdracht naar OPS </t>
  </si>
  <si>
    <t xml:space="preserve">De goede overdracht van verkoop naar planning </t>
  </si>
  <si>
    <t>Geen onduidelijkheden m.b.t. de verkochte opdracht.</t>
  </si>
  <si>
    <t xml:space="preserve">De communicatie van de delays naar de klant </t>
  </si>
  <si>
    <t>Klant is correct en tijdig geïnformeerd.</t>
  </si>
  <si>
    <t xml:space="preserve">Rapportage </t>
  </si>
  <si>
    <t>Tijdige en correcte oplevering v.d. verschillende rapporten</t>
  </si>
  <si>
    <t xml:space="preserve">Verkopen </t>
  </si>
  <si>
    <t>Nieuwe klanten, bepaal sales rep, wijzigingen, verwerken prijzen (bvb kortingen) BTW nrs checken (in visual): al de aangereikte info wordt onmiddellijk bijgewerkt</t>
  </si>
  <si>
    <t>Int sales rep</t>
  </si>
  <si>
    <t xml:space="preserve">Business Development </t>
  </si>
  <si>
    <t xml:space="preserve">Het business development m.b.t. nieuwe klanten </t>
  </si>
  <si>
    <t>Salestarget bestaande klanten wordt behaald + Ratio 94% v.d. omzet wordt behaald door 30% van de klanten wordt verhoogd</t>
  </si>
  <si>
    <t xml:space="preserve">Het business development m.b.t. bestaande klanten </t>
  </si>
  <si>
    <t>Target: omzet gegenereerd door nieuwe klanten wordt behaald.</t>
  </si>
  <si>
    <t xml:space="preserve">Het goed beheren van professionele relaties </t>
  </si>
  <si>
    <t>De afgesproken KPI’s worden behaald op vlak van het opbouwen, in stand houden en uitbouwen van de goodwill bij prospecten.</t>
  </si>
  <si>
    <t xml:space="preserve">Het maken van offertes </t>
  </si>
  <si>
    <t>De offertes zijn opgebouwd volgens een vastgelegd Labo Smeets stramien wat we doen, wat we niet doen, vlgs checklist, …)</t>
  </si>
  <si>
    <t xml:space="preserve">Opvolging </t>
  </si>
  <si>
    <t xml:space="preserve">Het opvolgen van de sales activiteiten </t>
  </si>
  <si>
    <t>Wekelijks duidelijke bezoekverslagen en rapportages voor de leidinggevende.</t>
  </si>
  <si>
    <t xml:space="preserve">Het bewaken van de gemaakte afspraken met de klant </t>
  </si>
  <si>
    <t>De klant is en blijft tevreden. Het project wordt binnen de gemaakte afspraken afgerond.</t>
  </si>
  <si>
    <t>Het nemen van initiatieven voor omzet verhogende projecten (creatie/beheer projecten bepaalde klanten (coördinatie klanten/land specifieke prod aanpassingen 'ontwikkeling' (engineering en klant))</t>
  </si>
  <si>
    <t>MT+</t>
  </si>
  <si>
    <t>Juridisch</t>
  </si>
  <si>
    <t xml:space="preserve">Het correct opstellen van contracten (na input van opdrachtgevers) </t>
  </si>
  <si>
    <t>Alle contracten zijn juridisch perfect in orde (geen juridische geschillen)</t>
  </si>
  <si>
    <t>Alle contracten tijdig vernieuwd of opgezegd.</t>
  </si>
  <si>
    <t xml:space="preserve">Het nalezen/ondertekenen van contracten </t>
  </si>
  <si>
    <t xml:space="preserve">Het afhandelen van juridische geschillen </t>
  </si>
  <si>
    <t>Geen stilstand in lopende geschillen - beperken financiële impact.</t>
  </si>
  <si>
    <t>Ops mgr</t>
  </si>
  <si>
    <t xml:space="preserve">Het automatiseren van Processen </t>
  </si>
  <si>
    <t>Succesvolle geïmplementeerde kwaliteitsvolle projecten binnen scope, budget en planning</t>
  </si>
  <si>
    <t xml:space="preserve">Marge </t>
  </si>
  <si>
    <t>De margeverbetering bij de uitvoering van de klantorders</t>
  </si>
  <si>
    <t>De afgesproken margeverbetering wordt behaald.</t>
  </si>
  <si>
    <t xml:space="preserve">Nacalculatie </t>
  </si>
  <si>
    <t>De gespendeerde capaciteit aan een bestelling (in werkuren)</t>
  </si>
  <si>
    <t>Gebudgetteerde uren komen overeen met de gepresteerde uren na productie ervan.</t>
  </si>
  <si>
    <t xml:space="preserve">Het tijdig en efficiënt leveren van alle bestellingen </t>
  </si>
  <si>
    <t>Leveren volgens de afspraken met de klant</t>
  </si>
  <si>
    <t xml:space="preserve">De operationele strategie bepalen en opvolgen </t>
  </si>
  <si>
    <t>Behalen van de OPS targets (RGA's) (vb dubbele shiften, drukkerij, 2man aan machine naar 1 man )</t>
  </si>
  <si>
    <t xml:space="preserve">Het opzetten en beheer van het kwaliteitssysteem </t>
  </si>
  <si>
    <t>Behoud van vergunningen en certificering (FAGG/FAVV-Klantenaudits)</t>
  </si>
  <si>
    <t>Het laten uitvoeren (intern) van onderhoud &amp; kalibratie van het labomaterieel</t>
  </si>
  <si>
    <t>Onderhoudsschema's worden gerespecteerd</t>
  </si>
  <si>
    <t>Het beheer van de werkkledij (reinigen - wassen - herstellen) + proces (2 wasserijen) ?</t>
  </si>
  <si>
    <t>Prod mgr</t>
  </si>
  <si>
    <t xml:space="preserve">Het doen naleven van alle kwaliteit en veiligheidsinstructies </t>
  </si>
  <si>
    <t>Ongevallen vermijden (target = 0) vermijden van rework en kwaliteit binnen de norm</t>
  </si>
  <si>
    <t>Prod oper CU</t>
  </si>
  <si>
    <t xml:space="preserve">De QC vrijgave finished products </t>
  </si>
  <si>
    <t>Prod oper valve</t>
  </si>
  <si>
    <t>Prod suppl oper</t>
  </si>
  <si>
    <t>Purch emp</t>
  </si>
  <si>
    <t>Aankoop</t>
  </si>
  <si>
    <t xml:space="preserve">Het correct plaatsen van bestellingen  </t>
  </si>
  <si>
    <t>Op een zo economisch mogelijke en kwalitatieve manier en binnen de gevraagde termijn.</t>
  </si>
  <si>
    <t>Het tijdig bestellen van de grondstoffen  aan de beste voorwaarden</t>
  </si>
  <si>
    <t>Geen productie stilstand omwille van geen grondstoffen, prijs: rapportage analyse prijsstijgingen met minimale stijging/ maximale verlaging</t>
  </si>
  <si>
    <t xml:space="preserve">Het voorzien van materiaal voor de job </t>
  </si>
  <si>
    <t>Het ad-hoc naleveren van onvoorzien materiaal op werven: snel en efficiënt</t>
  </si>
  <si>
    <t>De tijdig selectie van goede nieuwe leveranciers</t>
  </si>
  <si>
    <t>Overige teams zijn tevreden over de dienstverlening van aankoop en worden bij de leveranciersbeoordeling positief beoordeeld</t>
  </si>
  <si>
    <t>het tijdig aankopen van stockartikelen</t>
  </si>
  <si>
    <t>Geen stockbreuk in magazijn</t>
  </si>
  <si>
    <t xml:space="preserve">Een doordacht aankoopbeleid </t>
  </si>
  <si>
    <t>Aankoopbeleid is helder, gekend en beoordeeld</t>
  </si>
  <si>
    <t>Het analyseren van de aankoopbehoeften</t>
  </si>
  <si>
    <t>In kaart brengen van de prioriteiten.</t>
  </si>
  <si>
    <t>Het toepassen van de processen met betrekking tot het aankopen van producten en diensten</t>
  </si>
  <si>
    <t>De processen worden gevolgd.</t>
  </si>
  <si>
    <t xml:space="preserve">Het uitbouwen van goede leveranciers relaties </t>
  </si>
  <si>
    <t>Klanten bevestigen (schriftelijk) de goede verstandhouding met de klant - De afspraken worden nagekomen.</t>
  </si>
  <si>
    <t xml:space="preserve">Het beoordelen van leveranciers </t>
  </si>
  <si>
    <t>Alle leveranciers worden volgens afgesproken termijnen beoordeeld volgens de gemodelleerde processen</t>
  </si>
  <si>
    <t>Conform KPI stockbreuken jaarlijks te bepalen – NOG OP TE MAKEN DEFINITIE STOCKBREUKEN</t>
  </si>
  <si>
    <t xml:space="preserve">Contracten </t>
  </si>
  <si>
    <t xml:space="preserve">Leveranciers </t>
  </si>
  <si>
    <t>A-leveranciers (o.b.v. omzet) minstens 1 maal per jaar bezoeken ter plaatse en B-leveranciers te ontvangen en volgens het lever performantie systeem (kwaliteit – prijs correct – levertermijn – levercondities – betalingstermijnen – afroep en leverfrequentie); nog te bepalen) - geen stock breuken NOG OP TE MAKEN</t>
  </si>
  <si>
    <t xml:space="preserve">Het stockbeheer (info komt vanuit badgerecord) </t>
  </si>
  <si>
    <t>Geen stockbreuk van verpakkingen + Bulken (niet grondstoffen -&gt; gaat automatisch)</t>
  </si>
  <si>
    <t>Onderhandelen</t>
  </si>
  <si>
    <t>Stock</t>
  </si>
  <si>
    <t>Het bepalen van een aanvaardbare stockwaarde en het vermijden van stockbreuken</t>
  </si>
  <si>
    <t>S&amp;M mgr</t>
  </si>
  <si>
    <t>Het behouden van goede relaties met de klanten</t>
  </si>
  <si>
    <t xml:space="preserve">Alle relaties zijn goed. </t>
  </si>
  <si>
    <t>Het tot stand brengen van een verbinding tussen de organisatie en de buitenwereld</t>
  </si>
  <si>
    <t>Het bedrijf is extern vertegenwoordigd.</t>
  </si>
  <si>
    <t>Het maken en up-to-date houden van het marketing plan</t>
  </si>
  <si>
    <t>Marketing plan is goedgekeurd, gebudgetteerd en wordt uitgevoerd volgens plan.</t>
  </si>
  <si>
    <t>De coaching van de medewerkers m.b.t. de prijslijst</t>
  </si>
  <si>
    <t>Iedereen begrijpt de prijslijst en past hem toe</t>
  </si>
  <si>
    <t>Het aanrijken product/markt ontwikkelings mogelijkheden</t>
  </si>
  <si>
    <t>Op basis van marktverkenning relevante voorstellen doen aan MD Belgium zodat ontwikkelingsmogelijkheden maximaal benut kunnen worden.</t>
  </si>
  <si>
    <t xml:space="preserve">Prospectie </t>
  </si>
  <si>
    <t xml:space="preserve">Het uitbouwen van een prospecten portfolio </t>
  </si>
  <si>
    <t>De afgesproken KPI’s worden behaald op vlak van actief zoeken en benaderen van prospecten en het bewegen van prospecten tot het aangaan van een relatie.</t>
  </si>
  <si>
    <t>Tech sup emp</t>
  </si>
  <si>
    <t xml:space="preserve">Klachten </t>
  </si>
  <si>
    <t>Proces nog op te maken na opmaak en goed te keuren</t>
  </si>
  <si>
    <t>O.b.v. matrix parameters start van de behandeling en afhandeling van de klacht en op termijn voegen we looptijd van de klacht toe - toekomst o.b.v. CRM</t>
  </si>
  <si>
    <t xml:space="preserve">De kwaliteits-technisch communicatie naar klanten </t>
  </si>
  <si>
    <t>Geen klachten rond kwaliteitscommunicatie</t>
  </si>
  <si>
    <t>De opvolging van de externe inkomende en uitgaande klachten (klanten leveranciers)</t>
  </si>
  <si>
    <t>Rapport is verstuurd binnen de voorziene termijn + CAPA werd aangemaakt.</t>
  </si>
  <si>
    <t xml:space="preserve">Het behandelen van klachten </t>
  </si>
  <si>
    <t xml:space="preserve">Klantentevredenheid </t>
  </si>
  <si>
    <t xml:space="preserve">De meting van klantentevredenheid </t>
  </si>
  <si>
    <t xml:space="preserve">Rapport is klaar en actieplan is uitgevoerd </t>
  </si>
  <si>
    <t xml:space="preserve">Het afleveren van certificaten aan klanten </t>
  </si>
  <si>
    <t>Alle documenten bezorgt na betaling factuur</t>
  </si>
  <si>
    <t xml:space="preserve">Het opmaken van kwaliteits gerelateerde rapportages </t>
  </si>
  <si>
    <t>Rapportage is beschikbaar volgens planning</t>
  </si>
  <si>
    <t>TL</t>
  </si>
  <si>
    <t>Het stroomlijnen en laten toepassen van de processen doorheen de volledige organisatie</t>
  </si>
  <si>
    <t xml:space="preserve">Initiatieven ontwikkelen om processen te beschrijven en te verbeteren, zich opstellen als proceseigenaar. PPI's behalen. </t>
  </si>
  <si>
    <t>Het uittekenen en verbeteren van de specifieke afdelingsprocessen en die laten toepassen</t>
  </si>
  <si>
    <t xml:space="preserve">Zich opstellen als proceseigenaar, initiatieven ontwikkelen om werkbare/efficiënte processen uit te werken. Min 3 voorstellen ter verbetering per jaar </t>
  </si>
  <si>
    <t xml:space="preserve">Een optimale capaciteitsbalans </t>
  </si>
  <si>
    <t>Geen over of ondercapaciteit voor de uitvoering van de werkzaamheden</t>
  </si>
  <si>
    <t>Controleren</t>
  </si>
  <si>
    <t xml:space="preserve">Het opvolgen van het dagelijks werk van de medewerkers  (prestaties van mensen)   </t>
  </si>
  <si>
    <t>Kortetermijndoelstellingen van de afdeling worden gehaald (zie RGA’s)</t>
  </si>
  <si>
    <t xml:space="preserve">Controleren </t>
  </si>
  <si>
    <t xml:space="preserve">Het toezien op respecteren van regels en prestaties  </t>
  </si>
  <si>
    <t xml:space="preserve">Geen inbreuken op regels en resultaten worden geboekt </t>
  </si>
  <si>
    <t xml:space="preserve">Het bepalen en behalen van korte termijn doelstellingen per team </t>
  </si>
  <si>
    <t>Kortetermijndoelstellingen van het team  worden gehaald (zie RGA’s)</t>
  </si>
  <si>
    <t>Het voeren van afgesproken feedbackgesprekken</t>
  </si>
  <si>
    <t>Objectieve rapportage van deze gesprekken.</t>
  </si>
  <si>
    <t xml:space="preserve">Het voeren van functioneringsgesprekken </t>
  </si>
  <si>
    <t>Functioneringsgesprekken worden volgens richtlijnen uitgevoerd</t>
  </si>
  <si>
    <t xml:space="preserve">Informatie </t>
  </si>
  <si>
    <t>Geen verrassingen bij de GM.</t>
  </si>
  <si>
    <t xml:space="preserve">Het indienen van investeringsprojecten en verbeter projecten </t>
  </si>
  <si>
    <t xml:space="preserve">O.b.v. correct ingevulde project summaries </t>
  </si>
  <si>
    <t>Voorstellen doen in verband met de toekomstvisie (hoe gaan we de Business Unit rendabeler maken?).</t>
  </si>
  <si>
    <t>Het uitdragen en naleven van het veiligheids-, gezondheids-, milieu en kwaliteitsbeleid</t>
  </si>
  <si>
    <t>Collega’s sensibiliseren en gemaakte QESH-afspraken worden nageleefd.</t>
  </si>
  <si>
    <t xml:space="preserve">Motiveren </t>
  </si>
  <si>
    <t xml:space="preserve">Het coachen van de medewerkers </t>
  </si>
  <si>
    <t>Gemotiveerde en geëngageerde medewerkers (geen issues bij HR die de Business Unit Manager zelf had kunnen oplossen).</t>
  </si>
  <si>
    <t xml:space="preserve">Het motiveren van medewerkers </t>
  </si>
  <si>
    <t>Meten personeelstevredenheid</t>
  </si>
  <si>
    <t>Het detecteren van relevante opleidingsbehoeften en motiveren van hun noodzakelijkheid</t>
  </si>
  <si>
    <t>Pro-actief bevragen.</t>
  </si>
  <si>
    <t>Het organiseren van interne opleidingen binnen het eigen kennisdomein</t>
  </si>
  <si>
    <t>Tijdens de afgesproken opleidingen lopen de operationele activiteiten door.</t>
  </si>
  <si>
    <t>De technische uitvoering van de overeengekomen taken</t>
  </si>
  <si>
    <t>De afgesproken KPI’s werden behaald.</t>
  </si>
  <si>
    <t xml:space="preserve">De samenwerking met de peer - collega’s  </t>
  </si>
  <si>
    <t>Vinden van een WIN/WIN-oplossing.</t>
  </si>
  <si>
    <t>Het oplossen van last minut planningsproblemen</t>
  </si>
  <si>
    <t>Het opnemen van de normale planningsverantwoordelijkheden ( inplannen nieuwe opdrachten)</t>
  </si>
  <si>
    <t>Het optimaliseren van de planning</t>
  </si>
  <si>
    <t>Iedereen ingepland, rekening houdend met type interventie, afstand, equipes, bevoegdheid, wagens, accreditaties, en in lijn met het lossen van de vrachtwagens. Met zoveel mogelijk interventies (doel 1000 € per man per dag)</t>
  </si>
  <si>
    <t xml:space="preserve">Het tijdig aangeven van capaciteitsbehoeften (+ of -) van de bedrijfsmiddelen en operatoren: </t>
  </si>
  <si>
    <t>Actieve communicatie met ops mgr</t>
  </si>
  <si>
    <t xml:space="preserve">Het voorstellen van verbeteringen aan de werking van de planning </t>
  </si>
  <si>
    <t>De ops mgr moet niet vragen maar krijgt informele, dagelijkse input</t>
  </si>
  <si>
    <t>Het geven van extra informatie aan operatoren ivm opdracht + extra materieel</t>
  </si>
  <si>
    <t>Het stipt vertrekken/aankomen van de operatoren en noteren van correcte tijden</t>
  </si>
  <si>
    <t>Het herplannen na dringende oproepen en onverwachte afwezigheden binnen de realistische verwachtingen van de klant</t>
  </si>
  <si>
    <t>Tevredenheid van de klant waarborgen door interventie zo dicht mogelijk bij zijn verwachting te plannen; klanten worden proactief verwittigd van planningswijzigingen</t>
  </si>
  <si>
    <t xml:space="preserve">Het inventariseren en organiseren (ordelijk) van het kleine materiaal. Het materiaal is onderhouden, operationeel en proper. Het beheren van de in-en uitbewegingen: </t>
  </si>
  <si>
    <t>Het is bekend waar elk materiaal zich bevindt.</t>
  </si>
  <si>
    <t>Wareh oper</t>
  </si>
  <si>
    <t>kwaliteit</t>
  </si>
  <si>
    <t>Het correct uitvoeren van de inkom inspectie van verpakkingsmateriaal</t>
  </si>
  <si>
    <t>Geen recalls omwille van fouten die niet gezien worden door de inkomstinspectie (enkel fotografielaan - in Neerland gebeurt dit door labo)</t>
  </si>
  <si>
    <t xml:space="preserve">Verpakking </t>
  </si>
  <si>
    <t>Afvalberg per geproduceerd product (nog niet bekend – te bepalen) en bevraging bij betrokken medewerkers</t>
  </si>
  <si>
    <t xml:space="preserve">Verzending </t>
  </si>
  <si>
    <t xml:space="preserve">Afval </t>
  </si>
  <si>
    <t xml:space="preserve">De wettelijk afhandeling van afvalstromen + registratie </t>
  </si>
  <si>
    <t xml:space="preserve">De correcte vrijgave van grondstoffen, bulk producties en verpakkingen </t>
  </si>
  <si>
    <t>Alleen producten die voldoen worden vrijgegeven, alle anderen afgekeurd</t>
  </si>
  <si>
    <t xml:space="preserve">Werkingsjaar </t>
  </si>
  <si>
    <t xml:space="preserve">Datum Gesprek </t>
  </si>
  <si>
    <t xml:space="preserve">Observaties </t>
  </si>
  <si>
    <t>Afspraken en Acties</t>
  </si>
  <si>
    <t>1. Welke competenties wil je ontwikkelen?</t>
  </si>
  <si>
    <t>3. Waartoe zal ze dienen?</t>
  </si>
  <si>
    <t>4. Hoe ga je merken dat je vooruitgang boekt?</t>
  </si>
  <si>
    <t>5. Welke middelen inzetten (bv: training, coaching, on the job, meelopen met senior, lectuur, project, …). Wat heb je verder nodig?</t>
  </si>
  <si>
    <t>Te ontwikkelen Competenties</t>
  </si>
  <si>
    <t>Ambitie: waar wil je staan over 2 jaar ? En over 5 jaar?</t>
  </si>
  <si>
    <t>Wat verwacht je (anders/meer/minder) van je leidinggevende?</t>
  </si>
  <si>
    <t>Hoe ervaar je de samenwerking?</t>
  </si>
  <si>
    <t>Waar wens je nog verdere ondersteuning?</t>
  </si>
  <si>
    <t>Wat vind je sterk in de samenwerking met je leidinggevende?</t>
  </si>
  <si>
    <t>Hoe ervaar je je werkomstandigheden?</t>
  </si>
  <si>
    <t xml:space="preserve">ik doe mijn werk graag </t>
  </si>
  <si>
    <t xml:space="preserve">                                                             10       9      8      7      6      5      4      3      2       1  </t>
  </si>
  <si>
    <t>ik voel me goed op mijn werk</t>
  </si>
  <si>
    <t xml:space="preserve">ik neem enthousist deel aan mijn werk </t>
  </si>
  <si>
    <t>ik voel me geaprecieerd in het team</t>
  </si>
  <si>
    <t xml:space="preserve">ik ben tevreden over de sfeer </t>
  </si>
  <si>
    <t>ik ben tevreden over de samenwerking</t>
  </si>
  <si>
    <t xml:space="preserve">Wat wil je verder nog kwijt? Heb je vragen mbt je loon? </t>
  </si>
  <si>
    <t xml:space="preserve">Te ontwikkelen competentie 1 : </t>
  </si>
  <si>
    <t xml:space="preserve">Te ontwikkelen competentie 2 : </t>
  </si>
  <si>
    <t xml:space="preserve">Te ontwikkelen competentie 3 : </t>
  </si>
  <si>
    <t>Persoonlijk Ontwikkelplan nieuwe jaar
Sta stil bij volgende:</t>
  </si>
  <si>
    <t>2. Formuleer je doelstelling SMART rond de te ontwikkelen competentie</t>
  </si>
  <si>
    <t>Functietitel</t>
  </si>
  <si>
    <t xml:space="preserve">Functioneringsgesprek </t>
  </si>
  <si>
    <t xml:space="preserve">Personeels tevredenheid: duid aan op een schaal van 10 (helemaal waar) tot 1 (helemaal niet waar) </t>
  </si>
  <si>
    <t>Ik heb mijn competenties voldoende (kunnen) inzetten</t>
  </si>
  <si>
    <r>
      <t>De technische ondersteuning en opleiding aan andere afdelingen (prod, aankoop) oa kwaliteit</t>
    </r>
    <r>
      <rPr>
        <sz val="14"/>
        <color rgb="FFFF0000"/>
        <rFont val="Calibri"/>
        <family val="2"/>
        <scheme val="minor"/>
      </rPr>
      <t xml:space="preserve"> </t>
    </r>
  </si>
  <si>
    <t>Overstijgt de verwach- tingen</t>
  </si>
  <si>
    <t>Voldoet aan verwach- tingen</t>
  </si>
  <si>
    <t>Te ontwikkel- en</t>
  </si>
  <si>
    <t xml:space="preserve">Voldoet niet aan verwach- ting </t>
  </si>
  <si>
    <r>
      <rPr>
        <b/>
        <sz val="36"/>
        <color theme="1"/>
        <rFont val="Calibri"/>
        <family val="2"/>
        <scheme val="minor"/>
      </rPr>
      <t>R</t>
    </r>
    <r>
      <rPr>
        <sz val="36"/>
        <color theme="1"/>
        <rFont val="Calibri"/>
        <family val="2"/>
        <scheme val="minor"/>
      </rPr>
      <t>esultaat</t>
    </r>
    <r>
      <rPr>
        <b/>
        <sz val="36"/>
        <color theme="1"/>
        <rFont val="Calibri"/>
        <family val="2"/>
        <scheme val="minor"/>
      </rPr>
      <t>G</t>
    </r>
    <r>
      <rPr>
        <sz val="36"/>
        <color theme="1"/>
        <rFont val="Calibri"/>
        <family val="2"/>
        <scheme val="minor"/>
      </rPr>
      <t xml:space="preserve">erichte </t>
    </r>
    <r>
      <rPr>
        <b/>
        <sz val="36"/>
        <color theme="1"/>
        <rFont val="Calibri"/>
        <family val="2"/>
        <scheme val="minor"/>
      </rPr>
      <t>A</t>
    </r>
    <r>
      <rPr>
        <sz val="36"/>
        <color theme="1"/>
        <rFont val="Calibri"/>
        <family val="2"/>
        <scheme val="minor"/>
      </rPr>
      <t>cties</t>
    </r>
  </si>
  <si>
    <t>Waarden</t>
  </si>
  <si>
    <t>Functiegebonden competenties</t>
  </si>
  <si>
    <t>Feedback aan de leidinggevende:</t>
  </si>
  <si>
    <t>Functietitel afkorting</t>
  </si>
  <si>
    <t>Functietitel voluit</t>
  </si>
  <si>
    <t>Nr.</t>
  </si>
  <si>
    <t>Naam</t>
  </si>
  <si>
    <t>Kennis &amp; Ervaring</t>
  </si>
  <si>
    <t>Erkend als QP in Belgie conform KB 2006-12-14/31</t>
  </si>
  <si>
    <t>Aantoonbare ervaring met gelijkaardige producten</t>
  </si>
  <si>
    <t>Doorgedreven kennis van GMP en andere kwaliteitsnormen</t>
  </si>
  <si>
    <t>Meertalig, minstens NL en EN</t>
  </si>
  <si>
    <t>Basiskennis informatica</t>
  </si>
  <si>
    <t>Algemene hogere vorming, bij voorkeur bedrijfsbeheer, management of een financiële richting</t>
  </si>
  <si>
    <t>Goede kennis van NL en EN, zowel mondeling als schriftelijk. Kennis FR is pluspunt</t>
  </si>
  <si>
    <t>Aantoonbare ervaring in bedrijfsvoering</t>
  </si>
  <si>
    <t>Algemene vorming, bij voorkeur …</t>
  </si>
  <si>
    <t>Aantoonbare ervaring in sales / business development</t>
  </si>
  <si>
    <t>Relevante marktkennis</t>
  </si>
  <si>
    <t>Financiële vorming</t>
  </si>
  <si>
    <t>Goede kennis van NL, zowel mondeling als schriftelijk. Kennis EN en/of FR is pluspunt</t>
  </si>
  <si>
    <t>Aantoonbare ervaring in boekhouding en financiële rapportering</t>
  </si>
  <si>
    <t>Wetenschappelijke hogere vorming, bij voorkeur farmaceutische wetenschappen, bio-ingenieur of dergelijke</t>
  </si>
  <si>
    <t>Goede kennis van GMP en andere kwaliteitsnormen</t>
  </si>
  <si>
    <t>Aantoonbare ervaring als leidinggevende in een kwaliteitsrol in een gereguleerde sector</t>
  </si>
  <si>
    <t>Wetenschappellijke vorming, bij voorkeur hoger onderwijs</t>
  </si>
  <si>
    <t>Kennis van GMP of andere kwaliteitsnormen</t>
  </si>
  <si>
    <t>Een eerste ervaring in een gereguleerde sector is een pluspunt</t>
  </si>
  <si>
    <t>Wetenschappelijke hogere vorming, bij voorkeur farmaceutische wetenschappen, scheikunde of dergelijke</t>
  </si>
  <si>
    <t>Goede labotechnische kennis, kennis van GMP en andere kwaliteitsnormen</t>
  </si>
  <si>
    <t>Aantoonbare ervaring als leidinggevende in een laboratorium omgeving</t>
  </si>
  <si>
    <t>Wetenschappelijke vorming, bij voorkeur hoger onderwijs</t>
  </si>
  <si>
    <t>Goede kennis van NL en EN, zowel mondeling als schriftelijk.</t>
  </si>
  <si>
    <t>Labotechnische kennis, kennis van GMP en andere kwaliteitsnormen</t>
  </si>
  <si>
    <t>Ervaring als leidinggevende in een laboratorium omgeving is een pluspunt</t>
  </si>
  <si>
    <t>Goede kennis van NL, zowel mondeling als schriftelijk. Kennis van EN is een pluspunt.</t>
  </si>
  <si>
    <t>Labotechnische kennis</t>
  </si>
  <si>
    <t>Een eerste ervaring in een laboratorium is een pluspunt</t>
  </si>
  <si>
    <t>Algemene technische vorming, bij voorkeur mechanica, elektriciteit of dergelijke</t>
  </si>
  <si>
    <t>Goede praktische technische kennis in een productieomgeving</t>
  </si>
  <si>
    <t>Goede kennis van NL, zowel mondeling als schriftelijk</t>
  </si>
  <si>
    <t>Aantoonbare ervaring als leidinggevende en/of projectleider is een pluspunt</t>
  </si>
  <si>
    <t>Een eerste ervaring in een gereguleerde sector is een pluspunt.</t>
  </si>
  <si>
    <t>Goede kennis van NL</t>
  </si>
  <si>
    <t>Een eerste ervaring als storingstechnieker, onderhoudstechnieker, etc. is een pluspunt</t>
  </si>
  <si>
    <t>Bij voorkeur hogere vorming</t>
  </si>
  <si>
    <t>Aantoonbare ervaring als leidinggevende</t>
  </si>
  <si>
    <t>Goede kennis van NL, zowel mondeling als schriftelijk. Kennis EN of FR is pluspunt</t>
  </si>
  <si>
    <t>RGA1</t>
  </si>
  <si>
    <t>RGAé</t>
  </si>
  <si>
    <t>qsdf</t>
  </si>
  <si>
    <t>Responsibility</t>
  </si>
  <si>
    <t xml:space="preserve">Measurable objective </t>
  </si>
  <si>
    <t>The order and cleanliness of the refectory and the toilets</t>
  </si>
  <si>
    <t>Users are satisfied with availability, order and cleanliness (user survey)</t>
  </si>
  <si>
    <t>The small office equipment and tools</t>
  </si>
  <si>
    <t>No out of stocks</t>
  </si>
  <si>
    <t>Ordering sandwiches</t>
  </si>
  <si>
    <t>Internal customer is satisfied</t>
  </si>
  <si>
    <t>Accounting</t>
  </si>
  <si>
    <t xml:space="preserve">No errors  </t>
  </si>
  <si>
    <t>The Accounts Payables</t>
  </si>
  <si>
    <t>Timely and correct payments - no reminders</t>
  </si>
  <si>
    <t>The Accounts Receivables</t>
  </si>
  <si>
    <t>Timely payment of the customer invoices - complaints</t>
  </si>
  <si>
    <t>The General Ledger</t>
  </si>
  <si>
    <t>Ensure that the balance sheet items have a correct representation</t>
  </si>
  <si>
    <t>The monthly closure; ensure a correct and timely closure</t>
  </si>
  <si>
    <t>Figures are ready the 3rd working day of the month</t>
  </si>
  <si>
    <t>External reporting (VAT, INTRASTAT, Recupel ...)</t>
  </si>
  <si>
    <t>Correct and timely declarations without fines</t>
  </si>
  <si>
    <t>The project management of the assigned projects</t>
  </si>
  <si>
    <t>Completion according to agreed deliverables, budgets and timing.</t>
  </si>
  <si>
    <t>The correct compliance with the processes of facility and accounting</t>
  </si>
  <si>
    <t>Processes still to be made</t>
  </si>
  <si>
    <t>Dispatching mail</t>
  </si>
  <si>
    <t>No post that comes back because it was wrongly assigned - Post is correctly and confidentially distributed.</t>
  </si>
  <si>
    <t>The correct entry of all elements for the accounting</t>
  </si>
  <si>
    <t>Accounting is correct - F &amp;A mgr has no comments</t>
  </si>
  <si>
    <t>The company-specific declarations (VAT, Intracommunity supplies, Quarterly, Equipment and equipment per branch for determination of KI, # motorized machines, tax)</t>
  </si>
  <si>
    <t>No fines</t>
  </si>
  <si>
    <t>The development of new components, products and services, and the related documentation and maintaining optimal contacts with of supplier.</t>
  </si>
  <si>
    <t>Deviations with regard to specification, (prod and invest) costs, throughput time are communicated in a timely and transparent manner</t>
  </si>
  <si>
    <t>The right technical definitions and approval of products and services (app)</t>
  </si>
  <si>
    <t>Number of engineering complaints must be 0</t>
  </si>
  <si>
    <t>Technical support and training to other departments (prod, purchase, sales, techn support)</t>
  </si>
  <si>
    <t>Number of notifications escalated by other departments</t>
  </si>
  <si>
    <t>The management of technical innovations on the market</t>
  </si>
  <si>
    <t>Obtaining predetermined number of exhibition and supplier visits</t>
  </si>
  <si>
    <t>Testing and managing the newly developed components, products and services</t>
  </si>
  <si>
    <t>Prototypes are constantly being developed, complaints have to be managed with regard to new components, finding a new supplier if the complaints persist</t>
  </si>
  <si>
    <t>The management of the materials database</t>
  </si>
  <si>
    <t>Correctness and keeping BOMs and parts up to date</t>
  </si>
  <si>
    <t>The management of technical changes</t>
  </si>
  <si>
    <t>All product drawings contain the correct version number and the latest version is used</t>
  </si>
  <si>
    <t>The continuity of production</t>
  </si>
  <si>
    <t>Obtaining the product KPI's, number of process downtime must be solved within 1h</t>
  </si>
  <si>
    <t>The process improvement and continuous improvement of the production</t>
  </si>
  <si>
    <t>Finishing projects/improvements within determined planning</t>
  </si>
  <si>
    <t>Providing the right tools for production</t>
  </si>
  <si>
    <t>production/to do board check expired tasks and checking meeting minutes sent to Ops Mgr - Company resources are available and in technical, administrative, legal and security terms</t>
  </si>
  <si>
    <t>The technical support and training to other departments (prod, purchase) f.e. quality</t>
  </si>
  <si>
    <t>The maintenance of machines and tools</t>
  </si>
  <si>
    <t>Drafting and managing maintenance plan - 100% deployment of machines and in the event of a fast start-up</t>
  </si>
  <si>
    <t>The validation and calibration of all devices. Follow-up plans. Make sure it the plan is executed</t>
  </si>
  <si>
    <t>Everything has been calibrated and validated</t>
  </si>
  <si>
    <t>The good relation with the selected partners</t>
  </si>
  <si>
    <t>Timely intervention when agreements are not fulfilled.</t>
  </si>
  <si>
    <t>Informing N + 1 about the operation of the department</t>
  </si>
  <si>
    <t>No surprises to the GM.</t>
  </si>
  <si>
    <t>The correct reporting (internal and external) of Finance (audit, taxes, ...)</t>
  </si>
  <si>
    <t>No errors in reports.</t>
  </si>
  <si>
    <t>Correct accounting.</t>
  </si>
  <si>
    <t>Timely (see Time Table) and correct (cf. ...) according to agreement with N 1.</t>
  </si>
  <si>
    <t>The setups of budgets</t>
  </si>
  <si>
    <t>Budgets drawn up in a timely and correct manner</t>
  </si>
  <si>
    <t>Providing services to other managers - building reporting for other managers (showing trends)</t>
  </si>
  <si>
    <t>Survey satisfaction from other managers - colleagues are satisfied.</t>
  </si>
  <si>
    <t>The analysis of the financial data and advice to the MT</t>
  </si>
  <si>
    <t>Correct analyzes and careful advice (to be evaluated by the managers)</t>
  </si>
  <si>
    <t>The legality of Finance-HR-IT Administration</t>
  </si>
  <si>
    <t>No fines.</t>
  </si>
  <si>
    <t>The correct operation of the systems (ERP, IT, Software, …)</t>
  </si>
  <si>
    <t>No complaints.</t>
  </si>
  <si>
    <t>The management of contracts</t>
  </si>
  <si>
    <t>All contracts renewed or terminated in time.</t>
  </si>
  <si>
    <t>The helpdesk</t>
  </si>
  <si>
    <t>Measuring internal customer satisfaction.</t>
  </si>
  <si>
    <t>The hardware (intranet, website, linkedin, facebook) and Software for automation of processes of the sub areas of the department</t>
  </si>
  <si>
    <t>Projects listed, prioritized and followed up. Milestones met.</t>
  </si>
  <si>
    <t>Managing the budgets of the sub areas of the department</t>
  </si>
  <si>
    <t>Budget not exceeded unless after approval change scope.</t>
  </si>
  <si>
    <t>The general cleanliness of facilities</t>
  </si>
  <si>
    <t>Everything is neat.</t>
  </si>
  <si>
    <t>Communicating and propagating the mission, vision, values and objectives</t>
  </si>
  <si>
    <t>Business objectives are translated into team objectives.</t>
  </si>
  <si>
    <t>The description, applying and improving the processes of the field</t>
  </si>
  <si>
    <t>3 process proposals implemented</t>
  </si>
  <si>
    <t xml:space="preserve">Motivating, coaching, training, collaboration and feedback of team members </t>
  </si>
  <si>
    <t>Interview with the employees by N +1 and during the evaluation interview</t>
  </si>
  <si>
    <t>Preparing an analysis of the capacity of employees</t>
  </si>
  <si>
    <t>Preparing clear and decisive management summary</t>
  </si>
  <si>
    <t>Communicating and applying the quality, safety, health and environmental policy applicable to the service</t>
  </si>
  <si>
    <t>The quality, safety policy is respected and communicated</t>
  </si>
  <si>
    <t>The good relationship with the banks</t>
  </si>
  <si>
    <t>Always on speaking terms with creditors and banks</t>
  </si>
  <si>
    <t>The timely filing of the year-end closing</t>
  </si>
  <si>
    <t>According to legal requirements</t>
  </si>
  <si>
    <t>Preparing a cash plan</t>
  </si>
  <si>
    <t>Identifying the cash (flow) problem when it occurs - making optimal use of documents</t>
  </si>
  <si>
    <t>Correct advice on the financial health of the company (cash Long Term)</t>
  </si>
  <si>
    <t>No surprises or unforeseen cash problems</t>
  </si>
  <si>
    <t>The follow-up and implementation of the GDPR regulations</t>
  </si>
  <si>
    <t>No infringements</t>
  </si>
  <si>
    <t>The correct functioning of the IT infrastructure. Organizing the Helpdesk.</t>
  </si>
  <si>
    <t>No complaints limit employees and downtime</t>
  </si>
  <si>
    <t>The preparation and approval of investment proposals (Material)</t>
  </si>
  <si>
    <t>No over - under investment</t>
  </si>
  <si>
    <t>The good cooperation in the management team</t>
  </si>
  <si>
    <t>The management team is motivated and work well together.</t>
  </si>
  <si>
    <t>Delegating the responsibilities</t>
  </si>
  <si>
    <t>All responsibilities have been delegated as far as possible in the organization</t>
  </si>
  <si>
    <t>Determining the mission, vision and values of the organization and the communication around it</t>
  </si>
  <si>
    <t>Everyone is aware of the mission, vision and values. Conversion to annual plan and RGA's has been realized.</t>
  </si>
  <si>
    <t>The corporate reporting</t>
  </si>
  <si>
    <t>Corporate Bowling Chart is up to date</t>
  </si>
  <si>
    <t>The strategy and the business plan</t>
  </si>
  <si>
    <t>The strategy to achieve long-term objectives has been determined. Corporate objectives are realized. Business plan has been drawn up and followed</t>
  </si>
  <si>
    <t>Determining the priorities of the internal projects</t>
  </si>
  <si>
    <t>See list PMO</t>
  </si>
  <si>
    <t>Determining the process owners and supervising the inclusion of responsibilities by process owners</t>
  </si>
  <si>
    <t>All process owners are known and assume their responsibilities.</t>
  </si>
  <si>
    <t>To act as an external representative</t>
  </si>
  <si>
    <t>The company is externally represented correctly</t>
  </si>
  <si>
    <t>The assessment of quality standards</t>
  </si>
  <si>
    <t>The quality standards are assessed annually 'evaluation by the management'</t>
  </si>
  <si>
    <t>The revenu</t>
  </si>
  <si>
    <t>See RGA's: RGA and departmental Bowling Charts and follow-up interim KPI's</t>
  </si>
  <si>
    <t>The Gross Margin</t>
  </si>
  <si>
    <t>See RGA and departmental Bowling Charts and follow-up interim KPI's</t>
  </si>
  <si>
    <t>The EBITDA</t>
  </si>
  <si>
    <t>Managing product management</t>
  </si>
  <si>
    <t>The developed products are profitable and documented</t>
  </si>
  <si>
    <t>Determining the priorities with regard to the distribution of the resources</t>
  </si>
  <si>
    <t>Assessment by the Board of Directors</t>
  </si>
  <si>
    <t>Follow up the internal projects and determine priorities</t>
  </si>
  <si>
    <t>PMO is set up and progress projects are followed up.</t>
  </si>
  <si>
    <t>All responsibilities were delegated as low as possible</t>
  </si>
  <si>
    <t>Interview with the employees by N + 1 and during the evaluation interview</t>
  </si>
  <si>
    <t>Treating NCR (Non conformity reports) (things that went wrong)</t>
  </si>
  <si>
    <t>The list is complete, action points have been determined.</t>
  </si>
  <si>
    <t>Monitoring that all important processes are mapped and coordinated, with the aim of guaranteeing effectiveness, efficiency and flexibility. Streamlining and applying the processes throughout the entire organization. Implementing and applying methodologies of process-based work</t>
  </si>
  <si>
    <t>Agreed PPI's of processes describing and improving processes are met. Developing initiatives to have processes described and improved, working together with the process owners - customer satisfaction is an objective in itself and a value indicator for the quality of the internal processes. Agreed PPI's are achieved.</t>
  </si>
  <si>
    <t>The QESH (Quality, Heath, Safety &amp;amp; Environnement)</t>
  </si>
  <si>
    <t>Meeting the legal requirements for improvement programs (annual action plan) - raising awareness among colleagues and making QESH agreements.</t>
  </si>
  <si>
    <t>To propagate the quality and safety policy</t>
  </si>
  <si>
    <t>Sensitizing employees.</t>
  </si>
  <si>
    <t>Pointing out development areas</t>
  </si>
  <si>
    <t>The competitive position of the company has been assessed and optimized - Making proposals with regard to the future vision</t>
  </si>
  <si>
    <t>Organizing management meetings</t>
  </si>
  <si>
    <t>Meetings are fixed and organized</t>
  </si>
  <si>
    <t>Implementing and applying methodologies of project based and process based work</t>
  </si>
  <si>
    <t>Methodologies are known and applied</t>
  </si>
  <si>
    <t>The correct insurance of the company - The conclusion of competitive insurance for business operations</t>
  </si>
  <si>
    <t>Best coverage at the best price -</t>
  </si>
  <si>
    <t>Applying for economic unemployment</t>
  </si>
  <si>
    <t>No mistakes - no loss of time due to incorrect requests</t>
  </si>
  <si>
    <t>Following the legal requirements of the 'paritair Comité'</t>
  </si>
  <si>
    <t>No infringements or fines</t>
  </si>
  <si>
    <t>Correct ' Arbeidsreglement'.</t>
  </si>
  <si>
    <t>Work regulations are up to date</t>
  </si>
  <si>
    <t>A correct apllication of the car policy</t>
  </si>
  <si>
    <t>Car Policy is applied consistently</t>
  </si>
  <si>
    <t>Optimizing internal communication</t>
  </si>
  <si>
    <t>No internal complaints</t>
  </si>
  <si>
    <t>The preparation of job descriptions</t>
  </si>
  <si>
    <t>The job descriptions of all different functions have been created</t>
  </si>
  <si>
    <t>Timely and correct payment of the wages</t>
  </si>
  <si>
    <t>No complaints</t>
  </si>
  <si>
    <t>Organizing training courses</t>
  </si>
  <si>
    <t>According to training plan</t>
  </si>
  <si>
    <t>The right man in the right place</t>
  </si>
  <si>
    <t>The right man is in the right place</t>
  </si>
  <si>
    <t>Keep the organization chart up-to-date</t>
  </si>
  <si>
    <t>Organization chart up to date</t>
  </si>
  <si>
    <t>Monitoring the external selection partners for workers</t>
  </si>
  <si>
    <t>No mistakes</t>
  </si>
  <si>
    <t>The correct personnel administration for white-collar workers and labour</t>
  </si>
  <si>
    <t>Streamlining and applying the HR processes throughout the entire organization</t>
  </si>
  <si>
    <t>Develop initiatives to describe and improve HR processes, set up as process owner.</t>
  </si>
  <si>
    <t>The process of recruitment &amp; selection</t>
  </si>
  <si>
    <t>Completion of the job within the planning discussed with the manager and the necessary/
appropriate facilities are available on time and a first positive evaluation after 6 months</t>
  </si>
  <si>
    <t>The process of firing employees (dismissals and exit interviews)</t>
  </si>
  <si>
    <t>For the employee concerned, the dismissal can not be a surprise and the person concerned gets to know correct information in a professional manner and strong and points for improvement of Erie Water Treatent to set up targeted actions.</t>
  </si>
  <si>
    <t>Organizing teambuilding activities</t>
  </si>
  <si>
    <t>2 activities per year in line with vision, mission and values within the given budget</t>
  </si>
  <si>
    <t>The performance management policy for employees in cluding fleet policy</t>
  </si>
  <si>
    <t>In consultation with the manager concerned on the basis of the vision and strategic objectives, determine task-oriented and individual development goals for the employees.</t>
  </si>
  <si>
    <t>The payroll of the temporary and permanent domestic and foreign employees of Aquion Belgium</t>
  </si>
  <si>
    <t>Timely and correct compensation of the employees and checking and approving the related invoices.</t>
  </si>
  <si>
    <t>The reception of new employees</t>
  </si>
  <si>
    <t>New employees indicate that they are well informed and easily integrated.</t>
  </si>
  <si>
    <t>The coordination of the requested training and  collecting a max subsidies allawance</t>
  </si>
  <si>
    <t>Organize all approved training applications . Request all possible subsidies on time and collect and send all necessary attendance documents.</t>
  </si>
  <si>
    <t>The follow-up of absenteeism and setting up of absenteeism reduction programs</t>
  </si>
  <si>
    <t>drafting, following up on absenteeism statistics and informing employees about absenteeism figures, in consultation with the management team, also keep the costs of absenteeism under x% of the payroll</t>
  </si>
  <si>
    <t>The development and implementation of an HR policy in line with vision, mission and values</t>
  </si>
  <si>
    <t>transparent frame of reference to which correct decisions can be tested.</t>
  </si>
  <si>
    <t>Organizing and conducting performance interviews</t>
  </si>
  <si>
    <t>drawing up and following up the competence matrix.</t>
  </si>
  <si>
    <t>The good cooperation with the selected partners (eg Soc Secr, ...)</t>
  </si>
  <si>
    <t>timely intervention when agreements are not fulfilled.</t>
  </si>
  <si>
    <t>Management of insurance policies - Dealing with insurance issues - claims - accidents at work - damage to cars</t>
  </si>
  <si>
    <t>No claims that weigh negatively on the end result. Dealing with insurance issues - claims - work accidents - damage to cars</t>
  </si>
  <si>
    <t>The order entry within ERP (80% of time)</t>
  </si>
  <si>
    <t>Sent within the working day order confirmation unless not all planning data is available and the order has been invoiced</t>
  </si>
  <si>
    <t>Booking transport and preparation of accompanying docs (packing notes,) (invoices)</t>
  </si>
  <si>
    <t>All goods are collected according to booking</t>
  </si>
  <si>
    <t>Approve incoming invoices of transport</t>
  </si>
  <si>
    <t>The amount charged must be correct</t>
  </si>
  <si>
    <t>The follow-up of the payment conditions (check pre payments)</t>
  </si>
  <si>
    <t>Customers with certain prepayment conditions are put on hold until payment is received</t>
  </si>
  <si>
    <t>The digital and physical archive (adminis -paper and in system)</t>
  </si>
  <si>
    <t>Keeping these elements up to date, all docs are classified in subfolders</t>
  </si>
  <si>
    <t>correct customer records</t>
  </si>
  <si>
    <t>New customers, determine sales rep, changes, processing prices (eg discounts) Check VAT numbers (in visual): all the provided information is immediately updated</t>
  </si>
  <si>
    <t>Correct answering customer questions</t>
  </si>
  <si>
    <t>(support sales reps and info) customer complaints in this area are kept to a minimum</t>
  </si>
  <si>
    <t>The reporting of the sales figures (turnover, difference between actuals Y and Y-1 etc.) (only Sanne)</t>
  </si>
  <si>
    <t>Timely and correct delivery of various reports</t>
  </si>
  <si>
    <t>The management of inside sales procedures (WOW)</t>
  </si>
  <si>
    <t>Procedures reflect effective and correct operation inside sales</t>
  </si>
  <si>
    <t>The telephone reception</t>
  </si>
  <si>
    <t>Fast and good transfer</t>
  </si>
  <si>
    <t>The timely and error-free entering of the orders</t>
  </si>
  <si>
    <t>Without errors and in a timely manner (so that delivery time can be guaranteed).</t>
  </si>
  <si>
    <t>A constructive communication with the customer regarding the planning:</t>
  </si>
  <si>
    <t>Customers satisfied and a professional approach in case of complaints.</t>
  </si>
  <si>
    <t>The communication of the delays to the customer</t>
  </si>
  <si>
    <t>Customer is informed correctly and timely.</t>
  </si>
  <si>
    <t>Maintaining strategic customer relationships</t>
  </si>
  <si>
    <t>Timely escalation of problems</t>
  </si>
  <si>
    <t>The prospecting</t>
  </si>
  <si>
    <t>Budgeted revenue for new customers</t>
  </si>
  <si>
    <t>Preparing and achieving sales budget</t>
  </si>
  <si>
    <t>Budgets achieved</t>
  </si>
  <si>
    <t>Managing client files and market knowledge</t>
  </si>
  <si>
    <t>Files are transparently documented</t>
  </si>
  <si>
    <t>Implmentation of sales projects</t>
  </si>
  <si>
    <t>Sales project objectives are realized</t>
  </si>
  <si>
    <t>The cooperation of the sales team</t>
  </si>
  <si>
    <t>No conflicts</t>
  </si>
  <si>
    <t>Internal communication with other departments</t>
  </si>
  <si>
    <t>Taking initiatives for revenue-increasing projects</t>
  </si>
  <si>
    <t>Measurable objective formulated in project applications</t>
  </si>
  <si>
    <t xml:space="preserve">The reporting to N + 1 </t>
  </si>
  <si>
    <t>N + 1 is aware of the situation at the customers</t>
  </si>
  <si>
    <t>Preparing the budget</t>
  </si>
  <si>
    <t>Budget is determined on time and truthfully</t>
  </si>
  <si>
    <t>The business development with regard to existing customers</t>
  </si>
  <si>
    <t>Target: turnover generated by new customers is achieved.</t>
  </si>
  <si>
    <t>The good management of professional relations</t>
  </si>
  <si>
    <t>The agreed KPI's are achieved in terms of building up, maintaining and expanding goodwill among prospects.</t>
  </si>
  <si>
    <t>Monitoring the agreements made with the customer</t>
  </si>
  <si>
    <t>The customer is and remains satisfied. The project is completed within the agreements made.</t>
  </si>
  <si>
    <t>The design on the belt, body trimming and packing (3 cells ready for the production starts)</t>
  </si>
  <si>
    <t>Obtaining the predetermined production numbers - no downtime</t>
  </si>
  <si>
    <t>Setting up the line of the various components: sub assy brine well, sub assy accessories, sub assy covers (3 cells)</t>
  </si>
  <si>
    <t>Applying the rotation system to 1 of the 6 stations if everyone is present</t>
  </si>
  <si>
    <t>Employees are satisfied with the planning</t>
  </si>
  <si>
    <t>Performing the assembly activities</t>
  </si>
  <si>
    <t>Planning is achieved, Quality is correct and there are no customer complaints</t>
  </si>
  <si>
    <t>Following the assembly procedures</t>
  </si>
  <si>
    <t>No deviations detected, applying one-piece-flow, no parts forgotten</t>
  </si>
  <si>
    <t>The dispatching of tasks within CU (Maarten and Atilla)</t>
  </si>
  <si>
    <t>Solutions are found in capacity problems (illness, absences, ...)</t>
  </si>
  <si>
    <t>Keeping the line running, keeping everyone going, no still stands, turning, balancing everything</t>
  </si>
  <si>
    <t>Employees are motivated</t>
  </si>
  <si>
    <t>Escalating a request for TL CU regarding the treatment of the product</t>
  </si>
  <si>
    <t>No assembly errors</t>
  </si>
  <si>
    <t>The training of new employees (asses knowledge after 6 months)</t>
  </si>
  <si>
    <t>Employees know the job.</t>
  </si>
  <si>
    <t>The order and tidiness of the specific workstations</t>
  </si>
  <si>
    <t>The workplace is always neat.</t>
  </si>
  <si>
    <t>Reliably performing each sub task</t>
  </si>
  <si>
    <t>No comments from teamleader or assistant-TL or other colleagues</t>
  </si>
  <si>
    <t>The efficiacy of the work station of the 541 valve</t>
  </si>
  <si>
    <t>Feedback from the employees, communication in the team and feedback to engineering about possible problems</t>
  </si>
  <si>
    <t>The transfer of product information with adapted products</t>
  </si>
  <si>
    <t>All employees are aware of the adjustments</t>
  </si>
  <si>
    <t>Planning achieved, Quality (only assembly) correct, no customer complaints</t>
  </si>
  <si>
    <t>The rotation 3 posts in the cell 541 when everyone is present</t>
  </si>
  <si>
    <t>The reporting of the KPIs</t>
  </si>
  <si>
    <t>Timely and correct completion. Excelsheet</t>
  </si>
  <si>
    <t>The correct scanning in ERP</t>
  </si>
  <si>
    <t>To run systematically and correctly in visual</t>
  </si>
  <si>
    <t>The order and tidiness of specific workstations</t>
  </si>
  <si>
    <t>Reporting deviations (material, infrastructure, etc.)</t>
  </si>
  <si>
    <t>No complaints colleagues, Q achieving, achieving KPI's</t>
  </si>
  <si>
    <t>Monitoring the successful realization of internal projects within Dept Operations</t>
  </si>
  <si>
    <t>All projects are monitored according to project-based parameters (timing, budget, cost reduction, quality</t>
  </si>
  <si>
    <t>The delivery of orders within agreed deadlines based on agreed planning</t>
  </si>
  <si>
    <t>No customer complaints</t>
  </si>
  <si>
    <t>The follow-up of complaints</t>
  </si>
  <si>
    <t>All complaints were answered and resolved.</t>
  </si>
  <si>
    <t>The retention of own staff</t>
  </si>
  <si>
    <t>Nobody is fired</t>
  </si>
  <si>
    <t>The good cooperation between team members</t>
  </si>
  <si>
    <t>No complaints from employees</t>
  </si>
  <si>
    <t>The KPI's to be achieved</t>
  </si>
  <si>
    <t>KPI's were achieved</t>
  </si>
  <si>
    <t>The reporting to N + 1</t>
  </si>
  <si>
    <t>No remarks regarding communication of N + 1</t>
  </si>
  <si>
    <t>The preparation of budget operations</t>
  </si>
  <si>
    <t>The operations budget is timely and realistic.</t>
  </si>
  <si>
    <t>The production cost of the parts</t>
  </si>
  <si>
    <t>Achieving the targets with regard to MCOS, direct labor to catalog price</t>
  </si>
  <si>
    <t>The purchase of goods</t>
  </si>
  <si>
    <t>The company works with correct suppliers</t>
  </si>
  <si>
    <t>Automating Processes</t>
  </si>
  <si>
    <t>Successful implemented quality projects within scope, budget and planning</t>
  </si>
  <si>
    <t>The margin improvement in the execution of the customer orders</t>
  </si>
  <si>
    <t>The agreed margin improvement is achieved (direct labor targets are achieved)</t>
  </si>
  <si>
    <t>The amount of time spent on an order (in working hours)</t>
  </si>
  <si>
    <t>Budgeted hours correspond to the hours worked after production.</t>
  </si>
  <si>
    <t>Determine and follow up the operational strategy</t>
  </si>
  <si>
    <t>Obtaining the OPS targets (RGAs) (eg double shifts, ...)</t>
  </si>
  <si>
    <t>The production and delivery of all orders within 10 days except for exceptions that are discussed during the daily morning meeting (eg exotics, specific containers, large EVs)</t>
  </si>
  <si>
    <t>No complaints from customers</t>
  </si>
  <si>
    <t>An efficient production</t>
  </si>
  <si>
    <t>Achieving KPI's regarding Safety, Quality, Planning and Cost</t>
  </si>
  <si>
    <t>The production planning and the follow-up of the planning</t>
  </si>
  <si>
    <t>The predetermined production numbers are achieved</t>
  </si>
  <si>
    <t>Translating the business objectives into departmental objectives</t>
  </si>
  <si>
    <t>RGA's for all employees have been determined, agreed and agreed upon. Approval Ops Manager</t>
  </si>
  <si>
    <t>Ensuring the layout and compliance with standard working instructions</t>
  </si>
  <si>
    <t>All work instructions are drawn up - No 'non conformities' are reported in the Quality System</t>
  </si>
  <si>
    <t>Improving processes related to efficiency, production, quality and ergonomics</t>
  </si>
  <si>
    <t>Realize at least one improvement proposal per month (PMO)</t>
  </si>
  <si>
    <t>Obtaining win-win solutions between different departments</t>
  </si>
  <si>
    <t>No comments from team members or other colleagues</t>
  </si>
  <si>
    <t>Providing the right tools</t>
  </si>
  <si>
    <t>Quantity and quality are achieved</t>
  </si>
  <si>
    <t>The order and cleanliness in the demarcated zone of production</t>
  </si>
  <si>
    <t>Order and cleanliness at any time of the day</t>
  </si>
  <si>
    <t>Motivating, coaching, training, collaboration and feedback of team members. Realize a good work/life balance. Give feedback to employees.</t>
  </si>
  <si>
    <t>Interview with the employees by N + 1 and during the evaluation interview, absenteeism is limited</t>
  </si>
  <si>
    <t>Planning is achieved, Quality correct and no customer complaints</t>
  </si>
  <si>
    <t>Reporting the KPI's</t>
  </si>
  <si>
    <t>No complaints colleagues, Achieving quality, achieving KPI's</t>
  </si>
  <si>
    <t>The correct and timely efficient delivery of material to assembly stations (CU valves)</t>
  </si>
  <si>
    <t>No downtime at the stations and no comments from assembly employee</t>
  </si>
  <si>
    <t>The replenishment of grasp stocks and main stocks (2 x day)</t>
  </si>
  <si>
    <t>Visual checking quality of delivered goods and escalating problems to assembly</t>
  </si>
  <si>
    <t>No quality problems identified during assembly</t>
  </si>
  <si>
    <t>The Sub Assy tasks</t>
  </si>
  <si>
    <t>See function description Prod Emp valve</t>
  </si>
  <si>
    <t>Driving with the forklift</t>
  </si>
  <si>
    <t>No accidents</t>
  </si>
  <si>
    <t>Visual checking of quality of delivered goods and escalating problems to assembly</t>
  </si>
  <si>
    <t>No complaints colleagues, Achieving quality, achieving KPIs</t>
  </si>
  <si>
    <t>The correct compliance with the purchasing and logistics processes</t>
  </si>
  <si>
    <t>Processes still to be made.  In combination with order policy Purchase Leader</t>
  </si>
  <si>
    <t>The correct placing of orders for all incoming goods with follow-up and processing of all logistic formalities</t>
  </si>
  <si>
    <t>Cfr. Criteria to be defined annually on the basis of a matrix delivery performance</t>
  </si>
  <si>
    <t>The accurate follow-up of delivery terms, payment conditions, price agreements related to all incoming goods</t>
  </si>
  <si>
    <t>Keeping all information related to purchasing and logistics up-to-date in the MRP system</t>
  </si>
  <si>
    <t>In accordance with list A-suppliers purchase deviations still to make</t>
  </si>
  <si>
    <t>The checking of incoming goods invoices</t>
  </si>
  <si>
    <t>The analysis of production planning for orders (order quantities for consumption, delivery times, etc.)</t>
  </si>
  <si>
    <t>In accordance with KP'I stock breaks to be determined annually - still to be defined stock breakages</t>
  </si>
  <si>
    <t>The analysis of determining the optimal inventory</t>
  </si>
  <si>
    <t>In accordance with KP'I stock value to be determined annually</t>
  </si>
  <si>
    <t>The transparent communication to suppliers (no compliance) and internal customers</t>
  </si>
  <si>
    <t>Survey with internal customers and suppliers</t>
  </si>
  <si>
    <t>Correct reporting</t>
  </si>
  <si>
    <t>Interview with employees by N + 1</t>
  </si>
  <si>
    <t>Quality control (incoming goods)</t>
  </si>
  <si>
    <t>Still to be determined not present in organization</t>
  </si>
  <si>
    <t>The good relationship between supplier and company</t>
  </si>
  <si>
    <t>A-suppliers (based on turnover) are visited at least once a year on site and B-suppliers to be invited. All according to the delivery performance system (quality - price correct - delivery time - delivery conditions - payment terms - call and delivery frequency); still to be determined) - no out of stocks</t>
  </si>
  <si>
    <t>Determining an acceptable stock value and avoiding stock breaks</t>
  </si>
  <si>
    <t>Range min-max to be determined by the end of 2017</t>
  </si>
  <si>
    <t>Framework contracts</t>
  </si>
  <si>
    <t>In accordance with the annual agreements made with strategically important suppliers (see list)</t>
  </si>
  <si>
    <t>The negotiation of competitive price negotiations at an acceptable quality</t>
  </si>
  <si>
    <t>According to MCOS 56% of the turnover value to be discussed annually</t>
  </si>
  <si>
    <t>Maintaining the number of suppliers</t>
  </si>
  <si>
    <t>Cfr. Current number to be determined and discussed during the performance appraisal interview</t>
  </si>
  <si>
    <t>Monitoring Single Component Unit - standardizing components (drop components) - giving recommendations on the basis of material knowledge</t>
  </si>
  <si>
    <t>Proposals launch at least 5 per year (number to be discussed annually)</t>
  </si>
  <si>
    <t>The innovation; new products and new suppliers</t>
  </si>
  <si>
    <t>Reducing the value of obsolete stock</t>
  </si>
  <si>
    <t>Formulation of recommendations to sales in function of obsolete items - suppliers in function of end of purchase - ...</t>
  </si>
  <si>
    <t>The optimal layout of the warehouse (where to place which product)</t>
  </si>
  <si>
    <t>Questioning employees who collect materials from a warehouse (giving a score) or a loss of time when collecting materials from the warehouse</t>
  </si>
  <si>
    <t>The optimal packaging of supplied products and reducing the waste material</t>
  </si>
  <si>
    <t>Waste per product produced (not yet known - to be determined) and survey among involved employees</t>
  </si>
  <si>
    <t>The optimal internal logistics from warehouse to production</t>
  </si>
  <si>
    <t>Questioning with involved employees</t>
  </si>
  <si>
    <t>Timely shipment of products with avoidance of claims</t>
  </si>
  <si>
    <t>Cfr list</t>
  </si>
  <si>
    <t>The management and organization of external warehouses</t>
  </si>
  <si>
    <t>Integration in VISUAL - on hold until project finished</t>
  </si>
  <si>
    <t>The correct and timely Delivery of 3PL</t>
  </si>
  <si>
    <t>The maintenance of production machines</t>
  </si>
  <si>
    <t>100% deployment of machines and in case of failure, fast restart</t>
  </si>
  <si>
    <t>Determining and executing the sales strategy</t>
  </si>
  <si>
    <t>Sales strategy is communicated and known in company</t>
  </si>
  <si>
    <t>Determining and executing the marketing strategy</t>
  </si>
  <si>
    <t>Marketing strategy is communicated and known in company</t>
  </si>
  <si>
    <t>The communication plan of the organization</t>
  </si>
  <si>
    <t>Image and brand awareness of the organization grows</t>
  </si>
  <si>
    <t>Managing customer satisfaction</t>
  </si>
  <si>
    <t>Customer expectations are known; do not lose customers</t>
  </si>
  <si>
    <t>Taking initiatives for the motivation of our own staff and for promoting good teamwork</t>
  </si>
  <si>
    <t>Achieving the KPI's</t>
  </si>
  <si>
    <t>The KPI's were achieved</t>
  </si>
  <si>
    <t>The cooperation between Dept. Sales and Operations</t>
  </si>
  <si>
    <t>No complaints from the employees</t>
  </si>
  <si>
    <t>Developing the product/market combinations</t>
  </si>
  <si>
    <t>Making relevant proposals to the MT based on market research so that development opportunities can be maximized.</t>
  </si>
  <si>
    <t>The process of complaint handling</t>
  </si>
  <si>
    <t>Process to be prepared after layout and approve</t>
  </si>
  <si>
    <t>The process of technical documentation</t>
  </si>
  <si>
    <t>The process of technical after sales</t>
  </si>
  <si>
    <t>Giving good technical training to internal-external customers</t>
  </si>
  <si>
    <t>Number of training courses to be determined annually during performance interview - future on CRM</t>
  </si>
  <si>
    <t>The correct treatment and careful follow-up of complaints</t>
  </si>
  <si>
    <t>O.b. matrix parameters start of treatment and handling of complaints and in time we add the term of the complaint - future based on CRM</t>
  </si>
  <si>
    <t>Writing and keeping up-to-date useful technical manuals</t>
  </si>
  <si>
    <t>Check twice a year whether the manuals are still up to date (to determine moments during performance appraisal)</t>
  </si>
  <si>
    <t>Providing a solid technical support to Sales Team and the technical service of our customers:</t>
  </si>
  <si>
    <t>2 times face to face contacts with strategic customers list (Van Marcke - Leyco-Entretec-Monarch-Vercalo-Ecomatch-DMTE-PURO Italia)</t>
  </si>
  <si>
    <t>The elaboration of product management (innovation - input from the market):</t>
  </si>
  <si>
    <t>Minimum 1 visit per year to trade fair for water treatment and with list of strategic customers (Van Marcke - Leyco-Entretec-Monarch-Vercalo-Ecomatch-DMTE-PURO Italia-)</t>
  </si>
  <si>
    <t>Calculating hours and overtime</t>
  </si>
  <si>
    <t>The complete production planning (valves CU)</t>
  </si>
  <si>
    <t>The planned schedules are achieved</t>
  </si>
  <si>
    <t>The distribution of workplaces within CU in relation to the number of employees present</t>
  </si>
  <si>
    <t>Production numbers are achieved and realistic</t>
  </si>
  <si>
    <t>The administration, closures, counting of the assembly, printing worksheets, lists of employees and reports</t>
  </si>
  <si>
    <t>Correct and timely completion month closing, feedback HR and team, correct capacity monitoring - planning without intervention by Ops Mgr</t>
  </si>
  <si>
    <t>The loading and unloading activities when warehouse employee is absent</t>
  </si>
  <si>
    <t>Warehouse continues to function in the absence of warehouse manager</t>
  </si>
  <si>
    <t>The follow-up and application of the KP'Is of CU</t>
  </si>
  <si>
    <t>KPI's are achieved</t>
  </si>
  <si>
    <t>The correct basic tools</t>
  </si>
  <si>
    <t>Quantity and Quality are achieved, absenteeism is limited</t>
  </si>
  <si>
    <t>The timely indication of capacity needs (or -) of the assets and operators:</t>
  </si>
  <si>
    <t>Active communication with Prod Mgr</t>
  </si>
  <si>
    <t>The planning</t>
  </si>
  <si>
    <t>Production numbers achieved</t>
  </si>
  <si>
    <t>Correct and timely completion of month closing, feedback HR and team, correct capacity monitoring - planning without intervention by Ops Mgr</t>
  </si>
  <si>
    <t>The picking shop orders (individual parts that are ordered)</t>
  </si>
  <si>
    <t>TBD</t>
  </si>
  <si>
    <t>The supervision of order and cleanliness of the specific workstations</t>
  </si>
  <si>
    <t>Scrap pick up also at Tiny, work tables, follow 5S values</t>
  </si>
  <si>
    <t>Monitoring and applying the KPI's of the valves</t>
  </si>
  <si>
    <t>quantity and Q is achieved, absenteeism is limited</t>
  </si>
  <si>
    <t>no deviations detected, the use of one-piece-flow, no parts forgotten</t>
  </si>
  <si>
    <t>planning achieved, Q (only assembly) correct, no customer complaints</t>
  </si>
  <si>
    <t>The 'retour' of the valves</t>
  </si>
  <si>
    <t>Complaints customers (repairs), via monitoring planning</t>
  </si>
  <si>
    <t>Signaling process improvements (optimization)</t>
  </si>
  <si>
    <t>KPI objective achieved</t>
  </si>
  <si>
    <t>The shipment of goods</t>
  </si>
  <si>
    <t>All components are correctly packaged, shipped and documents are complete. No customer complaints (via registration Techn. Supp emp.) Based on shipping</t>
  </si>
  <si>
    <t>The receipt of goods</t>
  </si>
  <si>
    <t>There is a correct match between delivery note and actual delivery, delivery has been checked: no deviations and no damage</t>
  </si>
  <si>
    <t xml:space="preserve">Entering work orders in Visual, also for 3PL </t>
  </si>
  <si>
    <t>There is a correct match between outgoing parts and assembled parts (problem: delivery time not respected)</t>
  </si>
  <si>
    <t>Calculate the correct and maximum calculation of filling containers for China</t>
  </si>
  <si>
    <t>Everything goes into it</t>
  </si>
  <si>
    <t>The efficient placement (stacking) of goods in the warehouse and of the unloaded containers</t>
  </si>
  <si>
    <t>The number of possible production days is maximum with a completely filled warehouse.</t>
  </si>
  <si>
    <t>The efficient management of the waste flow (plastic, cardboard, residual waste)</t>
  </si>
  <si>
    <t>The production staff always have sufficient space for depositing waste</t>
  </si>
  <si>
    <t>The correct completion of transportation docs</t>
  </si>
  <si>
    <t>Keep an overview of all materials that are placed in the warehouse</t>
  </si>
  <si>
    <t>Know where everything is</t>
  </si>
  <si>
    <t>The order and cleanliness in the demarcated zone of warehouse</t>
  </si>
  <si>
    <t>The correct management of external warehouse</t>
  </si>
  <si>
    <t>The stock list is correct at any time</t>
  </si>
  <si>
    <t>The order picking of spare parts based on customer order</t>
  </si>
  <si>
    <t>Following up the maintenance of the forklift trucks</t>
  </si>
  <si>
    <t>Forklifts are preventively maintained</t>
  </si>
  <si>
    <t>The timely indication of the requirements regarding stock material (pallets, wrapping film, tape, etc.)</t>
  </si>
  <si>
    <t xml:space="preserve">The optimal packaging of supplied products and reducing the waste material </t>
  </si>
  <si>
    <t>Values</t>
  </si>
  <si>
    <t>Collaboration</t>
  </si>
  <si>
    <t>We help each other in any possible way</t>
  </si>
  <si>
    <t>To help achieve each others and Erie's goals</t>
  </si>
  <si>
    <t>And help with each others problems</t>
  </si>
  <si>
    <t>Transparancy</t>
  </si>
  <si>
    <t>We communicate with each other in an open, constructive and respectful way</t>
  </si>
  <si>
    <t xml:space="preserve"> both on positive and negative matters</t>
  </si>
  <si>
    <t>Entrepreneurship</t>
  </si>
  <si>
    <t xml:space="preserve">
We are self-critical and driven and ambitious in taking initiatives</t>
  </si>
  <si>
    <t xml:space="preserve">
to implement improvements</t>
  </si>
  <si>
    <t>We are committed to understanding the needs and aspirations of our internal and / or external customer</t>
  </si>
  <si>
    <t xml:space="preserve">
and to comply with it as much as possible</t>
  </si>
  <si>
    <t>Result Oriented</t>
  </si>
  <si>
    <t xml:space="preserve">
We do not work for 'the performance' in itself,</t>
  </si>
  <si>
    <t>but for the added value achieved by this achievement.</t>
  </si>
  <si>
    <t>Function Description</t>
  </si>
  <si>
    <t>Functioneringsgesprek</t>
  </si>
  <si>
    <t>Performance Interview</t>
  </si>
  <si>
    <t>Verantwoordelijk voor</t>
  </si>
  <si>
    <t>Responsible for</t>
  </si>
  <si>
    <t>Werkingsjaar:</t>
  </si>
  <si>
    <t>Year:</t>
  </si>
  <si>
    <t>Datum dd:</t>
  </si>
  <si>
    <t>Date:</t>
  </si>
  <si>
    <t>Meetbare doelstelling</t>
  </si>
  <si>
    <t>Measurable objective</t>
  </si>
  <si>
    <t>Overstijgt de verwachtingen</t>
  </si>
  <si>
    <t>Exceeds expectations</t>
  </si>
  <si>
    <t>Voldoet aan verwachtingen</t>
  </si>
  <si>
    <t>Meets expectations</t>
  </si>
  <si>
    <t>Te ontwikkelen</t>
  </si>
  <si>
    <t>Voldoet niet aan verwachtingen</t>
  </si>
  <si>
    <t>Does not meet expectations</t>
  </si>
  <si>
    <t>Observaties, Afspraken en Acties</t>
  </si>
  <si>
    <t>Observations and Actions</t>
  </si>
  <si>
    <t>Resultaatsgerichte Acties</t>
  </si>
  <si>
    <t>Result Oriented Actions</t>
  </si>
  <si>
    <t>Persoonlijk ontwikkelplan voor het nieuwe jaar</t>
  </si>
  <si>
    <t>Personal Development Plan</t>
  </si>
  <si>
    <t>Sta stil bij het volgende:</t>
  </si>
  <si>
    <t>Think about …</t>
  </si>
  <si>
    <t>1. Which competencies do you want to develop?</t>
  </si>
  <si>
    <t>2. Formulate your SMART goal around the competency to be developed</t>
  </si>
  <si>
    <t>3. Wat will it serve?</t>
  </si>
  <si>
    <t>4. How do you notice that you are making progress?</t>
  </si>
  <si>
    <t>Te ontwikkelen competenties</t>
  </si>
  <si>
    <t>Competences to be developed</t>
  </si>
  <si>
    <t>Te ontwikkelen competentie 1:</t>
  </si>
  <si>
    <t>Competency to be developed 1:</t>
  </si>
  <si>
    <t>Te ontwikkelen competentie 2:</t>
  </si>
  <si>
    <t>Competency to be developed 2:</t>
  </si>
  <si>
    <t>Te ontwikkelen competentie 3:</t>
  </si>
  <si>
    <t>Competency to be developed 3:</t>
  </si>
  <si>
    <t>Waar wil je staan over 5 jaar? En 10 jaar?</t>
  </si>
  <si>
    <t>Where do you want to be in 5 years? And 10 years?</t>
  </si>
  <si>
    <t>What do you expect (different / more / less) from your supervisor?</t>
  </si>
  <si>
    <t>How do you experience the cooperation?</t>
  </si>
  <si>
    <t>Where do you wish further support?</t>
  </si>
  <si>
    <t>What do you find strong in the cooperation with your supervisor?</t>
  </si>
  <si>
    <t>How do you experience your working conditions?</t>
  </si>
  <si>
    <t>Personeelstevredenheid: duid aan op een schaal van 10 (helemaal waar) tot 1 (helemaal niet waar):</t>
  </si>
  <si>
    <t>Ik doe mijn werk graag</t>
  </si>
  <si>
    <t>I like my work</t>
  </si>
  <si>
    <t>Ik voel me goed op mijn werk</t>
  </si>
  <si>
    <t>I feel good at work</t>
  </si>
  <si>
    <t>I take part in my work in a enthusiastic way</t>
  </si>
  <si>
    <t>I am able to (sufficiently) apply my competencies</t>
  </si>
  <si>
    <t>I feel appreciated in the team</t>
  </si>
  <si>
    <t>Ik ben tevreden over de sfeer</t>
  </si>
  <si>
    <t>I am satisfied with the atmosphere</t>
  </si>
  <si>
    <t>Ik ben tevreden over de samenwerking</t>
  </si>
  <si>
    <t>I am satisfied with the cooperation</t>
  </si>
  <si>
    <t>Wat wil je verder nog kwijt?</t>
  </si>
  <si>
    <t>Anything else?</t>
  </si>
  <si>
    <t>Voor akkoord + datum:</t>
  </si>
  <si>
    <t>Signature &amp; date:</t>
  </si>
  <si>
    <t>NL</t>
  </si>
  <si>
    <t>ENG</t>
  </si>
  <si>
    <t>Index: LET OP: Niet zomaar zaken toevoegen/weglaten! Tekst aanpassen kan wel</t>
  </si>
  <si>
    <t>Empathical</t>
  </si>
  <si>
    <t>Sub competence</t>
  </si>
  <si>
    <t>Detail competencys</t>
  </si>
  <si>
    <t>Business insight</t>
  </si>
  <si>
    <t xml:space="preserve">Knows his/her field </t>
  </si>
  <si>
    <t xml:space="preserve">Is curious about recent trends and developments within own field. </t>
  </si>
  <si>
    <t xml:space="preserve">Keeps up-to-date with new developments within own and relevant fields. </t>
  </si>
  <si>
    <t xml:space="preserve">Takes the initiative to keep up with new trends and developments for his/her own and relevant fields by reading about them, attending conferences, etc. </t>
  </si>
  <si>
    <t xml:space="preserve">Translates competence and market understanding into an action plan and applies the acquired knowledge to market requirements </t>
  </si>
  <si>
    <t xml:space="preserve">Knows the organization’s main competitors and comprehends how they affect the organization. </t>
  </si>
  <si>
    <t xml:space="preserve">Always has a thorough understanding of the market and own field. </t>
  </si>
  <si>
    <t xml:space="preserve">Sees the various applications of current and future technologies/ approaches likely to cater to market needs. </t>
  </si>
  <si>
    <t xml:space="preserve">Is aware of current and future market needs, the competition’s strengths and weaknesses. </t>
  </si>
  <si>
    <t xml:space="preserve">Adapts his/her method of operation accordingly. </t>
  </si>
  <si>
    <t>Learning ability</t>
  </si>
  <si>
    <t xml:space="preserve">Asks questions to get information </t>
  </si>
  <si>
    <t xml:space="preserve">Asks direct questions to all persons involved </t>
  </si>
  <si>
    <t xml:space="preserve">Consults all available information sources. </t>
  </si>
  <si>
    <t xml:space="preserve">Applies newly acquired insights and digs deeper </t>
  </si>
  <si>
    <t xml:space="preserve">Analyses issues and situations personally. </t>
  </si>
  <si>
    <t xml:space="preserve">Asks the persons dealing with an issue what happened. </t>
  </si>
  <si>
    <t xml:space="preserve">Adds new insights to existing knowledge base. </t>
  </si>
  <si>
    <t xml:space="preserve">Quickly comprehends new facts and factors, and applies them correctly. </t>
  </si>
  <si>
    <t xml:space="preserve">Asks questions to get to the heart of the matter and looks for potential opportunities. </t>
  </si>
  <si>
    <t xml:space="preserve">Asks persons not directly involved for their opinion and experience. </t>
  </si>
  <si>
    <t xml:space="preserve">Does not stop at the first answer, tries to find out why something happened. </t>
  </si>
  <si>
    <t xml:space="preserve">Remains curious and clearly shows his/her desire to expand the existing knowledge base. </t>
  </si>
  <si>
    <t xml:space="preserve">Conducts research and uses own systems to obtain information </t>
  </si>
  <si>
    <t>Undertakes action for a long period of time to obtain the necessary data or feedback</t>
  </si>
  <si>
    <t xml:space="preserve">Tries out new approaches and evaluates them correctly. </t>
  </si>
  <si>
    <t xml:space="preserve">Has own ways of, and channels for, gathering information. </t>
  </si>
  <si>
    <t xml:space="preserve">Regularly asks others to gather information for him/her. </t>
  </si>
  <si>
    <t>Creativity</t>
  </si>
  <si>
    <t xml:space="preserve">Uses simple rules based on “common sense” and recognizes situational patterns </t>
  </si>
  <si>
    <t>Uses simple rules based on 'common sense' and experience from the past to define problems</t>
  </si>
  <si>
    <t xml:space="preserve">Immediately recognizes similarities between a new and a past situation. </t>
  </si>
  <si>
    <t xml:space="preserve">Detects patterns, trends and gaps in the information at hand. </t>
  </si>
  <si>
    <t xml:space="preserve">Recognizes similarities between a new and a past situation and identifies the similarities. (Is able to name them.) </t>
  </si>
  <si>
    <t xml:space="preserve">Recognizes good ideas (voiced by others) and elaborates on them. </t>
  </si>
  <si>
    <t xml:space="preserve">Applies acquired concepts and clarifies complex facts or situations </t>
  </si>
  <si>
    <t>Uses knowledge of theories or different experiences to investigate current situations</t>
  </si>
  <si>
    <t xml:space="preserve">Thoroughly applies acquired concepts or methods and is able to amend them where necessary. </t>
  </si>
  <si>
    <t xml:space="preserve">Is able to clarify and explain complex ideas or situations (using metaphors, for instance). </t>
  </si>
  <si>
    <t xml:space="preserve">Combines own ideas with the knowledge of situations and observations to provide clear and comprehensible explanations. </t>
  </si>
  <si>
    <t xml:space="preserve">Combines existing solutions into a unique solution that also appeals to others. </t>
  </si>
  <si>
    <t xml:space="preserve">Creates new concepts </t>
  </si>
  <si>
    <t xml:space="preserve">Devises concepts that may be new to others to explain situations or solve problems. </t>
  </si>
  <si>
    <t xml:space="preserve">Comes up with new ideas that appeal to others. Thinks outside the box and supplies original ideas. </t>
  </si>
  <si>
    <t>Decisiveness</t>
  </si>
  <si>
    <t xml:space="preserve">Takes a stance and bases own judgments on all available data </t>
  </si>
  <si>
    <t xml:space="preserve">Dares to take a stance and to voice it. </t>
  </si>
  <si>
    <t xml:space="preserve">Quickly says what is and what is not possible. </t>
  </si>
  <si>
    <t xml:space="preserve">Bases own judgment on all available data. </t>
  </si>
  <si>
    <t xml:space="preserve">Quickly takes a decision based on such assessments. </t>
  </si>
  <si>
    <t xml:space="preserve">Takes timely decisions </t>
  </si>
  <si>
    <t xml:space="preserve">Does not procrastinate unnecessarily. </t>
  </si>
  <si>
    <t xml:space="preserve">Is able to take decisions based on a limited amount of information. </t>
  </si>
  <si>
    <t xml:space="preserve">Takes unpleasant decisions </t>
  </si>
  <si>
    <t xml:space="preserve">Takes the correct decisions in the event of conflicting interests and persists even if others do not agree. </t>
  </si>
  <si>
    <t>problem analysis</t>
  </si>
  <si>
    <t xml:space="preserve">Dissects problems and detects elementary relationships </t>
  </si>
  <si>
    <t xml:space="preserve">Makes a list of subjects without setting specific priorities. </t>
  </si>
  <si>
    <t xml:space="preserve">Segmentizes problems. </t>
  </si>
  <si>
    <t xml:space="preserve">Establishes links between parts. </t>
  </si>
  <si>
    <t xml:space="preserve">Is able to separate the pros from the cons. </t>
  </si>
  <si>
    <t xml:space="preserve">Sets priorities for a to-do list or activities. </t>
  </si>
  <si>
    <t xml:space="preserve">Asks both vertical (one aspect) and horizontal (several aspects) questions to get a complete picture. </t>
  </si>
  <si>
    <t xml:space="preserve">Indicates which information is required for a correct assessment. </t>
  </si>
  <si>
    <t xml:space="preserve">Detects multiple relationships in a problem </t>
  </si>
  <si>
    <t>Shares problems</t>
  </si>
  <si>
    <t xml:space="preserve">Detects multiple causality links. </t>
  </si>
  <si>
    <t xml:space="preserve">Analyses relationships between various parts of a problem or situation. </t>
  </si>
  <si>
    <t xml:space="preserve">Anticipates possible obstruction and already considers possible steps. </t>
  </si>
  <si>
    <t xml:space="preserve">Is able to distinguish between facts and conjectures. </t>
  </si>
  <si>
    <t xml:space="preserve">Makes complex plans or analyses of a problem and provides a well-thought-out judgment </t>
  </si>
  <si>
    <t>Uses various analysis techniques to break down complex problems into related parts</t>
  </si>
  <si>
    <t xml:space="preserve">Uses various analysis techniques to identify several solutions, and weighs and assesses the benefits of each solution. </t>
  </si>
  <si>
    <t xml:space="preserve">Tests suggestions from various angles. </t>
  </si>
  <si>
    <t xml:space="preserve">Is able to make realistic feasibility predictions. </t>
  </si>
  <si>
    <t xml:space="preserve">Appreciates the consequences of a given choice. States the pros and cons of choices and provides a balanced judgment based on all available information and long-term considerations. </t>
  </si>
  <si>
    <t>Vision</t>
  </si>
  <si>
    <t xml:space="preserve">Comprehends corporate strategies and links own actions to strategic goals </t>
  </si>
  <si>
    <t>Recognizes quickly the main lines of a problem or a discussion</t>
  </si>
  <si>
    <t xml:space="preserve">Is able to comprehend and analyze existing strategies but has not yet devised his/her own effective strategy for this context. </t>
  </si>
  <si>
    <t xml:space="preserve">Is able to detect the canvas of day-to-day events and to name their consequences. </t>
  </si>
  <si>
    <t xml:space="preserve">Sets priorities based on corporate targets. </t>
  </si>
  <si>
    <t xml:space="preserve">Acts in accordance with the organization’s strategy and goals. </t>
  </si>
  <si>
    <t xml:space="preserve">Thinks along strategic (future-oriented) lines; links current events to the corporate strategy and long-term goals </t>
  </si>
  <si>
    <t xml:space="preserve">Sees long-term opportunities or possibilities and knows how to get there. </t>
  </si>
  <si>
    <t xml:space="preserve">Takes note of long-term subjects, problems or opportunities (without taking into account external events). No actions are taken. </t>
  </si>
  <si>
    <t xml:space="preserve">Views short-term tasks from a long-term point of view that is in line with the company’s strategy and goals. Analyses whether short-run targets are in keeping with long-term goals. </t>
  </si>
  <si>
    <t xml:space="preserve">Has a long-term goal and a strategy for getting there. </t>
  </si>
  <si>
    <t xml:space="preserve">Detects external influences on the internal strategy and takes action to implement the strategy while remaining in sync with external developments </t>
  </si>
  <si>
    <t>Analyzes how external developments and trends can influence current policies, processes and methods</t>
  </si>
  <si>
    <t xml:space="preserve">Translates external developments into corporate goals and strategies. </t>
  </si>
  <si>
    <t xml:space="preserve">Devises scenarios and amends them if the problems and situations at hand require it. </t>
  </si>
  <si>
    <t xml:space="preserve">Devises action plans for reaching the long-term goal. </t>
  </si>
  <si>
    <t xml:space="preserve">Explains and discusses the desired future corporate image with others. </t>
  </si>
  <si>
    <t>Customer focus</t>
  </si>
  <si>
    <t xml:space="preserve">Looks after his/her customers </t>
  </si>
  <si>
    <t xml:space="preserve">Services complaints voiced by internal/external customers. </t>
  </si>
  <si>
    <t xml:space="preserve">Keeps the internal/external customers posted about how projects are progressing. </t>
  </si>
  <si>
    <t xml:space="preserve">Communicates clearly with customers and takes charge </t>
  </si>
  <si>
    <t xml:space="preserve">Communicates clearly with internal/external customers about the mutual expectations. </t>
  </si>
  <si>
    <t xml:space="preserve">Pays heed to customer satisfaction. </t>
  </si>
  <si>
    <t xml:space="preserve">Readily provides internal/external customers with useful information. </t>
  </si>
  <si>
    <t xml:space="preserve">Accepts personal responsibility for correcting problems that internal/external customers face. </t>
  </si>
  <si>
    <t xml:space="preserve">Solves problems quickly and does not take a defensive stance with respect to internal/external customers. </t>
  </si>
  <si>
    <t xml:space="preserve">Listens to internal/external customers’ wishes and needs and tries to identify them clearly. </t>
  </si>
  <si>
    <t xml:space="preserve">Provides unsolicited extra service. </t>
  </si>
  <si>
    <t xml:space="preserve">Takes action on behalf of his/her customers based on a long-term perspective </t>
  </si>
  <si>
    <t xml:space="preserve">Makes him/herself available to internal/external customers, especially in critical times. </t>
  </si>
  <si>
    <t xml:space="preserve">Knows the internal/external customer’s business or gathers information about the internal/external customer’s needs. </t>
  </si>
  <si>
    <t xml:space="preserve">Suggests solutions that cater to the internal/external customer’s interests. Looks for long-term benefits for the internal/external customer. </t>
  </si>
  <si>
    <t xml:space="preserve">Looks for long-term solutions to internal/external customer problems. </t>
  </si>
  <si>
    <t xml:space="preserve">Is ready to invest in long-term relationships. </t>
  </si>
  <si>
    <t xml:space="preserve">Shows interest in questions/issues not directly related to the internal/external customer’s question. </t>
  </si>
  <si>
    <t>Relational communication</t>
  </si>
  <si>
    <t xml:space="preserve">Uses existing networks </t>
  </si>
  <si>
    <t xml:space="preserve">Makes effective use of existing networks. </t>
  </si>
  <si>
    <t xml:space="preserve">Contributes to the organization’s desired image in the marketplace. </t>
  </si>
  <si>
    <t xml:space="preserve">Develops networks and creates opportunities for the organization </t>
  </si>
  <si>
    <t xml:space="preserve">Sets up and maintains networks that are important for the organization. </t>
  </si>
  <si>
    <t xml:space="preserve">Reflects about possible developments and the company’s role, and acts accordingly. </t>
  </si>
  <si>
    <t xml:space="preserve">Adapts his public appearances to the image the organization wishes to convey. </t>
  </si>
  <si>
    <t xml:space="preserve">Understands and optimizes the organization’s interaction with its networks </t>
  </si>
  <si>
    <t xml:space="preserve">Understands how the organization’s interaction with its environment (relationship with politicians, shareholders, competitors, partners, etc.) works. </t>
  </si>
  <si>
    <t xml:space="preserve">Develops this knowledge and establishes contacts aimed at improving the organization’s results. </t>
  </si>
  <si>
    <t>Organizational communication</t>
  </si>
  <si>
    <t xml:space="preserve">Understands and acts in accordance with the organization’s formal structure </t>
  </si>
  <si>
    <t xml:space="preserve">Recognizes or uses the organization’s formal structure. </t>
  </si>
  <si>
    <t xml:space="preserve">Knows the rules and procedures and acts accordingly. </t>
  </si>
  <si>
    <t xml:space="preserve">Knows and acts in keeping with formal rules. </t>
  </si>
  <si>
    <t xml:space="preserve">Understands and acts in accordance with the organization’s informal structures, climate and culture </t>
  </si>
  <si>
    <t>Estimates relationships and relationships within the organization and uses them (power relations, key figures, ...)</t>
  </si>
  <si>
    <t xml:space="preserve">Knows how to implicate various factions in the decision-making process for a given proposition. </t>
  </si>
  <si>
    <t xml:space="preserve">Recognizes the unspoken boundaries within the organization (what is and is not possible for certain posts). </t>
  </si>
  <si>
    <t xml:space="preserve">Applies the corporate culture and language to get the correct response. </t>
  </si>
  <si>
    <t xml:space="preserve">Has an action plan that takes into account sensitivity and acceptance considerations within the organization. </t>
  </si>
  <si>
    <t xml:space="preserve">Understands and acts in accordance with the organization’s political ties and underlying issues </t>
  </si>
  <si>
    <t>Understands, describes and uses political relationships within the organization (alliances, coalitions, ...)</t>
  </si>
  <si>
    <t xml:space="preserve">Knows who to approach for decision-making purposes. </t>
  </si>
  <si>
    <t xml:space="preserve">Checks among the right factions whether there is sufficient support for a given suggestion. </t>
  </si>
  <si>
    <t xml:space="preserve">Understands why the organization is positioning itself in the chosen way. </t>
  </si>
  <si>
    <t xml:space="preserve">Identifies underlying problems, opportunities and “political forces” likely to affect the organization. </t>
  </si>
  <si>
    <t xml:space="preserve">Makes effective use of own knowledge about the organization’s products and services </t>
  </si>
  <si>
    <t xml:space="preserve">Knows the organization’s products and services and their relationship with current market needs. </t>
  </si>
  <si>
    <t xml:space="preserve">Conducts cost-benefit analyses, sets challenging targets and works efficiently to reach them </t>
  </si>
  <si>
    <t>Takes decisions, sets priorities and chooses targets based on weighing input and outpu</t>
  </si>
  <si>
    <t xml:space="preserve">Considers and ponders profit and gain prospects based on cost benefit analyses. </t>
  </si>
  <si>
    <t xml:space="preserve">Creates (commercial) opportunities and reveals hidden needs. </t>
  </si>
  <si>
    <t xml:space="preserve">Devises actions based on own imagination and insight. </t>
  </si>
  <si>
    <t xml:space="preserve">Comes up with suggestions aimed at increasing the company’s market orientation. </t>
  </si>
  <si>
    <t xml:space="preserve">Takes calculated risks within own assignment and the company at large </t>
  </si>
  <si>
    <t xml:space="preserve">Devotes a considerable amount of time and means to increase personal advantages. </t>
  </si>
  <si>
    <t xml:space="preserve">Devotes a considerable amount of time and means to increase the company’s profitability (e.g. by improving its performance, reaching a challenging target, etc.). </t>
  </si>
  <si>
    <t xml:space="preserve">Combines vision with deliberate action. </t>
  </si>
  <si>
    <t xml:space="preserve">Takes calculated risks to obtain a given advantage for the company or the customer. </t>
  </si>
  <si>
    <t>Dynamics</t>
  </si>
  <si>
    <t xml:space="preserve">Works hard, effectively and with enthusiasm </t>
  </si>
  <si>
    <t xml:space="preserve">Keeps working until the job is done. </t>
  </si>
  <si>
    <t xml:space="preserve">Keeps radiating enthusiasm and power in spite of hard work and long working hours. </t>
  </si>
  <si>
    <t xml:space="preserve">Does extra work </t>
  </si>
  <si>
    <t xml:space="preserve">Takes the initiative for things that still remain to be done. </t>
  </si>
  <si>
    <t xml:space="preserve">Spreads own enthusiasm among others </t>
  </si>
  <si>
    <t xml:space="preserve">Knows how to encourage others to go the extra mile. </t>
  </si>
  <si>
    <t xml:space="preserve">Commits others to the set targets by means of enthusiasm and energy. </t>
  </si>
  <si>
    <t>Initiative</t>
  </si>
  <si>
    <t xml:space="preserve">Seizes opportunities and transforms problems into opportunities </t>
  </si>
  <si>
    <t>Recognizes and seizes opportunities that arise to achieve goals</t>
  </si>
  <si>
    <t xml:space="preserve">Removes barriers to come up with a solution. </t>
  </si>
  <si>
    <t xml:space="preserve">Acts quickly and decisively in the face of problems. </t>
  </si>
  <si>
    <t xml:space="preserve">Takes charge and takes additional action if the situation requires it. </t>
  </si>
  <si>
    <t xml:space="preserve">Spontaneously submits ideas and solutions. </t>
  </si>
  <si>
    <t xml:space="preserve">Creates opportunities and possibilities, and anticipates short-term opportunities and threats </t>
  </si>
  <si>
    <t xml:space="preserve">Creates opportunities and minimizes potential problems through extra efforts and actions. </t>
  </si>
  <si>
    <t xml:space="preserve">Anticipates and prepares for specific opportunities and threats likely to surface in the near future (3~12 months). </t>
  </si>
  <si>
    <t xml:space="preserve">Takes action to create an opportunity or to avert a crisis nobody else has noticed so far. </t>
  </si>
  <si>
    <t xml:space="preserve">Anticipates medium- and long-run opportunities and threats </t>
  </si>
  <si>
    <t xml:space="preserve">Anticipates future situations (1~2 years) and takes action to create an opportunity or to avert a crisis nobody else has noticed so far. </t>
  </si>
  <si>
    <t xml:space="preserve">Takes personal action to respond or encourages others to do so. </t>
  </si>
  <si>
    <t>Results-oriented</t>
  </si>
  <si>
    <t xml:space="preserve">Thinks he/she does a good job </t>
  </si>
  <si>
    <t xml:space="preserve">Tries to do a good and correct job. </t>
  </si>
  <si>
    <t xml:space="preserve">Improves his/her work or approach when instructed by others. </t>
  </si>
  <si>
    <t xml:space="preserve">Sets own benchmarks for performance excellence and improves own performance </t>
  </si>
  <si>
    <t xml:space="preserve">Compares own performance with that of others and spontaneously takes action to improve his/her work and behavior. </t>
  </si>
  <si>
    <t xml:space="preserve">Changes specific aspects of systems or working methods (example: get a better result, speed up the process, cut costs, improve efficiency, improve the quality). </t>
  </si>
  <si>
    <t xml:space="preserve">Always tries to improve routine work situations and practices. </t>
  </si>
  <si>
    <t xml:space="preserve">Makes suggestions for improvements. </t>
  </si>
  <si>
    <t xml:space="preserve">Improves the performance of others and looks for challenges for him/herself and others </t>
  </si>
  <si>
    <t xml:space="preserve">Submits suggestions that allow others to improve their working methods. </t>
  </si>
  <si>
    <t xml:space="preserve">Modifies the working method of others in specific ways. </t>
  </si>
  <si>
    <t xml:space="preserve">Keeps pushing own boundaries. </t>
  </si>
  <si>
    <t xml:space="preserve">Remains critical with respect to own performance. </t>
  </si>
  <si>
    <t xml:space="preserve">Tries to evolve and improve own weaknesses. </t>
  </si>
  <si>
    <t xml:space="preserve">Challenges others to improve their performance. </t>
  </si>
  <si>
    <t>Determination</t>
  </si>
  <si>
    <t xml:space="preserve">Has a positive attitude and is persistent on a short-term basis </t>
  </si>
  <si>
    <t xml:space="preserve">Doesn’t despair when faced with a difficult situation and comes up with a solution. </t>
  </si>
  <si>
    <t xml:space="preserve">Sticks to own stance and keeps defending it even when others disagree. </t>
  </si>
  <si>
    <t xml:space="preserve">Takes action to avert adversity. </t>
  </si>
  <si>
    <t xml:space="preserve">Remains persistent even over longer stretches and takes a variety of actions </t>
  </si>
  <si>
    <t xml:space="preserve">Remains faithful to his/her position in the eye of opposition or obstacles without taking a dogmatic or rigid attitude. </t>
  </si>
  <si>
    <t xml:space="preserve">Is hard-wired to reach long-term goals and defends own point of view until others recognize it or take it into account. </t>
  </si>
  <si>
    <t xml:space="preserve">Adopts various approaches to reach difficult goals </t>
  </si>
  <si>
    <t xml:space="preserve">Takes various actions to persuade opponents. </t>
  </si>
  <si>
    <t xml:space="preserve">Uses caution and prudence to reach own goals and reaches them. </t>
  </si>
  <si>
    <t>Loyalty</t>
  </si>
  <si>
    <t xml:space="preserve">Adapts to the organization </t>
  </si>
  <si>
    <t xml:space="preserve">Adapts own approach to the way things are done within the organization. </t>
  </si>
  <si>
    <t xml:space="preserve">Does what is expected. </t>
  </si>
  <si>
    <t xml:space="preserve">Adopts agreed procedures and honors agreements. </t>
  </si>
  <si>
    <t xml:space="preserve">Keeps his/her promises and takes a loyal stance </t>
  </si>
  <si>
    <t>Adheres to agreements made despite opposition: appointment is appointment</t>
  </si>
  <si>
    <t xml:space="preserve">Acts in accordance with accepted rules and procedures even if this triggers negative reactions from others. </t>
  </si>
  <si>
    <t xml:space="preserve">Asks the competent authority for confirmation in case of doubt. </t>
  </si>
  <si>
    <t xml:space="preserve">Responds quickly and appropriately to questions voiced by the management. </t>
  </si>
  <si>
    <t xml:space="preserve">Takes a loyal attitude towards the choices made by the management. </t>
  </si>
  <si>
    <t xml:space="preserve">Is aware of policy decisions and plans decided by the management. </t>
  </si>
  <si>
    <t xml:space="preserve">Respects and accepts management decisions. </t>
  </si>
  <si>
    <t xml:space="preserve">Honors agreements even if faced with opposition: “a deal is a deal”. </t>
  </si>
  <si>
    <t xml:space="preserve">Exhibits critical yet constructive support of the organization in public </t>
  </si>
  <si>
    <t xml:space="preserve">Acts in such a way as to support the organization’s goals. </t>
  </si>
  <si>
    <t xml:space="preserve">Makes choices, sets priorities and cooperates with others to meet the organization’s goals. </t>
  </si>
  <si>
    <t xml:space="preserve">Openly supports the organization. </t>
  </si>
  <si>
    <t xml:space="preserve">Meets intentions and plans coming from the management with caution and voices the latter in such a way as to help the management. </t>
  </si>
  <si>
    <t xml:space="preserve">Accepts to let the organization’s interests outweigh his/her own. </t>
  </si>
  <si>
    <t xml:space="preserve">Supports decisions that benefit the company as a whole even though they may initially have an adverse effect. </t>
  </si>
  <si>
    <t>Integrity</t>
  </si>
  <si>
    <t xml:space="preserve">Is open and honest about the work situation and approaches others in an open and unequivocal way </t>
  </si>
  <si>
    <t xml:space="preserve">Is honest about actions that need to be taken and the effort this may require. </t>
  </si>
  <si>
    <t xml:space="preserve">Discusses expectations, problems and irritations with the person in question even though doing nothing appears easier. </t>
  </si>
  <si>
    <t xml:space="preserve">Treats others with respect and expects mutual respect </t>
  </si>
  <si>
    <t xml:space="preserve">Accepts someone as they are. </t>
  </si>
  <si>
    <t xml:space="preserve">Never puts others into situations they cannot handle. </t>
  </si>
  <si>
    <t xml:space="preserve">Promotes mutual respect. </t>
  </si>
  <si>
    <t xml:space="preserve">Has no problems with rather unpleasant remarks at his/her address. </t>
  </si>
  <si>
    <t xml:space="preserve">Carefully calculates interests and responds via appropriate values and standards </t>
  </si>
  <si>
    <t xml:space="preserve">Profiles him/herself in business situations as an independent and upright party. </t>
  </si>
  <si>
    <t xml:space="preserve">Carefully balances interests and different points of view and takes care to avoid lingering doubts. </t>
  </si>
  <si>
    <t xml:space="preserve">Conforms to ethical values and standards. </t>
  </si>
  <si>
    <t>Independence</t>
  </si>
  <si>
    <t xml:space="preserve">Is open and honest; bases all actions on own standards and values </t>
  </si>
  <si>
    <t xml:space="preserve">Is honest about errors and doubts. </t>
  </si>
  <si>
    <t xml:space="preserve">Says what he/she thinks even when this is not required. </t>
  </si>
  <si>
    <t xml:space="preserve">Acts in accordance with personal standards and values. </t>
  </si>
  <si>
    <t xml:space="preserve">Decides for him/herself what’s required and acts accordingly. </t>
  </si>
  <si>
    <t xml:space="preserve">Sticks to principles in the eye of external pressure and tries to persuade others </t>
  </si>
  <si>
    <t xml:space="preserve">Holds on to (professional) principles even when urged by others to push them aside. </t>
  </si>
  <si>
    <t xml:space="preserve">Adopts an approach that he/she believes in even if others object. </t>
  </si>
  <si>
    <t xml:space="preserve">Is not afraid to make suggestions even if others are not yet ready for them or while the foundation for it is still unclear. </t>
  </si>
  <si>
    <t xml:space="preserve">Will convince others of own systems and approach based on well-formulated arguments. </t>
  </si>
  <si>
    <t xml:space="preserve">Acts in accordance with own convictions even if this may entail risks </t>
  </si>
  <si>
    <t xml:space="preserve">Accepts calculated risks even if others try to dissuade him/her or try to exert pressure. </t>
  </si>
  <si>
    <t xml:space="preserve">Is always open and honest during negotiations, mentions both cost and gain, pros and cons. </t>
  </si>
  <si>
    <t>Stress resistance</t>
  </si>
  <si>
    <t xml:space="preserve">Controls own emotions and stays calm </t>
  </si>
  <si>
    <t xml:space="preserve">Remains in control in tense and emotional situations. </t>
  </si>
  <si>
    <t xml:space="preserve">Doesn’t let his/her emotions run away with him/her. </t>
  </si>
  <si>
    <t xml:space="preserve">Is perfectly capable of finishing what he/she is doing. </t>
  </si>
  <si>
    <t xml:space="preserve">Handles stress efficiently </t>
  </si>
  <si>
    <t xml:space="preserve">Keeps looking for potential solutions in the eye of major problems, under pressure or in emotional situations to calm down the situation and keep performing his/her task. </t>
  </si>
  <si>
    <t xml:space="preserve">Performs consistently even under stress. </t>
  </si>
  <si>
    <t xml:space="preserve">Tries to teach others how to work under stress and deals pro-actively with stress </t>
  </si>
  <si>
    <t xml:space="preserve">Suggests methods and systems to help others handle stress more efficiently. </t>
  </si>
  <si>
    <t xml:space="preserve">Is able to identify temporary tensions as they mount. </t>
  </si>
  <si>
    <t xml:space="preserve">Sees pressure and problems coming and takes action to attenuate them. </t>
  </si>
  <si>
    <t xml:space="preserve">Has devised special approaches or scenarios to deal with strong emotions and stress. </t>
  </si>
  <si>
    <t>Dare</t>
  </si>
  <si>
    <t xml:space="preserve">Exhibits self-confidence </t>
  </si>
  <si>
    <t xml:space="preserve">Doesn’t require supervision to execute his/her assignment. </t>
  </si>
  <si>
    <t xml:space="preserve">Strongly presents own point of view. </t>
  </si>
  <si>
    <t xml:space="preserve">Exhibits self-confidence. </t>
  </si>
  <si>
    <t xml:space="preserve">Acts independently and believes in own capacities </t>
  </si>
  <si>
    <t xml:space="preserve">Takes decisions even though others may disagree with them. </t>
  </si>
  <si>
    <t xml:space="preserve">Selects an approach that hasn’t proven itself yet. </t>
  </si>
  <si>
    <t xml:space="preserve">Describes him/herself as competent, i.e. someone who gets things done. </t>
  </si>
  <si>
    <t xml:space="preserve">Takes on challenges and doesn’t run away from conflicts </t>
  </si>
  <si>
    <t xml:space="preserve">Loves challenging assignments and becomes enthusiastic about them. </t>
  </si>
  <si>
    <t xml:space="preserve">Looks for – and receives – new responsibilities. </t>
  </si>
  <si>
    <t xml:space="preserve">Submits a daring proposition even at the risk of it being turned down. </t>
  </si>
  <si>
    <t xml:space="preserve">Proposes a point of view that is at odds with the status quo. </t>
  </si>
  <si>
    <t xml:space="preserve">Openly confronts the management and internal/external customers. </t>
  </si>
  <si>
    <t xml:space="preserve">Blocks resistance. </t>
  </si>
  <si>
    <t xml:space="preserve">Makes suggestions that increase the chances of gaining more and entail higher risks. </t>
  </si>
  <si>
    <t>Ambition</t>
  </si>
  <si>
    <t xml:space="preserve">Invests in him/herself to reach the set goals </t>
  </si>
  <si>
    <t xml:space="preserve">Shows readiness to invest in own evolution, but doesn’t yet take action on his/her own initiative. </t>
  </si>
  <si>
    <t xml:space="preserve">By accepting extra work, shows others the readiness to invest in him/herself so as to reach set goals. </t>
  </si>
  <si>
    <t xml:space="preserve">Accepts and solicits additional assignments and responsibilities </t>
  </si>
  <si>
    <t xml:space="preserve">Accepts additional assignments and responsibilities likely to extend and enhance one’s personal role. </t>
  </si>
  <si>
    <t xml:space="preserve">Asks for more responsibility and claims certain responsibilities. </t>
  </si>
  <si>
    <t xml:space="preserve">Takes focused action to move up the career ladder </t>
  </si>
  <si>
    <t xml:space="preserve">Devises a step-by-step plan and takes focused action to get a given post (example: training, participating in specific projects to gain experience, etc.). </t>
  </si>
  <si>
    <t>Social skills</t>
  </si>
  <si>
    <t xml:space="preserve">Makes a positive first impression and easily establishes formal contact </t>
  </si>
  <si>
    <t xml:space="preserve">Pays heed to courtliness and etiquette. </t>
  </si>
  <si>
    <t xml:space="preserve">Makes a calm, self-confident impression. </t>
  </si>
  <si>
    <t xml:space="preserve">Acts in accordance with own role and expectations. </t>
  </si>
  <si>
    <t xml:space="preserve">Easily reaches out for others if this helps him/her perform a given assignment, or if it is in the general interest. </t>
  </si>
  <si>
    <t xml:space="preserve">Treats contact persons as equals and easily establishes informal contacts </t>
  </si>
  <si>
    <t>Treats different types and classes of people in a just and equal manner</t>
  </si>
  <si>
    <t xml:space="preserve">Gives no preferential treatment. </t>
  </si>
  <si>
    <t xml:space="preserve">Appears at ease in an unknown social environment. </t>
  </si>
  <si>
    <t xml:space="preserve">Approaches people and makes contacts. </t>
  </si>
  <si>
    <t xml:space="preserve">Is able to establish contact with people from different social classes and with different backgrounds in a variety of circumstances. </t>
  </si>
  <si>
    <t xml:space="preserve">Is at ease with maintaining social contacts </t>
  </si>
  <si>
    <t xml:space="preserve">Quickly establishes contact with other people from inside and outside the organization. </t>
  </si>
  <si>
    <t xml:space="preserve">Knows how to put others at ease, make them interested and maintain a relationship. </t>
  </si>
  <si>
    <t>Listening skills</t>
  </si>
  <si>
    <t xml:space="preserve">Listens and asks questions </t>
  </si>
  <si>
    <t xml:space="preserve">Listens to what others say and responds to it. </t>
  </si>
  <si>
    <t xml:space="preserve">Returns to what came up earlier during a conversation. </t>
  </si>
  <si>
    <t xml:space="preserve">Keeps probing to clarify unclear utterances. </t>
  </si>
  <si>
    <t xml:space="preserve">Goes to the heart of the matter, responds to reactions and makes him/herself available to others </t>
  </si>
  <si>
    <t xml:space="preserve">Senses hazy utterances or signals about feelings and intentions of his/her interlocutors. </t>
  </si>
  <si>
    <t xml:space="preserve">Asks questions to confirm personal impression about the interlocutor. </t>
  </si>
  <si>
    <t xml:space="preserve">Provides a correct summary of the other person’s message. </t>
  </si>
  <si>
    <t xml:space="preserve">Is accessible and tries to get the other person’s comprehension. </t>
  </si>
  <si>
    <t xml:space="preserve">Understands both the content and the underlying aspects of a message (example: emotions, problems, etc.). </t>
  </si>
  <si>
    <t xml:space="preserve">Respects other person’s integrity and sends clear signals to this effect. </t>
  </si>
  <si>
    <t xml:space="preserve">Makes him/herself available to discuss personal problems and provides help. </t>
  </si>
  <si>
    <t xml:space="preserve">Understands intentions, underlying thoughts, feelings and problems, is able to predict other people’s reactions </t>
  </si>
  <si>
    <t xml:space="preserve">Understands subliminal or poorly phrased intentions. </t>
  </si>
  <si>
    <t xml:space="preserve">Understands unspoken thoughts, worries or feelings. </t>
  </si>
  <si>
    <t xml:space="preserve">Uses own knowledge of other people (behavior, character traits, etc.) to anticipate their reactions so as to influence them, help them evolve or supply concrete help. </t>
  </si>
  <si>
    <t xml:space="preserve">Understands other people’s underlying problems. </t>
  </si>
  <si>
    <t xml:space="preserve">Understands the underlying reasons for somebody’s feelings, thoughts or worries and their long-term consequences. </t>
  </si>
  <si>
    <t xml:space="preserve">Is able to provide a balanced assessment of another person’s strengths and weaknesses. </t>
  </si>
  <si>
    <t>Written communication</t>
  </si>
  <si>
    <t xml:space="preserve">Writes clear and structured prose </t>
  </si>
  <si>
    <t xml:space="preserve">Makes no spelling mistakes and appears to master the grammar. </t>
  </si>
  <si>
    <t xml:space="preserve">Uses a clear structure in notes, presentation material, brochures, etc. </t>
  </si>
  <si>
    <t xml:space="preserve">Makes summaries and writes attractive texts </t>
  </si>
  <si>
    <t xml:space="preserve">Is able to write clear and structured summaries of texts, books, conferences, etc. </t>
  </si>
  <si>
    <t xml:space="preserve">Writes clear, attractive and concise texts that are intelligible to a large audience. </t>
  </si>
  <si>
    <t xml:space="preserve">Thoroughly checks other people’s texts and alerts them to mistakes; will use summaries and texts to add momentum to own actions </t>
  </si>
  <si>
    <t xml:space="preserve">Checks prose written by others and points out mistakes to them. </t>
  </si>
  <si>
    <t xml:space="preserve">Stresses the positive elements. </t>
  </si>
  <si>
    <t xml:space="preserve">Defends own points of view with texts written by him/herself. </t>
  </si>
  <si>
    <t>Team spirit</t>
  </si>
  <si>
    <t xml:space="preserve">Collaborates with others </t>
  </si>
  <si>
    <t xml:space="preserve">Does his/her share of the job. </t>
  </si>
  <si>
    <t xml:space="preserve">As a member of a group, keeps the other members posted. </t>
  </si>
  <si>
    <t xml:space="preserve">Shares all relevant or useful information with the group or its members. </t>
  </si>
  <si>
    <t xml:space="preserve">Passes on information that is important for others in a timely fashion. </t>
  </si>
  <si>
    <t xml:space="preserve">Expresses positive expectations for the group and solicits input </t>
  </si>
  <si>
    <t>Plays information that is of interest to others in a timely manner.</t>
  </si>
  <si>
    <t xml:space="preserve">Voices positive expectations about others based on their possibilities and capacities. </t>
  </si>
  <si>
    <t xml:space="preserve">Speaks positively about others. </t>
  </si>
  <si>
    <t xml:space="preserve">Shows respect for others. </t>
  </si>
  <si>
    <t xml:space="preserve">Encourages others to take part in the discussion. </t>
  </si>
  <si>
    <t xml:space="preserve">Values the input and experience of others. </t>
  </si>
  <si>
    <t xml:space="preserve">Is ready to learn from others (including collaborators and colleagues). </t>
  </si>
  <si>
    <t xml:space="preserve">Asks other persons for ideas and assessments to reach a conclusion or make plans. </t>
  </si>
  <si>
    <t xml:space="preserve">Takes into account other people’s input. </t>
  </si>
  <si>
    <t xml:space="preserve">Encourages others and creates team spirit </t>
  </si>
  <si>
    <t xml:space="preserve">Openly gives credit to those who did well. </t>
  </si>
  <si>
    <t xml:space="preserve">Encourages others and gives them the impression that they are important. </t>
  </si>
  <si>
    <t xml:space="preserve">Responds actively and in a constructive way to other people’s ideas. </t>
  </si>
  <si>
    <t>Oral communication</t>
  </si>
  <si>
    <t xml:space="preserve">Uses well-constructed and structured sentences and is easy to follow </t>
  </si>
  <si>
    <t xml:space="preserve">• Makes him/herself clear. </t>
  </si>
  <si>
    <t xml:space="preserve">• The message is easily grasped by others. </t>
  </si>
  <si>
    <t xml:space="preserve">• Makes coherent and clearly structured speeches in which the main and ancillary aspects are clearly separated. </t>
  </si>
  <si>
    <t xml:space="preserve">• Gives conclusive answers to content-related questions. </t>
  </si>
  <si>
    <t xml:space="preserve">Summarizes what has been discussed in a clear way and “to-the-point”, and provides step-by-step and comprehensible explanations </t>
  </si>
  <si>
    <t xml:space="preserve">• Uses readily understandable examples and metaphors to illustrate his/her message. </t>
  </si>
  <si>
    <t xml:space="preserve">• Strikes a good balance between responding to reactions by others on the one hand, and following the structure of own communication on the other. By doing so gets others to understand his/her message. </t>
  </si>
  <si>
    <t xml:space="preserve">Is an effective presenter </t>
  </si>
  <si>
    <t xml:space="preserve">• Is comfortable in front of a group and commands attention. </t>
  </si>
  <si>
    <t xml:space="preserve">• Is able to change own strategy halfway into a presentation. </t>
  </si>
  <si>
    <t>Persuasiveness</t>
  </si>
  <si>
    <t xml:space="preserve">Does what it takes to convince others </t>
  </si>
  <si>
    <t xml:space="preserve">• Uses direct persuasion during discussions, meetings or talks (concrete examples, visual aids during presentations, etc.). </t>
  </si>
  <si>
    <t xml:space="preserve">• Takes several steps to convince without adapting to the interests or level of others. </t>
  </si>
  <si>
    <t xml:space="preserve">• Voices suggestions with enthusiasm and determination. </t>
  </si>
  <si>
    <t xml:space="preserve">• Clearly enjoys winning others over to his/her opinions. </t>
  </si>
  <si>
    <t xml:space="preserve">Measures the impact of own words and uses indirect influence </t>
  </si>
  <si>
    <t xml:space="preserve">• Adapts his/her way of speaking to the interests and level of others during meetings and discussions. </t>
  </si>
  <si>
    <t xml:space="preserve">• Anticipates the effect that a given action or utterance may have on someone else. </t>
  </si>
  <si>
    <t xml:space="preserve">• Uses arguments that appeal to others. </t>
  </si>
  <si>
    <t xml:space="preserve">• Tries to influence others in two or more steps. </t>
  </si>
  <si>
    <t xml:space="preserve">• Invokes experts or third parties to exert influence. </t>
  </si>
  <si>
    <t xml:space="preserve">• Doses arguments and opinions at crucial times. </t>
  </si>
  <si>
    <t xml:space="preserve">Uses complex negotiation strategies </t>
  </si>
  <si>
    <t xml:space="preserve">• Builds political alliances, evangelizes behind the scenes to broker support for his/her ideas. </t>
  </si>
  <si>
    <t xml:space="preserve">• Deliberately omits information if that helps reaching a certain goal. </t>
  </si>
  <si>
    <t>Work-life balance</t>
  </si>
  <si>
    <t xml:space="preserve">Knows about the importance of personal balance and feels in balance </t>
  </si>
  <si>
    <t xml:space="preserve">• Decides about the right work-life balance for him/herself. </t>
  </si>
  <si>
    <t xml:space="preserve">• States expectations for own career and life. </t>
  </si>
  <si>
    <t xml:space="preserve">• Makes choices regarding own work-life balance and accepts their consequences. </t>
  </si>
  <si>
    <t xml:space="preserve">• Draws satisfaction from both work and life. </t>
  </si>
  <si>
    <t xml:space="preserve">Devises an action plan to reach personal balance </t>
  </si>
  <si>
    <t xml:space="preserve">• Knows which steps need to be taken to reach a satisfactory work-life balance. </t>
  </si>
  <si>
    <t xml:space="preserve">• Takes efficient action in order to find personal balance. </t>
  </si>
  <si>
    <t xml:space="preserve">• Is able to change intermediary choices to restore personal work-life balance. </t>
  </si>
  <si>
    <t xml:space="preserve">Helps others to take control of their personal balance </t>
  </si>
  <si>
    <t xml:space="preserve">Helps others to isolate their personal expectations regarding work-life balance. </t>
  </si>
  <si>
    <t xml:space="preserve">Encourages others to take effective action so as to reach their personal balance. </t>
  </si>
  <si>
    <t>Flexibility</t>
  </si>
  <si>
    <t xml:space="preserve">Accepts the flexibility expected by the organization and uses it effectively </t>
  </si>
  <si>
    <t xml:space="preserve">Understands that his/her own strategy may not always be the best for the company or his/her own post. </t>
  </si>
  <si>
    <t xml:space="preserve">Observes others so as to analyze their strategy. </t>
  </si>
  <si>
    <t xml:space="preserve">Is prepared to change ideas and perceptions based on newly available information, or for sound reasons. </t>
  </si>
  <si>
    <t xml:space="preserve">Comprehends other people’s points of view. </t>
  </si>
  <si>
    <t xml:space="preserve">Applies rules flexibly and uses the right tactics </t>
  </si>
  <si>
    <t xml:space="preserve">Adapts rules and procedures in specific situations so as to get the job done or reach the goal regardless. </t>
  </si>
  <si>
    <t xml:space="preserve">Responds effectively to certain unexpected but urgent matters. </t>
  </si>
  <si>
    <t xml:space="preserve">Reaches own goal via different routes. </t>
  </si>
  <si>
    <t xml:space="preserve">Takes action so as to level with a given situation or follow a given person. </t>
  </si>
  <si>
    <t xml:space="preserve">Changes own approach and behavior in time to keep operating efficiently. </t>
  </si>
  <si>
    <t xml:space="preserve">Foresees opposition. </t>
  </si>
  <si>
    <t xml:space="preserve">Suppresses opposition by changing own behavior until the goal has been reached. </t>
  </si>
  <si>
    <t xml:space="preserve">Adapts own strategy to the situation at hand </t>
  </si>
  <si>
    <t xml:space="preserve">Changes the general plan, goal or project to respond to the situation at hand. </t>
  </si>
  <si>
    <t xml:space="preserve">Amends the original goal if that allows him/her to keep making an effective contribution. </t>
  </si>
  <si>
    <t>Accuracy</t>
  </si>
  <si>
    <t xml:space="preserve">Works meticulously and checks own work </t>
  </si>
  <si>
    <t xml:space="preserve">Works conscientiously and with attention to detail. </t>
  </si>
  <si>
    <t xml:space="preserve">Is able to work on details over long periods without making mistakes. </t>
  </si>
  <si>
    <t xml:space="preserve">Checks own work for correctness and completeness. </t>
  </si>
  <si>
    <t xml:space="preserve">Asks others whether all points agreed upon have been dealt with. </t>
  </si>
  <si>
    <t xml:space="preserve">Works effectively based on details </t>
  </si>
  <si>
    <t xml:space="preserve">Detects gaps and inconsistencies in the work of others. </t>
  </si>
  <si>
    <t xml:space="preserve">Is able to distill the most relevant details from a vast amount of information. </t>
  </si>
  <si>
    <t xml:space="preserve">Points out relevant details that support the main point. </t>
  </si>
  <si>
    <t xml:space="preserve">Notices things other people tend to overlook. </t>
  </si>
  <si>
    <t xml:space="preserve">Checks what others do and devises actions after analyzing relevant details </t>
  </si>
  <si>
    <t xml:space="preserve">Will take action based on the information and details already gathered. </t>
  </si>
  <si>
    <t xml:space="preserve">Encourages others to work more thoroughly. </t>
  </si>
  <si>
    <t>Planning and organization</t>
  </si>
  <si>
    <t xml:space="preserve">Works in an orderly, systematic and efficient fashion </t>
  </si>
  <si>
    <t xml:space="preserve">Works orderly and systematically. </t>
  </si>
  <si>
    <t xml:space="preserve">Sees to it that the required resources are available on time. </t>
  </si>
  <si>
    <t xml:space="preserve">Knows how to make efficient use of available resources. </t>
  </si>
  <si>
    <t xml:space="preserve">Devises an action plan and is able to combine several activities </t>
  </si>
  <si>
    <t xml:space="preserve">Combines several activities in an effective and efficient way. </t>
  </si>
  <si>
    <t xml:space="preserve">Makes a list of activities and tasks that are required to reach the desired goal. </t>
  </si>
  <si>
    <t xml:space="preserve">Devises an action plan to reach the set goal. </t>
  </si>
  <si>
    <t xml:space="preserve">Works step by step to reach the target, even if this takes some time. </t>
  </si>
  <si>
    <t xml:space="preserve">Anticipates internal/external factors in own action plan and sets priorities </t>
  </si>
  <si>
    <t xml:space="preserve">Sets concrete targets for him/herself and others. </t>
  </si>
  <si>
    <t xml:space="preserve">Anticipates changes and developments. </t>
  </si>
  <si>
    <t xml:space="preserve">Achieves goals. </t>
  </si>
  <si>
    <t xml:space="preserve">Coordinates and harmonizes the goals of various teams/ departments/activities. </t>
  </si>
  <si>
    <t>Process-oriented dynamics</t>
  </si>
  <si>
    <t xml:space="preserve">Provides clarification and checks own work </t>
  </si>
  <si>
    <t xml:space="preserve">Specifies milestones and benchmarks at the onset of a project. </t>
  </si>
  <si>
    <t xml:space="preserve">Encourages clear assignments and tasks, and frequently writes them down. </t>
  </si>
  <si>
    <t xml:space="preserve">Conducts intermediate checks of own work. </t>
  </si>
  <si>
    <t xml:space="preserve">Thoroughly checks the correctness of the information being used. </t>
  </si>
  <si>
    <t xml:space="preserve">Checks what others do, and devises and monitors progress of processes/projects </t>
  </si>
  <si>
    <t xml:space="preserve">Clarifies for him/herself and others how things are going. </t>
  </si>
  <si>
    <t xml:space="preserve">Thoroughly monitors the work of others. </t>
  </si>
  <si>
    <t xml:space="preserve">Monitors deadlines and milestones of processes/projects. </t>
  </si>
  <si>
    <t xml:space="preserve">Quickly points out diversions from the original plan and makes suggestions for how to correct them. </t>
  </si>
  <si>
    <t xml:space="preserve">Monitors the coherence of multiple processes/ projects </t>
  </si>
  <si>
    <t xml:space="preserve">Monitors deadlines and milestones of several related processes/ projects. </t>
  </si>
  <si>
    <t xml:space="preserve">Quickly points out diversions from the original plan and their consequences for multiple projects/processes, and makes suggestions for how to correct them. </t>
  </si>
  <si>
    <t>Managerial dynamics</t>
  </si>
  <si>
    <t xml:space="preserve">Gives instructions to his/her team and sets boundaries </t>
  </si>
  <si>
    <t>Gives clear assignments and instructions to employees.</t>
  </si>
  <si>
    <t xml:space="preserve">Provides the team with clear assignments and instructions. </t>
  </si>
  <si>
    <t xml:space="preserve">Routinely delegates short-term aspects of an operation and the required decision-making authority that goes with it. </t>
  </si>
  <si>
    <t xml:space="preserve">Denies unreasonable requests. </t>
  </si>
  <si>
    <t xml:space="preserve">Sets boundaries to behavior where necessary. </t>
  </si>
  <si>
    <t xml:space="preserve">Communicates clear and high expectations regarding the performance of his/her team </t>
  </si>
  <si>
    <t xml:space="preserve">Delegates tasks that match the level and circumstances of the coworker in question. </t>
  </si>
  <si>
    <t xml:space="preserve">Adapts leadership style to the co-worker’s needs and the situation at hand. </t>
  </si>
  <si>
    <t xml:space="preserve">States clear expectations regarding the approach and the targets to reach. </t>
  </si>
  <si>
    <t xml:space="preserve">Measures individual performances against clear standards. </t>
  </si>
  <si>
    <t xml:space="preserve">Monitors progress regarding the expected result based on previously-set criteria. </t>
  </si>
  <si>
    <t xml:space="preserve">Provides intermediary feedback regarding the approach and results obtained so far. </t>
  </si>
  <si>
    <t xml:space="preserve">Holds co-workers accountable for their activities and performance </t>
  </si>
  <si>
    <t xml:space="preserve">Consistently measures performances and approaches against agreed standards and provides timely feedback. </t>
  </si>
  <si>
    <t xml:space="preserve">States consequences and confronts co-workers with functioning-method and performance issues in an open and direct way. </t>
  </si>
  <si>
    <t>Group-oriented dynamics</t>
  </si>
  <si>
    <t xml:space="preserve">Provides leadership during meetings and keeps everyone posted </t>
  </si>
  <si>
    <t xml:space="preserve">Sets the agenda and goals. </t>
  </si>
  <si>
    <t xml:space="preserve">Watches the time. </t>
  </si>
  <si>
    <t xml:space="preserve">Assigns tasks to the appropriate persons. </t>
  </si>
  <si>
    <t xml:space="preserve">Keeps people posted about decisions and their consequences, even when this not really necessary. </t>
  </si>
  <si>
    <t xml:space="preserve">Sees to it that the group has all the required information. </t>
  </si>
  <si>
    <t xml:space="preserve">Explains the reasoning behind a decision. </t>
  </si>
  <si>
    <t xml:space="preserve">Encourages collaboration and stresses the importance of a common goal and interest </t>
  </si>
  <si>
    <t xml:space="preserve">Encourages a good atmosphere and cooperation. </t>
  </si>
  <si>
    <t xml:space="preserve">Stresses goals, opportunities and successes. </t>
  </si>
  <si>
    <t xml:space="preserve">Involves others in the planning and decision-making process (asks for input). </t>
  </si>
  <si>
    <t xml:space="preserve">Creates win-win situations for the team. </t>
  </si>
  <si>
    <t xml:space="preserve">Creates an appropriate framework (sufficient personnel, resources, information for the group, etc.). </t>
  </si>
  <si>
    <t xml:space="preserve">Divides responsibilities and creates synergy. </t>
  </si>
  <si>
    <t xml:space="preserve">Emphasizes common goals. </t>
  </si>
  <si>
    <t xml:space="preserve">Is not interested in recognition for him/herself. </t>
  </si>
  <si>
    <t xml:space="preserve">Manages to persuade people to move in the desired direction </t>
  </si>
  <si>
    <t>Organizes effective collaboration within the team and neutralizes possible friction in time and effectively</t>
  </si>
  <si>
    <t xml:space="preserve">Invites others to contribute to, and believe in, the mission, targets and policy, and makes sure they understand them. </t>
  </si>
  <si>
    <t xml:space="preserve">Is an example for others (exhibits the desired behavior). </t>
  </si>
  <si>
    <t xml:space="preserve">Ensures that all preconditions are met and that group assignments are carried out. </t>
  </si>
  <si>
    <t xml:space="preserve">Is a credible and undisputed “leader”. </t>
  </si>
  <si>
    <t>Development-oriented dynamics</t>
  </si>
  <si>
    <t xml:space="preserve">Voices positive expectations about a person and points out aspects that need to be developed </t>
  </si>
  <si>
    <t xml:space="preserve">Makes positive remarks regarding his co-workers’ future: current and anticipated possibilities and/or learning potential. </t>
  </si>
  <si>
    <t xml:space="preserve">Believes that others want to, and can, learn or indeed wish to perform better. </t>
  </si>
  <si>
    <t xml:space="preserve">Pinpoints the areas where a person still has room for development and improvement. </t>
  </si>
  <si>
    <t xml:space="preserve">Gives detailed instructions or demonstrations of the intended points (explains how a task needs to be performed, provides specific and helpful suggestions). </t>
  </si>
  <si>
    <t xml:space="preserve">Provides slack and support for his/her team and stimulates by means of feedback </t>
  </si>
  <si>
    <t xml:space="preserve">Creates situations for the team that are both challenging and instructive. </t>
  </si>
  <si>
    <t xml:space="preserve">Provides slack and support for those wishing to tackle new things. </t>
  </si>
  <si>
    <t xml:space="preserve">Encourages people to perform better. </t>
  </si>
  <si>
    <t xml:space="preserve">Creates situations that allow people to learn. </t>
  </si>
  <si>
    <t xml:space="preserve">Provides specific or balanced positive/negative feedback with a view to fostering improvement. </t>
  </si>
  <si>
    <t xml:space="preserve">Provides support after failure or adversity. </t>
  </si>
  <si>
    <t xml:space="preserve">Gives clear and constructive feedback for performances. </t>
  </si>
  <si>
    <t xml:space="preserve">Is critical about past performances but also assures co-workers of his/her confidence in their capabilities. </t>
  </si>
  <si>
    <t xml:space="preserve">Provides long-term coaching or training for others </t>
  </si>
  <si>
    <t xml:space="preserve">Organizes correct and development-oriented tasks, training or other experiences to allow co-workers to evolve. </t>
  </si>
  <si>
    <t xml:space="preserve">Invites people to come up with answers to problems instead of providing them him/herself, to allow them to gain insight. </t>
  </si>
  <si>
    <t xml:space="preserve">Constantly on the look-out for new ways to keep people evolving. </t>
  </si>
  <si>
    <t>Main competence</t>
  </si>
  <si>
    <t>Ik voel me geapprecieerd in het team</t>
  </si>
  <si>
    <t>Ik neem enthousiast deel aan mijn werk</t>
  </si>
  <si>
    <t>To be developped</t>
  </si>
  <si>
    <t xml:space="preserve">Function-oriented competences </t>
  </si>
  <si>
    <t>Knowledge and experience</t>
  </si>
  <si>
    <t>5. Which means to use (eg training, coaching, on the job, walking with senior, reading material, project, ...). What else do you need?</t>
  </si>
  <si>
    <t>Feedback for the manager:</t>
  </si>
  <si>
    <t>Personnel satisfaction: indicate on a scale of 10 (completely true) to 1 (not at all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</si>
</sst>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font>
      <sz val="11"/>
      <color theme="1"/>
      <name val="Calibri"/>
      <family val="2"/>
      <scheme val="minor"/>
    </font>
    <font>
      <b/>
      <sz val="11"/>
      <color theme="1"/>
      <name val="Calibri"/>
      <family val="2"/>
      <scheme val="minor"/>
    </font>
    <font>
      <sz val="11"/>
      <name val="Calibri"/>
      <family val="2"/>
      <scheme val="minor"/>
    </font>
    <font>
      <sz val="11"/>
      <color theme="0"/>
      <name val="Calibri"/>
      <family val="2"/>
      <scheme val="minor"/>
    </font>
    <font>
      <b/>
      <sz val="11"/>
      <color theme="1"/>
      <name val="Berlin Sans FB Demi"/>
      <family val="2"/>
    </font>
    <font>
      <sz val="12"/>
      <color theme="1"/>
      <name val="Calibri"/>
      <family val="2"/>
      <scheme val="minor"/>
    </font>
    <font>
      <sz val="18"/>
      <color theme="1"/>
      <name val="Calibri"/>
      <family val="2"/>
      <scheme val="minor"/>
    </font>
    <font>
      <sz val="12"/>
      <name val="Calibri"/>
      <family val="2"/>
      <scheme val="minor"/>
    </font>
    <font>
      <b/>
      <sz val="20"/>
      <color theme="1"/>
      <name val="Calibri"/>
      <family val="2"/>
      <scheme val="minor"/>
    </font>
    <font>
      <b/>
      <sz val="16"/>
      <color theme="1"/>
      <name val="Calibri"/>
      <family val="2"/>
      <scheme val="minor"/>
    </font>
    <font>
      <sz val="20"/>
      <color theme="1"/>
      <name val="Calibri"/>
      <family val="2"/>
      <scheme val="minor"/>
    </font>
    <font>
      <b/>
      <sz val="18"/>
      <color theme="1"/>
      <name val="Calibri"/>
      <family val="2"/>
      <scheme val="minor"/>
    </font>
    <font>
      <sz val="12"/>
      <color indexed="81"/>
      <name val="Tahoma"/>
      <family val="2"/>
    </font>
    <font>
      <b/>
      <sz val="12"/>
      <color indexed="81"/>
      <name val="Tahoma"/>
      <family val="2"/>
    </font>
    <font>
      <sz val="11"/>
      <color theme="1"/>
      <name val="Calibri"/>
      <family val="2"/>
    </font>
    <font>
      <sz val="12"/>
      <color theme="1"/>
      <name val="Calibri"/>
      <family val="2"/>
    </font>
    <font>
      <sz val="11"/>
      <color rgb="FF000000"/>
      <name val="Calibri"/>
      <family val="2"/>
      <scheme val="minor"/>
    </font>
    <font>
      <sz val="22"/>
      <color theme="1"/>
      <name val="Calibri"/>
      <family val="2"/>
      <scheme val="minor"/>
    </font>
    <font>
      <b/>
      <sz val="11"/>
      <color rgb="FF000000"/>
      <name val="Calibri"/>
      <family val="2"/>
      <scheme val="minor"/>
    </font>
    <font>
      <sz val="12"/>
      <color rgb="FF000000"/>
      <name val="Calibri"/>
      <family val="2"/>
      <scheme val="minor"/>
    </font>
    <font>
      <sz val="26"/>
      <color theme="1"/>
      <name val="Calibri"/>
      <family val="2"/>
      <scheme val="minor"/>
    </font>
    <font>
      <sz val="26"/>
      <color theme="8" tint="-0.499984740745262"/>
      <name val="Calibri"/>
      <family val="2"/>
      <scheme val="minor"/>
    </font>
    <font>
      <sz val="18"/>
      <color theme="8" tint="-0.499984740745262"/>
      <name val="Calibri"/>
      <family val="2"/>
      <scheme val="minor"/>
    </font>
    <font>
      <sz val="24"/>
      <color theme="8" tint="-0.499984740745262"/>
      <name val="Calibri"/>
      <family val="2"/>
      <scheme val="minor"/>
    </font>
    <font>
      <sz val="28"/>
      <color theme="8" tint="-0.499984740745262"/>
      <name val="Calibri"/>
      <family val="2"/>
      <scheme val="minor"/>
    </font>
    <font>
      <sz val="26"/>
      <color theme="4" tint="-0.499984740745262"/>
      <name val="Calibri"/>
      <family val="2"/>
      <scheme val="minor"/>
    </font>
    <font>
      <sz val="36"/>
      <color theme="1"/>
      <name val="Calibri"/>
      <family val="2"/>
      <scheme val="minor"/>
    </font>
    <font>
      <sz val="21"/>
      <color theme="1"/>
      <name val="Calibri"/>
      <family val="2"/>
      <scheme val="minor"/>
    </font>
    <font>
      <sz val="14"/>
      <color theme="1"/>
      <name val="Calibri"/>
      <family val="2"/>
      <scheme val="minor"/>
    </font>
    <font>
      <sz val="14"/>
      <name val="Calibri"/>
      <family val="2"/>
      <scheme val="minor"/>
    </font>
    <font>
      <sz val="14"/>
      <name val="Calibri"/>
      <family val="2"/>
    </font>
    <font>
      <sz val="14"/>
      <color theme="1"/>
      <name val="Calibri"/>
      <family val="2"/>
    </font>
    <font>
      <sz val="14"/>
      <color rgb="FFFF0000"/>
      <name val="Calibri"/>
      <family val="2"/>
      <scheme val="minor"/>
    </font>
    <font>
      <b/>
      <sz val="36"/>
      <color theme="1"/>
      <name val="Calibri"/>
      <family val="2"/>
      <scheme val="minor"/>
    </font>
    <font>
      <sz val="72"/>
      <color theme="8" tint="-0.499984740745262"/>
      <name val="Calibri"/>
      <family val="2"/>
      <scheme val="minor"/>
    </font>
    <font>
      <sz val="48"/>
      <color theme="1"/>
      <name val="Calibri"/>
      <family val="2"/>
      <scheme val="minor"/>
    </font>
    <font>
      <sz val="18"/>
      <color theme="4" tint="-0.499984740745262"/>
      <name val="Calibri"/>
      <family val="2"/>
      <scheme val="minor"/>
    </font>
    <font>
      <sz val="28"/>
      <color theme="1"/>
      <name val="Calibri"/>
      <family val="2"/>
      <scheme val="minor"/>
    </font>
    <font>
      <b/>
      <sz val="22"/>
      <color theme="1"/>
      <name val="Calibri"/>
      <family val="2"/>
      <scheme val="minor"/>
    </font>
    <font>
      <sz val="11"/>
      <color rgb="FF000000"/>
      <name val="Calibri"/>
      <family val="2"/>
    </font>
    <font>
      <sz val="8"/>
      <color theme="1"/>
      <name val="Calibri"/>
      <family val="2"/>
      <scheme val="minor"/>
    </font>
    <font>
      <sz val="11"/>
      <color rgb="FFFF0000"/>
      <name val="Calibri"/>
      <family val="2"/>
      <scheme val="minor"/>
    </font>
    <font>
      <sz val="10"/>
      <color theme="1"/>
      <name val="Calibri"/>
      <family val="2"/>
      <scheme val="minor"/>
    </font>
    <font>
      <sz val="12"/>
      <color rgb="FF212121"/>
      <name val="Arial"/>
      <family val="2"/>
    </font>
    <font>
      <sz val="12"/>
      <color rgb="FF212121"/>
      <name val="Inherit"/>
    </font>
  </fonts>
  <fills count="15">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D6DCE4"/>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4" tint="0.79998168889431442"/>
        <bgColor indexed="64"/>
      </patternFill>
    </fill>
  </fills>
  <borders count="5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s>
  <cellStyleXfs count="1">
    <xf numFmtId="0" fontId="0" fillId="0" borderId="0"/>
  </cellStyleXfs>
  <cellXfs count="469">
    <xf numFmtId="0" fontId="0" fillId="0" borderId="0" xfId="0"/>
    <xf numFmtId="0" fontId="0" fillId="0" borderId="0" xfId="0"/>
    <xf numFmtId="0" fontId="0" fillId="0" borderId="0" xfId="0" applyAlignment="1">
      <alignment horizontal="center" vertical="center"/>
    </xf>
    <xf numFmtId="0" fontId="0" fillId="0" borderId="0" xfId="0" applyAlignment="1">
      <alignment vertical="top"/>
    </xf>
    <xf numFmtId="0" fontId="6" fillId="4" borderId="12" xfId="0" applyFont="1" applyFill="1" applyBorder="1" applyAlignment="1">
      <alignment horizontal="center" vertical="center"/>
    </xf>
    <xf numFmtId="0" fontId="0" fillId="0" borderId="0" xfId="0" applyAlignment="1">
      <alignment vertical="center"/>
    </xf>
    <xf numFmtId="0" fontId="0" fillId="0" borderId="0" xfId="0" applyAlignment="1">
      <alignment horizontal="center" vertical="top"/>
    </xf>
    <xf numFmtId="0" fontId="7" fillId="4" borderId="16" xfId="0" applyFont="1" applyFill="1" applyBorder="1" applyAlignment="1">
      <alignment horizontal="center" vertical="center"/>
    </xf>
    <xf numFmtId="0" fontId="0" fillId="0" borderId="0" xfId="0" applyAlignment="1">
      <alignment horizontal="center"/>
    </xf>
    <xf numFmtId="0" fontId="0" fillId="3" borderId="0" xfId="0" applyFill="1"/>
    <xf numFmtId="0" fontId="0" fillId="0" borderId="0" xfId="0" applyAlignment="1">
      <alignment wrapText="1"/>
    </xf>
    <xf numFmtId="0" fontId="0" fillId="3" borderId="14" xfId="0" applyFill="1" applyBorder="1" applyAlignment="1">
      <alignment vertical="center"/>
    </xf>
    <xf numFmtId="0" fontId="9" fillId="4" borderId="24" xfId="0" applyFont="1" applyFill="1" applyBorder="1" applyAlignment="1">
      <alignment horizontal="center" vertical="center"/>
    </xf>
    <xf numFmtId="0" fontId="6" fillId="4" borderId="20" xfId="0" applyFont="1" applyFill="1" applyBorder="1" applyAlignment="1">
      <alignment horizontal="center" vertical="center"/>
    </xf>
    <xf numFmtId="0" fontId="0" fillId="3" borderId="33" xfId="0" applyFill="1" applyBorder="1" applyAlignment="1">
      <alignment vertical="center"/>
    </xf>
    <xf numFmtId="0" fontId="0" fillId="3" borderId="34" xfId="0" applyFill="1" applyBorder="1" applyAlignment="1">
      <alignment vertical="center"/>
    </xf>
    <xf numFmtId="0" fontId="0" fillId="7" borderId="26" xfId="0" applyNumberFormat="1" applyFont="1" applyFill="1" applyBorder="1" applyAlignment="1" applyProtection="1">
      <alignment horizontal="left"/>
    </xf>
    <xf numFmtId="0" fontId="0" fillId="7" borderId="28" xfId="0" applyNumberFormat="1" applyFont="1" applyFill="1" applyBorder="1" applyAlignment="1" applyProtection="1">
      <alignment horizontal="left"/>
    </xf>
    <xf numFmtId="0" fontId="0" fillId="7" borderId="35" xfId="0" applyNumberFormat="1" applyFont="1" applyFill="1" applyBorder="1" applyAlignment="1" applyProtection="1">
      <alignment horizontal="left"/>
    </xf>
    <xf numFmtId="0" fontId="0" fillId="7" borderId="26" xfId="0" applyFill="1" applyBorder="1" applyAlignment="1">
      <alignment horizontal="left"/>
    </xf>
    <xf numFmtId="0" fontId="0" fillId="7" borderId="31" xfId="0" applyNumberFormat="1" applyFont="1" applyFill="1" applyBorder="1" applyAlignment="1" applyProtection="1">
      <alignment horizontal="left"/>
    </xf>
    <xf numFmtId="0" fontId="0" fillId="7" borderId="36" xfId="0" applyFill="1" applyBorder="1" applyAlignment="1">
      <alignment horizontal="left"/>
    </xf>
    <xf numFmtId="0" fontId="0" fillId="5" borderId="24" xfId="0" applyFill="1" applyBorder="1" applyAlignment="1">
      <alignment horizontal="center"/>
    </xf>
    <xf numFmtId="0" fontId="0" fillId="5" borderId="20" xfId="0" applyFill="1" applyBorder="1" applyAlignment="1">
      <alignment horizontal="center"/>
    </xf>
    <xf numFmtId="0" fontId="0" fillId="0" borderId="1" xfId="0" applyBorder="1" applyAlignment="1">
      <alignment horizontal="left"/>
    </xf>
    <xf numFmtId="0" fontId="0" fillId="0" borderId="21" xfId="0" applyBorder="1" applyAlignment="1">
      <alignment horizontal="left"/>
    </xf>
    <xf numFmtId="0" fontId="0" fillId="0" borderId="4" xfId="0" applyBorder="1" applyAlignment="1">
      <alignment horizontal="left"/>
    </xf>
    <xf numFmtId="0" fontId="0" fillId="0" borderId="22" xfId="0" applyBorder="1" applyAlignment="1">
      <alignment horizontal="left"/>
    </xf>
    <xf numFmtId="0" fontId="0" fillId="7" borderId="12" xfId="0" applyFill="1" applyBorder="1" applyAlignment="1">
      <alignment horizontal="center"/>
    </xf>
    <xf numFmtId="0" fontId="0" fillId="7" borderId="28" xfId="0" applyFill="1" applyBorder="1" applyAlignment="1">
      <alignment horizontal="center"/>
    </xf>
    <xf numFmtId="0" fontId="0" fillId="7" borderId="30" xfId="0" applyFill="1" applyBorder="1" applyAlignment="1">
      <alignment horizontal="center"/>
    </xf>
    <xf numFmtId="0" fontId="0" fillId="7" borderId="31" xfId="0" applyFill="1" applyBorder="1" applyAlignment="1">
      <alignment horizontal="center"/>
    </xf>
    <xf numFmtId="0" fontId="0" fillId="3" borderId="0" xfId="0" applyFill="1" applyAlignment="1">
      <alignment horizontal="center" vertical="center"/>
    </xf>
    <xf numFmtId="0" fontId="4" fillId="7" borderId="21" xfId="0" applyFont="1" applyFill="1" applyBorder="1" applyAlignment="1">
      <alignment horizontal="center" vertical="top" wrapText="1"/>
    </xf>
    <xf numFmtId="0" fontId="4" fillId="7" borderId="22" xfId="0" applyFont="1" applyFill="1" applyBorder="1" applyAlignment="1">
      <alignment horizontal="center" vertical="top" wrapText="1"/>
    </xf>
    <xf numFmtId="0" fontId="4" fillId="7" borderId="23" xfId="0" applyFont="1" applyFill="1" applyBorder="1" applyAlignment="1">
      <alignment horizontal="center" vertical="top" wrapText="1"/>
    </xf>
    <xf numFmtId="0" fontId="0" fillId="3" borderId="25" xfId="0" applyFill="1" applyBorder="1" applyAlignment="1">
      <alignment horizontal="center"/>
    </xf>
    <xf numFmtId="0" fontId="0" fillId="3" borderId="26" xfId="0" applyFill="1" applyBorder="1" applyAlignment="1">
      <alignment horizontal="center"/>
    </xf>
    <xf numFmtId="0" fontId="0" fillId="0" borderId="6" xfId="0" applyBorder="1" applyAlignment="1">
      <alignment horizontal="left"/>
    </xf>
    <xf numFmtId="0" fontId="0" fillId="0" borderId="23" xfId="0" applyBorder="1" applyAlignment="1">
      <alignment horizontal="left"/>
    </xf>
    <xf numFmtId="0" fontId="3" fillId="0" borderId="0" xfId="0" applyFont="1" applyBorder="1" applyAlignment="1">
      <alignment horizontal="center"/>
    </xf>
    <xf numFmtId="0" fontId="3" fillId="0" borderId="0" xfId="0" applyFont="1" applyBorder="1"/>
    <xf numFmtId="0" fontId="3" fillId="0" borderId="0" xfId="0" applyFont="1" applyFill="1" applyBorder="1"/>
    <xf numFmtId="0" fontId="3" fillId="0" borderId="0" xfId="0" applyFont="1" applyBorder="1" applyAlignment="1">
      <alignment horizontal="left"/>
    </xf>
    <xf numFmtId="0" fontId="0" fillId="0" borderId="0" xfId="0" applyFont="1" applyBorder="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15" fillId="0" borderId="0" xfId="0" applyFont="1" applyBorder="1" applyAlignment="1">
      <alignment horizontal="left" vertical="center" wrapText="1"/>
    </xf>
    <xf numFmtId="0" fontId="14" fillId="0" borderId="0" xfId="0" applyFont="1" applyBorder="1" applyAlignment="1">
      <alignment horizontal="left" vertical="center" wrapText="1"/>
    </xf>
    <xf numFmtId="0" fontId="0" fillId="0" borderId="0" xfId="0" applyFont="1" applyBorder="1" applyAlignment="1">
      <alignment horizontal="left"/>
    </xf>
    <xf numFmtId="0" fontId="0" fillId="0" borderId="0" xfId="0" applyFont="1" applyBorder="1"/>
    <xf numFmtId="0" fontId="1" fillId="2" borderId="0" xfId="0" applyFont="1" applyFill="1" applyBorder="1" applyAlignment="1">
      <alignment horizontal="center"/>
    </xf>
    <xf numFmtId="0" fontId="1" fillId="2" borderId="0" xfId="0" applyFont="1" applyFill="1" applyBorder="1" applyAlignment="1">
      <alignment horizontal="left"/>
    </xf>
    <xf numFmtId="0" fontId="4" fillId="7" borderId="1" xfId="0" applyFont="1" applyFill="1" applyBorder="1" applyAlignment="1">
      <alignment horizontal="center" vertical="top" wrapText="1"/>
    </xf>
    <xf numFmtId="0" fontId="4" fillId="7" borderId="4" xfId="0" applyFont="1" applyFill="1" applyBorder="1" applyAlignment="1">
      <alignment horizontal="center" vertical="top" wrapText="1"/>
    </xf>
    <xf numFmtId="0" fontId="4" fillId="7" borderId="6" xfId="0" applyFont="1" applyFill="1" applyBorder="1" applyAlignment="1">
      <alignment horizontal="center" vertical="top" wrapText="1"/>
    </xf>
    <xf numFmtId="0" fontId="16" fillId="0" borderId="0" xfId="0" applyFont="1" applyAlignment="1">
      <alignment vertical="center"/>
    </xf>
    <xf numFmtId="0" fontId="16" fillId="0" borderId="0" xfId="0" applyFont="1" applyAlignment="1">
      <alignment vertical="center" wrapText="1"/>
    </xf>
    <xf numFmtId="0" fontId="0" fillId="0" borderId="0" xfId="0" applyAlignment="1">
      <alignment vertical="center" wrapText="1"/>
    </xf>
    <xf numFmtId="0" fontId="0" fillId="0" borderId="0" xfId="0" applyBorder="1" applyAlignment="1">
      <alignment horizontal="center" vertical="center"/>
    </xf>
    <xf numFmtId="0" fontId="0" fillId="0" borderId="0" xfId="0" applyBorder="1"/>
    <xf numFmtId="0" fontId="0" fillId="0" borderId="0" xfId="0" applyAlignment="1">
      <alignment vertical="top" wrapText="1"/>
    </xf>
    <xf numFmtId="0" fontId="18" fillId="9" borderId="0" xfId="0" applyFont="1" applyFill="1" applyAlignment="1">
      <alignment vertical="center"/>
    </xf>
    <xf numFmtId="0" fontId="19" fillId="0" borderId="0" xfId="0" applyFont="1" applyAlignment="1">
      <alignment vertical="center" wrapText="1"/>
    </xf>
    <xf numFmtId="0" fontId="2" fillId="0" borderId="0" xfId="0" applyFont="1" applyBorder="1"/>
    <xf numFmtId="0" fontId="2" fillId="0" borderId="0" xfId="0" applyFont="1" applyAlignment="1">
      <alignment vertical="center" wrapText="1"/>
    </xf>
    <xf numFmtId="0" fontId="5" fillId="4" borderId="16" xfId="0" applyFont="1" applyFill="1" applyBorder="1" applyAlignment="1">
      <alignment horizontal="center" vertical="center"/>
    </xf>
    <xf numFmtId="0" fontId="0" fillId="0" borderId="0" xfId="0" applyFill="1" applyAlignment="1">
      <alignment wrapText="1"/>
    </xf>
    <xf numFmtId="0" fontId="1" fillId="7" borderId="40" xfId="0" applyFont="1" applyFill="1" applyBorder="1" applyAlignment="1">
      <alignment horizontal="center" vertical="center"/>
    </xf>
    <xf numFmtId="0" fontId="22" fillId="5" borderId="2" xfId="0" applyFont="1" applyFill="1" applyBorder="1" applyAlignment="1">
      <alignment vertical="center" wrapText="1"/>
    </xf>
    <xf numFmtId="0" fontId="22" fillId="5" borderId="0" xfId="0" applyFont="1" applyFill="1" applyBorder="1" applyAlignment="1">
      <alignment vertical="center" wrapText="1"/>
    </xf>
    <xf numFmtId="0" fontId="25" fillId="5" borderId="11" xfId="0" applyFont="1" applyFill="1" applyBorder="1" applyAlignment="1">
      <alignment vertical="center"/>
    </xf>
    <xf numFmtId="0" fontId="0" fillId="5" borderId="2" xfId="0" applyFill="1" applyBorder="1" applyAlignment="1"/>
    <xf numFmtId="0" fontId="0" fillId="5" borderId="3" xfId="0" applyFill="1" applyBorder="1" applyAlignment="1"/>
    <xf numFmtId="0" fontId="0" fillId="5" borderId="7" xfId="0" applyFill="1" applyBorder="1" applyAlignment="1"/>
    <xf numFmtId="0" fontId="0" fillId="5" borderId="8" xfId="0" applyFill="1" applyBorder="1" applyAlignment="1"/>
    <xf numFmtId="0" fontId="20" fillId="5" borderId="0" xfId="0" applyFont="1" applyFill="1" applyBorder="1" applyAlignment="1"/>
    <xf numFmtId="0" fontId="20" fillId="5" borderId="5" xfId="0" applyFont="1" applyFill="1" applyBorder="1" applyAlignment="1"/>
    <xf numFmtId="0" fontId="20" fillId="5" borderId="7" xfId="0" applyFont="1" applyFill="1" applyBorder="1" applyAlignment="1"/>
    <xf numFmtId="0" fontId="20" fillId="5" borderId="8" xfId="0" applyFont="1" applyFill="1" applyBorder="1" applyAlignment="1"/>
    <xf numFmtId="0" fontId="0" fillId="0" borderId="0" xfId="0" applyAlignment="1"/>
    <xf numFmtId="0" fontId="25" fillId="5" borderId="40" xfId="0" applyFont="1" applyFill="1" applyBorder="1" applyAlignment="1">
      <alignment vertical="center"/>
    </xf>
    <xf numFmtId="0" fontId="28" fillId="7" borderId="12" xfId="0" applyNumberFormat="1" applyFont="1" applyFill="1" applyBorder="1" applyAlignment="1" applyProtection="1">
      <alignment vertical="top"/>
    </xf>
    <xf numFmtId="0" fontId="28" fillId="7" borderId="12" xfId="0" applyFont="1" applyFill="1" applyBorder="1" applyAlignment="1">
      <alignment horizontal="center" vertical="top"/>
    </xf>
    <xf numFmtId="0" fontId="28" fillId="7" borderId="13" xfId="0" applyFont="1" applyFill="1" applyBorder="1" applyAlignment="1">
      <alignment horizontal="left" vertical="top" wrapText="1"/>
    </xf>
    <xf numFmtId="0" fontId="28" fillId="7" borderId="15" xfId="0" applyFont="1" applyFill="1" applyBorder="1" applyAlignment="1">
      <alignment horizontal="left" vertical="top" wrapText="1"/>
    </xf>
    <xf numFmtId="0" fontId="28" fillId="7" borderId="12" xfId="0" applyFont="1" applyFill="1" applyBorder="1" applyAlignment="1">
      <alignment horizontal="left" vertical="top" wrapText="1"/>
    </xf>
    <xf numFmtId="0" fontId="29" fillId="11" borderId="12" xfId="0" applyFont="1" applyFill="1" applyBorder="1" applyAlignment="1">
      <alignment vertical="top"/>
    </xf>
    <xf numFmtId="0" fontId="28" fillId="11" borderId="12" xfId="0" applyFont="1" applyFill="1" applyBorder="1" applyAlignment="1">
      <alignment vertical="top"/>
    </xf>
    <xf numFmtId="0" fontId="28" fillId="11" borderId="13" xfId="0" applyFont="1" applyFill="1" applyBorder="1" applyAlignment="1">
      <alignment horizontal="left" vertical="top" wrapText="1"/>
    </xf>
    <xf numFmtId="0" fontId="29" fillId="11" borderId="13" xfId="0" applyFont="1" applyFill="1" applyBorder="1" applyAlignment="1">
      <alignment horizontal="left" vertical="top" wrapText="1"/>
    </xf>
    <xf numFmtId="0" fontId="29" fillId="11" borderId="12" xfId="0" applyFont="1" applyFill="1" applyBorder="1" applyAlignment="1">
      <alignment horizontal="left" vertical="top" wrapText="1"/>
    </xf>
    <xf numFmtId="0" fontId="28" fillId="11" borderId="12" xfId="0" applyFont="1" applyFill="1" applyBorder="1" applyAlignment="1">
      <alignment horizontal="left" vertical="top" wrapText="1"/>
    </xf>
    <xf numFmtId="0" fontId="29" fillId="11" borderId="12" xfId="0" applyFont="1" applyFill="1" applyBorder="1" applyAlignment="1">
      <alignment vertical="top" wrapText="1"/>
    </xf>
    <xf numFmtId="0" fontId="30" fillId="11" borderId="12" xfId="0" applyFont="1" applyFill="1" applyBorder="1" applyAlignment="1">
      <alignment vertical="top" wrapText="1"/>
    </xf>
    <xf numFmtId="0" fontId="31" fillId="11" borderId="12" xfId="0" applyFont="1" applyFill="1" applyBorder="1" applyAlignment="1">
      <alignment horizontal="left" vertical="top" wrapText="1"/>
    </xf>
    <xf numFmtId="0" fontId="28" fillId="11" borderId="12" xfId="0" applyFont="1" applyFill="1" applyBorder="1" applyAlignment="1">
      <alignment vertical="top" wrapText="1"/>
    </xf>
    <xf numFmtId="0" fontId="31" fillId="10" borderId="12" xfId="0" applyFont="1" applyFill="1" applyBorder="1" applyAlignment="1">
      <alignment horizontal="left" vertical="top" wrapText="1"/>
    </xf>
    <xf numFmtId="0" fontId="28" fillId="10" borderId="12" xfId="0" applyFont="1" applyFill="1" applyBorder="1" applyAlignment="1">
      <alignment vertical="top"/>
    </xf>
    <xf numFmtId="0" fontId="28" fillId="7" borderId="12" xfId="0" applyFont="1" applyFill="1" applyBorder="1" applyAlignment="1">
      <alignment horizontal="center"/>
    </xf>
    <xf numFmtId="0" fontId="31" fillId="7" borderId="12" xfId="0" applyFont="1" applyFill="1" applyBorder="1"/>
    <xf numFmtId="0" fontId="28" fillId="7" borderId="12" xfId="0" applyFont="1" applyFill="1" applyBorder="1"/>
    <xf numFmtId="0" fontId="31" fillId="11" borderId="12" xfId="0" applyFont="1" applyFill="1" applyBorder="1" applyAlignment="1">
      <alignment vertical="top"/>
    </xf>
    <xf numFmtId="0" fontId="29" fillId="11" borderId="27" xfId="0" applyFont="1" applyFill="1" applyBorder="1" applyAlignment="1">
      <alignment vertical="top"/>
    </xf>
    <xf numFmtId="0" fontId="30" fillId="11" borderId="27" xfId="0" applyFont="1" applyFill="1" applyBorder="1" applyAlignment="1">
      <alignment vertical="top" wrapText="1"/>
    </xf>
    <xf numFmtId="0" fontId="28" fillId="7" borderId="27" xfId="0" applyNumberFormat="1" applyFont="1" applyFill="1" applyBorder="1" applyAlignment="1" applyProtection="1">
      <alignment vertical="top"/>
    </xf>
    <xf numFmtId="0" fontId="28" fillId="7" borderId="0" xfId="0" applyFont="1" applyFill="1" applyBorder="1" applyAlignment="1">
      <alignment horizontal="left" vertical="top" wrapText="1"/>
    </xf>
    <xf numFmtId="0" fontId="28" fillId="7" borderId="15" xfId="0" applyNumberFormat="1" applyFont="1" applyFill="1" applyBorder="1" applyAlignment="1" applyProtection="1">
      <alignment vertical="top"/>
    </xf>
    <xf numFmtId="0" fontId="28" fillId="7" borderId="15" xfId="0" applyFont="1" applyFill="1" applyBorder="1" applyAlignment="1">
      <alignment horizontal="center" vertical="top"/>
    </xf>
    <xf numFmtId="0" fontId="29" fillId="12" borderId="12" xfId="0" applyFont="1" applyFill="1" applyBorder="1" applyAlignment="1">
      <alignment vertical="top"/>
    </xf>
    <xf numFmtId="0" fontId="29" fillId="12" borderId="12" xfId="0" applyFont="1" applyFill="1" applyBorder="1" applyAlignment="1">
      <alignment horizontal="left" vertical="top" wrapText="1"/>
    </xf>
    <xf numFmtId="0" fontId="28" fillId="12" borderId="12" xfId="0" applyFont="1" applyFill="1" applyBorder="1" applyAlignment="1">
      <alignment horizontal="left" vertical="top" wrapText="1"/>
    </xf>
    <xf numFmtId="0" fontId="29" fillId="12" borderId="12" xfId="0" applyFont="1" applyFill="1" applyBorder="1" applyAlignment="1">
      <alignment vertical="top" wrapText="1"/>
    </xf>
    <xf numFmtId="0" fontId="28" fillId="7" borderId="12" xfId="0" applyFont="1" applyFill="1" applyBorder="1" applyAlignment="1">
      <alignment vertical="top"/>
    </xf>
    <xf numFmtId="49" fontId="28" fillId="7" borderId="12" xfId="0" applyNumberFormat="1" applyFont="1" applyFill="1" applyBorder="1" applyAlignment="1">
      <alignment horizontal="left" vertical="top" wrapText="1"/>
    </xf>
    <xf numFmtId="49" fontId="28" fillId="11" borderId="12" xfId="0" applyNumberFormat="1" applyFont="1" applyFill="1" applyBorder="1" applyAlignment="1">
      <alignment horizontal="left" vertical="top" wrapText="1"/>
    </xf>
    <xf numFmtId="0" fontId="31" fillId="7" borderId="12" xfId="0" applyFont="1" applyFill="1" applyBorder="1" applyAlignment="1">
      <alignment horizontal="left" vertical="top" wrapText="1"/>
    </xf>
    <xf numFmtId="0" fontId="28" fillId="7" borderId="13" xfId="0" applyNumberFormat="1" applyFont="1" applyFill="1" applyBorder="1" applyAlignment="1" applyProtection="1">
      <alignment vertical="top"/>
    </xf>
    <xf numFmtId="0" fontId="29" fillId="11" borderId="13" xfId="0" applyFont="1" applyFill="1" applyBorder="1" applyAlignment="1">
      <alignment vertical="top"/>
    </xf>
    <xf numFmtId="0" fontId="28" fillId="11" borderId="15" xfId="0" applyFont="1" applyFill="1" applyBorder="1" applyAlignment="1">
      <alignment horizontal="left" vertical="top" wrapText="1"/>
    </xf>
    <xf numFmtId="0" fontId="29" fillId="11" borderId="13" xfId="0" applyFont="1" applyFill="1" applyBorder="1" applyAlignment="1">
      <alignment vertical="top" wrapText="1"/>
    </xf>
    <xf numFmtId="0" fontId="30" fillId="13" borderId="13" xfId="0" applyFont="1" applyFill="1" applyBorder="1" applyAlignment="1">
      <alignment vertical="top" wrapText="1"/>
    </xf>
    <xf numFmtId="0" fontId="30" fillId="13" borderId="12" xfId="0" applyFont="1" applyFill="1" applyBorder="1" applyAlignment="1">
      <alignment vertical="top" wrapText="1"/>
    </xf>
    <xf numFmtId="0" fontId="29" fillId="13" borderId="13" xfId="0" applyFont="1" applyFill="1" applyBorder="1" applyAlignment="1">
      <alignment vertical="top"/>
    </xf>
    <xf numFmtId="0" fontId="29" fillId="13" borderId="12" xfId="0" applyFont="1" applyFill="1" applyBorder="1" applyAlignment="1">
      <alignment vertical="top"/>
    </xf>
    <xf numFmtId="0" fontId="29" fillId="13" borderId="13" xfId="0" applyFont="1" applyFill="1" applyBorder="1" applyAlignment="1">
      <alignment vertical="top" wrapText="1"/>
    </xf>
    <xf numFmtId="0" fontId="28" fillId="13" borderId="12" xfId="0" applyFont="1" applyFill="1" applyBorder="1" applyAlignment="1">
      <alignment vertical="top"/>
    </xf>
    <xf numFmtId="0" fontId="28" fillId="13" borderId="13" xfId="0" applyFont="1" applyFill="1" applyBorder="1" applyAlignment="1">
      <alignment horizontal="left" vertical="top" wrapText="1"/>
    </xf>
    <xf numFmtId="0" fontId="29" fillId="13" borderId="12" xfId="0" applyFont="1" applyFill="1" applyBorder="1" applyAlignment="1">
      <alignment vertical="top" wrapText="1"/>
    </xf>
    <xf numFmtId="0" fontId="30" fillId="13" borderId="0" xfId="0" applyFont="1" applyFill="1" applyBorder="1" applyAlignment="1">
      <alignment vertical="top" wrapText="1"/>
    </xf>
    <xf numFmtId="0" fontId="29" fillId="14" borderId="12" xfId="0" applyFont="1" applyFill="1" applyBorder="1" applyAlignment="1">
      <alignment vertical="top"/>
    </xf>
    <xf numFmtId="0" fontId="29" fillId="14" borderId="12" xfId="0" applyFont="1" applyFill="1" applyBorder="1" applyAlignment="1">
      <alignment horizontal="left" vertical="top" wrapText="1"/>
    </xf>
    <xf numFmtId="0" fontId="30" fillId="14" borderId="12" xfId="0" applyFont="1" applyFill="1" applyBorder="1" applyAlignment="1">
      <alignment vertical="top" wrapText="1"/>
    </xf>
    <xf numFmtId="0" fontId="28" fillId="14" borderId="12" xfId="0" applyFont="1" applyFill="1" applyBorder="1" applyAlignment="1">
      <alignment vertical="top"/>
    </xf>
    <xf numFmtId="0" fontId="31" fillId="14" borderId="12" xfId="0" applyFont="1" applyFill="1" applyBorder="1" applyAlignment="1">
      <alignment horizontal="left" vertical="top" wrapText="1"/>
    </xf>
    <xf numFmtId="0" fontId="28" fillId="14" borderId="12" xfId="0" applyFont="1" applyFill="1" applyBorder="1" applyAlignment="1">
      <alignment vertical="top" wrapText="1"/>
    </xf>
    <xf numFmtId="0" fontId="29" fillId="14" borderId="12" xfId="0" applyFont="1" applyFill="1" applyBorder="1" applyAlignment="1">
      <alignment vertical="top" wrapText="1"/>
    </xf>
    <xf numFmtId="0" fontId="6" fillId="0" borderId="48" xfId="0" applyFont="1" applyFill="1" applyBorder="1" applyAlignment="1">
      <alignment horizontal="left" vertical="top"/>
    </xf>
    <xf numFmtId="0" fontId="6" fillId="0" borderId="49" xfId="0" applyFont="1" applyFill="1" applyBorder="1" applyAlignment="1">
      <alignment horizontal="left" vertical="top"/>
    </xf>
    <xf numFmtId="0" fontId="6" fillId="0" borderId="43" xfId="0" applyFont="1" applyFill="1" applyBorder="1" applyAlignment="1">
      <alignment horizontal="left" vertical="top"/>
    </xf>
    <xf numFmtId="0" fontId="6" fillId="0" borderId="50" xfId="0" applyFont="1" applyFill="1" applyBorder="1" applyAlignment="1">
      <alignment horizontal="left" vertical="top"/>
    </xf>
    <xf numFmtId="0" fontId="6" fillId="0" borderId="37" xfId="0" applyFont="1" applyFill="1" applyBorder="1" applyAlignment="1">
      <alignment horizontal="center" vertical="center"/>
    </xf>
    <xf numFmtId="0" fontId="6" fillId="0" borderId="25" xfId="0" applyFont="1" applyFill="1" applyBorder="1" applyAlignment="1">
      <alignment horizontal="center" vertical="center"/>
    </xf>
    <xf numFmtId="0" fontId="6" fillId="0" borderId="47" xfId="0" applyFont="1" applyFill="1" applyBorder="1" applyAlignment="1">
      <alignment horizontal="center" vertical="center"/>
    </xf>
    <xf numFmtId="0" fontId="6" fillId="0" borderId="27" xfId="0" applyFont="1" applyFill="1" applyBorder="1" applyAlignment="1">
      <alignment horizontal="center" vertical="center"/>
    </xf>
    <xf numFmtId="0" fontId="6" fillId="0" borderId="12" xfId="0" applyFont="1" applyFill="1" applyBorder="1" applyAlignment="1">
      <alignment horizontal="center" vertical="center"/>
    </xf>
    <xf numFmtId="0" fontId="6" fillId="0" borderId="38" xfId="0" applyFont="1" applyFill="1" applyBorder="1" applyAlignment="1">
      <alignment horizontal="center" vertical="center"/>
    </xf>
    <xf numFmtId="0" fontId="6" fillId="0" borderId="29" xfId="0" applyFont="1" applyFill="1" applyBorder="1" applyAlignment="1">
      <alignment horizontal="center" vertical="center"/>
    </xf>
    <xf numFmtId="0" fontId="6" fillId="0" borderId="30" xfId="0" applyFont="1" applyFill="1" applyBorder="1" applyAlignment="1">
      <alignment horizontal="center" vertical="center"/>
    </xf>
    <xf numFmtId="0" fontId="6" fillId="0" borderId="46" xfId="0" applyFont="1" applyFill="1" applyBorder="1" applyAlignment="1">
      <alignment horizontal="center" vertical="center"/>
    </xf>
    <xf numFmtId="0" fontId="6" fillId="0" borderId="40" xfId="0" applyFont="1" applyFill="1" applyBorder="1" applyAlignment="1">
      <alignment horizontal="center" vertical="center"/>
    </xf>
    <xf numFmtId="0" fontId="6" fillId="0" borderId="40" xfId="0" applyFont="1" applyFill="1" applyBorder="1" applyAlignment="1">
      <alignment horizontal="left" vertical="top"/>
    </xf>
    <xf numFmtId="0" fontId="6" fillId="0" borderId="44" xfId="0" applyFont="1" applyFill="1" applyBorder="1" applyAlignment="1">
      <alignment horizontal="left" vertical="top"/>
    </xf>
    <xf numFmtId="0" fontId="6" fillId="0" borderId="55" xfId="0" applyFont="1" applyFill="1" applyBorder="1" applyAlignment="1">
      <alignment horizontal="left" vertical="top"/>
    </xf>
    <xf numFmtId="0" fontId="36" fillId="5" borderId="32" xfId="0" applyFont="1" applyFill="1" applyBorder="1" applyAlignment="1">
      <alignment horizontal="center" vertical="center" wrapText="1"/>
    </xf>
    <xf numFmtId="0" fontId="36" fillId="5" borderId="17" xfId="0" applyFont="1" applyFill="1" applyBorder="1" applyAlignment="1">
      <alignment horizontal="center" vertical="center" wrapText="1"/>
    </xf>
    <xf numFmtId="0" fontId="20" fillId="3" borderId="2" xfId="0" applyNumberFormat="1" applyFont="1" applyFill="1" applyBorder="1" applyAlignment="1">
      <alignment horizontal="left" vertical="top" wrapText="1"/>
    </xf>
    <xf numFmtId="0" fontId="20" fillId="3" borderId="3" xfId="0" applyNumberFormat="1" applyFont="1" applyFill="1" applyBorder="1" applyAlignment="1">
      <alignment horizontal="left" vertical="top" wrapText="1"/>
    </xf>
    <xf numFmtId="0" fontId="20" fillId="3" borderId="0" xfId="0" applyNumberFormat="1" applyFont="1" applyFill="1" applyBorder="1" applyAlignment="1">
      <alignment horizontal="left" vertical="top" wrapText="1"/>
    </xf>
    <xf numFmtId="0" fontId="20" fillId="3" borderId="5" xfId="0" applyNumberFormat="1" applyFont="1" applyFill="1" applyBorder="1" applyAlignment="1">
      <alignment horizontal="left" vertical="top" wrapText="1"/>
    </xf>
    <xf numFmtId="0" fontId="20" fillId="3" borderId="7" xfId="0" applyNumberFormat="1" applyFont="1" applyFill="1" applyBorder="1" applyAlignment="1">
      <alignment horizontal="left" vertical="top" wrapText="1"/>
    </xf>
    <xf numFmtId="0" fontId="20" fillId="3" borderId="8" xfId="0" applyNumberFormat="1" applyFont="1" applyFill="1" applyBorder="1" applyAlignment="1">
      <alignment horizontal="left" vertical="top" wrapText="1"/>
    </xf>
    <xf numFmtId="0" fontId="20" fillId="3" borderId="1" xfId="0" applyFont="1" applyFill="1" applyBorder="1" applyAlignment="1">
      <alignment horizontal="left" vertical="top" wrapText="1"/>
    </xf>
    <xf numFmtId="0" fontId="20" fillId="3" borderId="3" xfId="0" applyFont="1" applyFill="1" applyBorder="1" applyAlignment="1">
      <alignment horizontal="left" vertical="top" wrapText="1"/>
    </xf>
    <xf numFmtId="0" fontId="20" fillId="3" borderId="4" xfId="0" applyFont="1" applyFill="1" applyBorder="1" applyAlignment="1">
      <alignment horizontal="left" vertical="top" wrapText="1"/>
    </xf>
    <xf numFmtId="0" fontId="20" fillId="3" borderId="5" xfId="0" applyFont="1" applyFill="1" applyBorder="1" applyAlignment="1">
      <alignment horizontal="left" vertical="top" wrapText="1"/>
    </xf>
    <xf numFmtId="0" fontId="20" fillId="3" borderId="6" xfId="0" applyFont="1" applyFill="1" applyBorder="1" applyAlignment="1">
      <alignment horizontal="left" vertical="top" wrapText="1"/>
    </xf>
    <xf numFmtId="0" fontId="20" fillId="3" borderId="8" xfId="0" applyFont="1" applyFill="1" applyBorder="1" applyAlignment="1">
      <alignment horizontal="left" vertical="top" wrapText="1"/>
    </xf>
    <xf numFmtId="0" fontId="20" fillId="3" borderId="5" xfId="0" applyFont="1" applyFill="1" applyBorder="1" applyAlignment="1">
      <alignment horizontal="left" vertical="center" wrapText="1"/>
    </xf>
    <xf numFmtId="0" fontId="17" fillId="0" borderId="0" xfId="0" applyFont="1" applyAlignment="1">
      <alignment vertical="center" wrapText="1"/>
    </xf>
    <xf numFmtId="0" fontId="17" fillId="0" borderId="0" xfId="0" applyFont="1" applyAlignment="1">
      <alignment wrapText="1"/>
    </xf>
    <xf numFmtId="0" fontId="17" fillId="3" borderId="1" xfId="0" applyFont="1" applyFill="1" applyBorder="1" applyAlignment="1">
      <alignment horizontal="left" vertical="top" wrapText="1"/>
    </xf>
    <xf numFmtId="0" fontId="17" fillId="3" borderId="3" xfId="0" applyFont="1" applyFill="1" applyBorder="1" applyAlignment="1">
      <alignment horizontal="left" vertical="top" wrapText="1"/>
    </xf>
    <xf numFmtId="0" fontId="17" fillId="0" borderId="0" xfId="0" applyFont="1" applyAlignment="1">
      <alignment vertical="top" wrapText="1"/>
    </xf>
    <xf numFmtId="0" fontId="17" fillId="3" borderId="4" xfId="0" applyFont="1" applyFill="1" applyBorder="1" applyAlignment="1">
      <alignment horizontal="left" vertical="top" wrapText="1"/>
    </xf>
    <xf numFmtId="0" fontId="17" fillId="3" borderId="5" xfId="0" applyFont="1" applyFill="1" applyBorder="1" applyAlignment="1">
      <alignment horizontal="left" vertical="top" wrapText="1"/>
    </xf>
    <xf numFmtId="0" fontId="17" fillId="3" borderId="6" xfId="0" applyFont="1" applyFill="1" applyBorder="1" applyAlignment="1">
      <alignment horizontal="left" vertical="top" wrapText="1"/>
    </xf>
    <xf numFmtId="0" fontId="17" fillId="3" borderId="8" xfId="0" applyFont="1" applyFill="1" applyBorder="1" applyAlignment="1">
      <alignment horizontal="left" vertical="top" wrapText="1"/>
    </xf>
    <xf numFmtId="0" fontId="17" fillId="3" borderId="5" xfId="0" applyFont="1" applyFill="1" applyBorder="1" applyAlignment="1">
      <alignment horizontal="left" vertical="center" wrapText="1"/>
    </xf>
    <xf numFmtId="0" fontId="17" fillId="3" borderId="2" xfId="0" applyNumberFormat="1" applyFont="1" applyFill="1" applyBorder="1" applyAlignment="1">
      <alignment horizontal="left" vertical="top" wrapText="1"/>
    </xf>
    <xf numFmtId="0" fontId="17" fillId="3" borderId="3" xfId="0" applyNumberFormat="1" applyFont="1" applyFill="1" applyBorder="1" applyAlignment="1">
      <alignment horizontal="left" vertical="top" wrapText="1"/>
    </xf>
    <xf numFmtId="0" fontId="17" fillId="3" borderId="0" xfId="0" applyNumberFormat="1" applyFont="1" applyFill="1" applyBorder="1" applyAlignment="1">
      <alignment horizontal="left" vertical="top" wrapText="1"/>
    </xf>
    <xf numFmtId="0" fontId="17" fillId="3" borderId="5" xfId="0" applyNumberFormat="1" applyFont="1" applyFill="1" applyBorder="1" applyAlignment="1">
      <alignment horizontal="left" vertical="top" wrapText="1"/>
    </xf>
    <xf numFmtId="0" fontId="17" fillId="3" borderId="7" xfId="0" applyNumberFormat="1" applyFont="1" applyFill="1" applyBorder="1" applyAlignment="1">
      <alignment horizontal="left" vertical="top" wrapText="1"/>
    </xf>
    <xf numFmtId="0" fontId="17" fillId="3" borderId="8" xfId="0" applyNumberFormat="1" applyFont="1" applyFill="1" applyBorder="1" applyAlignment="1">
      <alignment horizontal="left" vertical="top" wrapText="1"/>
    </xf>
    <xf numFmtId="0" fontId="0" fillId="0" borderId="0" xfId="0" applyProtection="1">
      <protection locked="0"/>
    </xf>
    <xf numFmtId="0" fontId="0" fillId="7" borderId="27" xfId="0" applyFill="1" applyBorder="1" applyAlignment="1" applyProtection="1">
      <alignment horizontal="left" vertical="top"/>
      <protection locked="0"/>
    </xf>
    <xf numFmtId="0" fontId="0" fillId="7" borderId="38" xfId="0" applyFill="1" applyBorder="1" applyAlignment="1" applyProtection="1">
      <alignment horizontal="left" vertical="top"/>
      <protection locked="0"/>
    </xf>
    <xf numFmtId="0" fontId="0" fillId="7" borderId="1" xfId="0" applyFill="1" applyBorder="1" applyAlignment="1" applyProtection="1">
      <alignment horizontal="center" vertical="top"/>
      <protection locked="0"/>
    </xf>
    <xf numFmtId="0" fontId="0" fillId="7" borderId="26" xfId="0" applyFill="1" applyBorder="1" applyAlignment="1" applyProtection="1">
      <alignment horizontal="left"/>
      <protection locked="0"/>
    </xf>
    <xf numFmtId="0" fontId="0" fillId="7" borderId="39" xfId="0" applyFill="1" applyBorder="1" applyAlignment="1" applyProtection="1">
      <alignment horizontal="center"/>
      <protection locked="0"/>
    </xf>
    <xf numFmtId="0" fontId="0" fillId="7" borderId="15" xfId="0" applyFill="1" applyBorder="1" applyAlignment="1" applyProtection="1">
      <alignment horizontal="center"/>
      <protection locked="0"/>
    </xf>
    <xf numFmtId="0" fontId="0" fillId="7" borderId="36" xfId="0" applyFill="1" applyBorder="1" applyAlignment="1" applyProtection="1">
      <alignment horizontal="center"/>
      <protection locked="0"/>
    </xf>
    <xf numFmtId="14" fontId="0" fillId="0" borderId="9" xfId="0" applyNumberFormat="1" applyFill="1" applyBorder="1" applyAlignment="1" applyProtection="1">
      <alignment horizontal="center"/>
      <protection locked="0"/>
    </xf>
    <xf numFmtId="0" fontId="0" fillId="7" borderId="27" xfId="0" applyFill="1" applyBorder="1" applyProtection="1">
      <protection locked="0"/>
    </xf>
    <xf numFmtId="0" fontId="2" fillId="7" borderId="38" xfId="0" applyFont="1" applyFill="1" applyBorder="1" applyProtection="1">
      <protection locked="0"/>
    </xf>
    <xf numFmtId="0" fontId="0" fillId="7" borderId="27" xfId="0" applyFill="1" applyBorder="1" applyAlignment="1" applyProtection="1">
      <alignment horizontal="center"/>
      <protection locked="0"/>
    </xf>
    <xf numFmtId="0" fontId="0" fillId="7" borderId="28" xfId="0" applyFill="1" applyBorder="1" applyAlignment="1" applyProtection="1">
      <alignment horizontal="left"/>
      <protection locked="0"/>
    </xf>
    <xf numFmtId="0" fontId="0" fillId="7" borderId="13" xfId="0" applyFill="1" applyBorder="1" applyAlignment="1" applyProtection="1">
      <alignment horizontal="center"/>
      <protection locked="0"/>
    </xf>
    <xf numFmtId="0" fontId="0" fillId="7" borderId="12" xfId="0" applyFill="1" applyBorder="1" applyAlignment="1" applyProtection="1">
      <alignment horizontal="center"/>
      <protection locked="0"/>
    </xf>
    <xf numFmtId="0" fontId="0" fillId="7" borderId="28" xfId="0" applyFill="1" applyBorder="1" applyAlignment="1" applyProtection="1">
      <alignment horizontal="center"/>
      <protection locked="0"/>
    </xf>
    <xf numFmtId="14" fontId="0" fillId="0" borderId="43" xfId="0" applyNumberFormat="1" applyFill="1" applyBorder="1" applyAlignment="1" applyProtection="1">
      <alignment horizontal="center"/>
      <protection locked="0"/>
    </xf>
    <xf numFmtId="0" fontId="2" fillId="7" borderId="28" xfId="0" applyFont="1" applyFill="1" applyBorder="1" applyAlignment="1" applyProtection="1">
      <alignment horizontal="left"/>
      <protection locked="0"/>
    </xf>
    <xf numFmtId="0" fontId="0" fillId="7" borderId="38" xfId="0" applyFill="1" applyBorder="1" applyProtection="1">
      <protection locked="0"/>
    </xf>
    <xf numFmtId="0" fontId="0" fillId="0" borderId="0" xfId="0" applyFont="1" applyFill="1" applyBorder="1" applyAlignment="1" applyProtection="1">
      <alignment horizontal="center" vertical="center" wrapText="1"/>
      <protection locked="0"/>
    </xf>
    <xf numFmtId="0" fontId="1" fillId="0" borderId="0" xfId="0" applyFont="1" applyFill="1" applyBorder="1" applyAlignment="1" applyProtection="1">
      <alignment horizontal="center" vertical="center" wrapText="1"/>
      <protection locked="0"/>
    </xf>
    <xf numFmtId="0" fontId="0" fillId="8" borderId="13" xfId="0" applyFill="1" applyBorder="1" applyAlignment="1" applyProtection="1">
      <alignment horizontal="center"/>
      <protection locked="0"/>
    </xf>
    <xf numFmtId="0" fontId="0" fillId="8" borderId="12" xfId="0" applyFill="1" applyBorder="1" applyAlignment="1" applyProtection="1">
      <alignment horizontal="center"/>
      <protection locked="0"/>
    </xf>
    <xf numFmtId="0" fontId="0" fillId="8" borderId="28" xfId="0" applyFill="1" applyBorder="1" applyAlignment="1" applyProtection="1">
      <alignment horizontal="center"/>
      <protection locked="0"/>
    </xf>
    <xf numFmtId="0" fontId="0" fillId="0" borderId="0" xfId="0" applyAlignment="1" applyProtection="1">
      <alignment horizontal="left" vertical="center" indent="2"/>
      <protection locked="0"/>
    </xf>
    <xf numFmtId="0" fontId="14" fillId="0" borderId="0" xfId="0" applyFont="1" applyAlignment="1" applyProtection="1">
      <alignment horizontal="left" vertical="center" indent="2"/>
      <protection locked="0"/>
    </xf>
    <xf numFmtId="0" fontId="0" fillId="0" borderId="43" xfId="0" applyFill="1" applyBorder="1" applyAlignment="1" applyProtection="1">
      <alignment horizontal="center"/>
      <protection locked="0"/>
    </xf>
    <xf numFmtId="0" fontId="0" fillId="7" borderId="29" xfId="0" applyFill="1" applyBorder="1" applyProtection="1">
      <protection locked="0"/>
    </xf>
    <xf numFmtId="0" fontId="0" fillId="7" borderId="46" xfId="0" applyFill="1" applyBorder="1" applyProtection="1">
      <protection locked="0"/>
    </xf>
    <xf numFmtId="0" fontId="0" fillId="7" borderId="29" xfId="0" applyFill="1" applyBorder="1" applyAlignment="1" applyProtection="1">
      <alignment horizontal="center"/>
      <protection locked="0"/>
    </xf>
    <xf numFmtId="0" fontId="0" fillId="7" borderId="31" xfId="0" applyFill="1" applyBorder="1" applyAlignment="1" applyProtection="1">
      <alignment horizontal="left"/>
      <protection locked="0"/>
    </xf>
    <xf numFmtId="0" fontId="0" fillId="7" borderId="42" xfId="0" applyFill="1" applyBorder="1" applyAlignment="1" applyProtection="1">
      <alignment horizontal="center"/>
      <protection locked="0"/>
    </xf>
    <xf numFmtId="0" fontId="0" fillId="7" borderId="30" xfId="0" applyFill="1" applyBorder="1" applyAlignment="1" applyProtection="1">
      <alignment horizontal="center"/>
      <protection locked="0"/>
    </xf>
    <xf numFmtId="0" fontId="0" fillId="7" borderId="31" xfId="0" applyFill="1" applyBorder="1" applyAlignment="1" applyProtection="1">
      <alignment horizontal="center"/>
      <protection locked="0"/>
    </xf>
    <xf numFmtId="0" fontId="0" fillId="0" borderId="44" xfId="0" applyFill="1" applyBorder="1" applyAlignment="1" applyProtection="1">
      <alignment horizontal="center"/>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8" fillId="0" borderId="53" xfId="0" applyFont="1" applyFill="1" applyBorder="1" applyAlignment="1" applyProtection="1">
      <protection hidden="1"/>
    </xf>
    <xf numFmtId="0" fontId="8" fillId="0" borderId="53" xfId="0" applyFont="1" applyFill="1" applyBorder="1" applyAlignment="1" applyProtection="1">
      <alignment horizontal="left"/>
      <protection hidden="1"/>
    </xf>
    <xf numFmtId="0" fontId="9" fillId="4" borderId="41" xfId="0" applyFont="1" applyFill="1" applyBorder="1" applyAlignment="1">
      <alignment horizontal="center" vertical="center"/>
    </xf>
    <xf numFmtId="0" fontId="0" fillId="3" borderId="21" xfId="0" applyFill="1" applyBorder="1" applyAlignment="1">
      <alignment vertical="center"/>
    </xf>
    <xf numFmtId="0" fontId="0" fillId="3" borderId="22" xfId="0" applyFill="1" applyBorder="1" applyAlignment="1">
      <alignment vertical="center"/>
    </xf>
    <xf numFmtId="0" fontId="0" fillId="3" borderId="23" xfId="0" applyFill="1" applyBorder="1" applyAlignment="1">
      <alignment vertical="center"/>
    </xf>
    <xf numFmtId="0" fontId="40" fillId="7" borderId="3" xfId="0" applyFont="1" applyFill="1" applyBorder="1"/>
    <xf numFmtId="0" fontId="40" fillId="7" borderId="5" xfId="0" applyFont="1" applyFill="1" applyBorder="1"/>
    <xf numFmtId="0" fontId="40" fillId="7" borderId="8" xfId="0" applyFont="1" applyFill="1" applyBorder="1"/>
    <xf numFmtId="0" fontId="8" fillId="6" borderId="7" xfId="0" applyFont="1" applyFill="1" applyBorder="1" applyAlignment="1" applyProtection="1"/>
    <xf numFmtId="0" fontId="8" fillId="6" borderId="8" xfId="0" applyFont="1" applyFill="1" applyBorder="1" applyAlignment="1" applyProtection="1">
      <alignment horizontal="left"/>
    </xf>
    <xf numFmtId="0" fontId="1" fillId="5" borderId="1" xfId="0" applyFont="1" applyFill="1" applyBorder="1" applyAlignment="1" applyProtection="1">
      <alignment horizontal="center" vertical="center"/>
    </xf>
    <xf numFmtId="0" fontId="1" fillId="5" borderId="45" xfId="0" applyFont="1" applyFill="1" applyBorder="1" applyAlignment="1" applyProtection="1">
      <alignment horizontal="center" vertical="center"/>
    </xf>
    <xf numFmtId="0" fontId="1" fillId="5" borderId="21" xfId="0" applyFont="1" applyFill="1" applyBorder="1" applyAlignment="1" applyProtection="1">
      <alignment horizontal="center" vertical="center"/>
    </xf>
    <xf numFmtId="0" fontId="1" fillId="5" borderId="40" xfId="0" applyFont="1" applyFill="1" applyBorder="1" applyAlignment="1" applyProtection="1">
      <alignment horizontal="left" vertical="center" wrapText="1"/>
    </xf>
    <xf numFmtId="0" fontId="1" fillId="5" borderId="17" xfId="0" applyFont="1" applyFill="1" applyBorder="1" applyAlignment="1" applyProtection="1">
      <alignment horizontal="center" vertical="center"/>
    </xf>
    <xf numFmtId="0" fontId="1" fillId="5" borderId="41" xfId="0" applyFont="1" applyFill="1" applyBorder="1" applyAlignment="1" applyProtection="1">
      <alignment horizontal="center" vertical="center"/>
    </xf>
    <xf numFmtId="0" fontId="1" fillId="5" borderId="20" xfId="0" applyFont="1" applyFill="1" applyBorder="1" applyAlignment="1" applyProtection="1">
      <alignment horizontal="center" vertical="center" wrapText="1"/>
    </xf>
    <xf numFmtId="0" fontId="1" fillId="5" borderId="40" xfId="0" applyFont="1" applyFill="1" applyBorder="1" applyAlignment="1" applyProtection="1">
      <alignment horizontal="center" vertical="center" wrapText="1"/>
    </xf>
    <xf numFmtId="0" fontId="11" fillId="4" borderId="20" xfId="0" applyFont="1" applyFill="1" applyBorder="1" applyAlignment="1">
      <alignment horizontal="center" vertical="center"/>
    </xf>
    <xf numFmtId="0" fontId="0" fillId="0" borderId="0" xfId="0" applyAlignment="1">
      <alignment horizontal="left" vertical="top"/>
    </xf>
    <xf numFmtId="0" fontId="6" fillId="4" borderId="12" xfId="0" applyFont="1" applyFill="1" applyBorder="1" applyAlignment="1">
      <alignment horizontal="left" vertical="top"/>
    </xf>
    <xf numFmtId="0" fontId="28" fillId="10" borderId="12" xfId="0" applyFont="1" applyFill="1" applyBorder="1" applyAlignment="1">
      <alignment horizontal="left" vertical="top" wrapText="1"/>
    </xf>
    <xf numFmtId="0" fontId="28" fillId="10" borderId="12" xfId="0" applyFont="1" applyFill="1" applyBorder="1" applyAlignment="1">
      <alignment horizontal="left" vertical="top"/>
    </xf>
    <xf numFmtId="0" fontId="31" fillId="7" borderId="12" xfId="0" applyFont="1" applyFill="1" applyBorder="1" applyAlignment="1">
      <alignment horizontal="left" vertical="top"/>
    </xf>
    <xf numFmtId="0" fontId="28" fillId="7" borderId="12" xfId="0" applyFont="1" applyFill="1" applyBorder="1" applyAlignment="1">
      <alignment horizontal="left" vertical="top"/>
    </xf>
    <xf numFmtId="0" fontId="40" fillId="7" borderId="5" xfId="0" applyFont="1" applyFill="1" applyBorder="1" applyAlignment="1">
      <alignment wrapText="1"/>
    </xf>
    <xf numFmtId="0" fontId="0" fillId="6" borderId="0" xfId="0" applyFill="1" applyAlignment="1">
      <alignment horizontal="center"/>
    </xf>
    <xf numFmtId="0" fontId="1" fillId="2" borderId="0" xfId="0" applyFont="1" applyFill="1" applyBorder="1" applyAlignment="1">
      <alignment horizontal="left" vertical="top"/>
    </xf>
    <xf numFmtId="0" fontId="42" fillId="0" borderId="0" xfId="0" applyFont="1" applyAlignment="1"/>
    <xf numFmtId="0" fontId="0" fillId="0" borderId="0" xfId="0" applyAlignment="1">
      <alignment horizontal="left" vertical="top" wrapText="1"/>
    </xf>
    <xf numFmtId="0" fontId="0" fillId="0" borderId="0" xfId="0" applyFill="1" applyAlignment="1">
      <alignment horizontal="left" vertical="top"/>
    </xf>
    <xf numFmtId="0" fontId="43" fillId="0" borderId="0" xfId="0" applyFont="1"/>
    <xf numFmtId="0" fontId="3" fillId="0" borderId="0" xfId="0" applyFont="1" applyBorder="1" applyAlignment="1">
      <alignment horizontal="left" vertical="top"/>
    </xf>
    <xf numFmtId="0" fontId="44" fillId="0" borderId="0" xfId="0" applyFont="1" applyAlignment="1">
      <alignment horizontal="left" vertical="center"/>
    </xf>
    <xf numFmtId="0" fontId="41" fillId="0" borderId="0" xfId="0" applyFont="1" applyBorder="1" applyAlignment="1">
      <alignment horizontal="left" vertical="top"/>
    </xf>
    <xf numFmtId="0" fontId="17" fillId="0" borderId="0" xfId="0" applyFont="1" applyBorder="1" applyAlignment="1">
      <alignment horizontal="left" wrapText="1"/>
    </xf>
    <xf numFmtId="0" fontId="17" fillId="0" borderId="5" xfId="0" applyFont="1" applyBorder="1" applyAlignment="1">
      <alignment horizontal="left" wrapText="1"/>
    </xf>
    <xf numFmtId="0" fontId="27" fillId="0" borderId="4" xfId="0" applyFont="1" applyBorder="1" applyAlignment="1">
      <alignment horizontal="left" vertical="center" wrapText="1"/>
    </xf>
    <xf numFmtId="0" fontId="27" fillId="0" borderId="0" xfId="0" applyFont="1" applyBorder="1" applyAlignment="1">
      <alignment horizontal="left" vertical="center" wrapText="1"/>
    </xf>
    <xf numFmtId="0" fontId="21" fillId="5" borderId="1" xfId="0" applyFont="1" applyFill="1" applyBorder="1" applyAlignment="1">
      <alignment horizontal="left" vertical="center" wrapText="1"/>
    </xf>
    <xf numFmtId="0" fontId="21" fillId="5" borderId="2" xfId="0" applyFont="1" applyFill="1" applyBorder="1" applyAlignment="1">
      <alignment horizontal="left" vertical="center" wrapText="1"/>
    </xf>
    <xf numFmtId="0" fontId="21" fillId="5" borderId="3" xfId="0" applyFont="1" applyFill="1" applyBorder="1" applyAlignment="1">
      <alignment horizontal="left" vertical="center" wrapText="1"/>
    </xf>
    <xf numFmtId="0" fontId="21" fillId="5" borderId="6" xfId="0" applyFont="1" applyFill="1" applyBorder="1" applyAlignment="1">
      <alignment horizontal="left" vertical="center" wrapText="1"/>
    </xf>
    <xf numFmtId="0" fontId="21" fillId="5" borderId="7" xfId="0" applyFont="1" applyFill="1" applyBorder="1" applyAlignment="1">
      <alignment horizontal="left" vertical="center" wrapText="1"/>
    </xf>
    <xf numFmtId="0" fontId="21" fillId="5" borderId="8" xfId="0" applyFont="1" applyFill="1" applyBorder="1" applyAlignment="1">
      <alignment horizontal="left" vertical="center" wrapText="1"/>
    </xf>
    <xf numFmtId="0" fontId="27" fillId="0" borderId="1" xfId="0" applyFont="1" applyBorder="1" applyAlignment="1">
      <alignment horizontal="left" vertical="center" wrapText="1"/>
    </xf>
    <xf numFmtId="0" fontId="27" fillId="0" borderId="2" xfId="0" applyFont="1" applyBorder="1" applyAlignment="1">
      <alignment horizontal="left" vertical="center" wrapText="1"/>
    </xf>
    <xf numFmtId="0" fontId="20" fillId="0" borderId="1" xfId="0" applyFont="1" applyBorder="1" applyAlignment="1">
      <alignment horizontal="left" vertical="top" wrapText="1"/>
    </xf>
    <xf numFmtId="0" fontId="20" fillId="0" borderId="2" xfId="0" applyFont="1" applyBorder="1" applyAlignment="1">
      <alignment horizontal="left" vertical="top" wrapText="1"/>
    </xf>
    <xf numFmtId="0" fontId="20" fillId="0" borderId="3" xfId="0" applyFont="1" applyBorder="1" applyAlignment="1">
      <alignment horizontal="left" vertical="top" wrapText="1"/>
    </xf>
    <xf numFmtId="0" fontId="20" fillId="0" borderId="4" xfId="0" applyFont="1" applyBorder="1" applyAlignment="1">
      <alignment horizontal="left" vertical="top" wrapText="1"/>
    </xf>
    <xf numFmtId="0" fontId="20" fillId="0" borderId="0" xfId="0" applyFont="1" applyBorder="1" applyAlignment="1">
      <alignment horizontal="left" vertical="top" wrapText="1"/>
    </xf>
    <xf numFmtId="0" fontId="20" fillId="0" borderId="5" xfId="0" applyFont="1" applyBorder="1" applyAlignment="1">
      <alignment horizontal="left" vertical="top" wrapText="1"/>
    </xf>
    <xf numFmtId="0" fontId="20" fillId="0" borderId="6" xfId="0" applyFont="1" applyBorder="1" applyAlignment="1">
      <alignment horizontal="left" vertical="top" wrapText="1"/>
    </xf>
    <xf numFmtId="0" fontId="20" fillId="0" borderId="7" xfId="0" applyFont="1" applyBorder="1" applyAlignment="1">
      <alignment horizontal="left" vertical="top" wrapText="1"/>
    </xf>
    <xf numFmtId="0" fontId="20" fillId="0" borderId="8" xfId="0" applyFont="1" applyBorder="1" applyAlignment="1">
      <alignment horizontal="left" vertical="top" wrapText="1"/>
    </xf>
    <xf numFmtId="0" fontId="20" fillId="0" borderId="51" xfId="0" applyNumberFormat="1" applyFont="1" applyFill="1" applyBorder="1" applyAlignment="1">
      <alignment vertical="center" wrapText="1"/>
    </xf>
    <xf numFmtId="0" fontId="20" fillId="0" borderId="52" xfId="0" applyNumberFormat="1" applyFont="1" applyFill="1" applyBorder="1" applyAlignment="1">
      <alignment vertical="center" wrapText="1"/>
    </xf>
    <xf numFmtId="0" fontId="20" fillId="0" borderId="49" xfId="0" applyNumberFormat="1" applyFont="1" applyFill="1" applyBorder="1" applyAlignment="1">
      <alignment vertical="center" wrapText="1"/>
    </xf>
    <xf numFmtId="0" fontId="20" fillId="0" borderId="54" xfId="0" applyNumberFormat="1" applyFont="1" applyFill="1" applyBorder="1" applyAlignment="1">
      <alignment vertical="center" wrapText="1"/>
    </xf>
    <xf numFmtId="0" fontId="20" fillId="0" borderId="53" xfId="0" applyNumberFormat="1" applyFont="1" applyFill="1" applyBorder="1" applyAlignment="1">
      <alignment vertical="center" wrapText="1"/>
    </xf>
    <xf numFmtId="0" fontId="20" fillId="0" borderId="50" xfId="0" applyNumberFormat="1" applyFont="1" applyFill="1" applyBorder="1" applyAlignment="1">
      <alignment vertical="center" wrapText="1"/>
    </xf>
    <xf numFmtId="0" fontId="24" fillId="0" borderId="1" xfId="0" applyFont="1" applyFill="1" applyBorder="1" applyAlignment="1">
      <alignment horizontal="center" vertical="center" wrapText="1"/>
    </xf>
    <xf numFmtId="0" fontId="24" fillId="0" borderId="2" xfId="0" applyFont="1" applyFill="1" applyBorder="1" applyAlignment="1">
      <alignment horizontal="center" vertical="center" wrapText="1"/>
    </xf>
    <xf numFmtId="0" fontId="24" fillId="0" borderId="4" xfId="0" applyFont="1" applyFill="1" applyBorder="1" applyAlignment="1">
      <alignment horizontal="center" vertical="center" wrapText="1"/>
    </xf>
    <xf numFmtId="0" fontId="24" fillId="0" borderId="0" xfId="0" applyFont="1" applyFill="1" applyBorder="1" applyAlignment="1">
      <alignment horizontal="center" vertical="center" wrapText="1"/>
    </xf>
    <xf numFmtId="0" fontId="24" fillId="0" borderId="6" xfId="0" applyFont="1" applyFill="1" applyBorder="1" applyAlignment="1">
      <alignment horizontal="center" vertical="center" wrapText="1"/>
    </xf>
    <xf numFmtId="0" fontId="24" fillId="0" borderId="7" xfId="0" applyFont="1" applyFill="1" applyBorder="1" applyAlignment="1">
      <alignment horizontal="center" vertical="center" wrapText="1"/>
    </xf>
    <xf numFmtId="0" fontId="20" fillId="5" borderId="9" xfId="0" applyFont="1" applyFill="1" applyBorder="1" applyAlignment="1">
      <alignment horizontal="left" vertical="center"/>
    </xf>
    <xf numFmtId="0" fontId="20" fillId="5" borderId="11" xfId="0" applyFont="1" applyFill="1" applyBorder="1" applyAlignment="1">
      <alignment horizontal="left" vertical="center"/>
    </xf>
    <xf numFmtId="0" fontId="36" fillId="5" borderId="9" xfId="0" applyFont="1" applyFill="1" applyBorder="1" applyAlignment="1">
      <alignment horizontal="center" vertical="center" wrapText="1"/>
    </xf>
    <xf numFmtId="0" fontId="36" fillId="5" borderId="11" xfId="0" applyFont="1" applyFill="1" applyBorder="1" applyAlignment="1">
      <alignment horizontal="center" vertical="center" wrapText="1"/>
    </xf>
    <xf numFmtId="0" fontId="21" fillId="5" borderId="1" xfId="0" applyFont="1" applyFill="1" applyBorder="1" applyAlignment="1">
      <alignment horizontal="left" vertical="top" wrapText="1"/>
    </xf>
    <xf numFmtId="0" fontId="21" fillId="5" borderId="2" xfId="0" applyFont="1" applyFill="1" applyBorder="1" applyAlignment="1">
      <alignment horizontal="left" vertical="top" wrapText="1"/>
    </xf>
    <xf numFmtId="0" fontId="21" fillId="5" borderId="4" xfId="0" applyFont="1" applyFill="1" applyBorder="1" applyAlignment="1">
      <alignment horizontal="left" vertical="top" wrapText="1"/>
    </xf>
    <xf numFmtId="0" fontId="21" fillId="5" borderId="0" xfId="0" applyFont="1" applyFill="1" applyBorder="1" applyAlignment="1">
      <alignment horizontal="left" vertical="top" wrapText="1"/>
    </xf>
    <xf numFmtId="0" fontId="21" fillId="5" borderId="6" xfId="0" applyFont="1" applyFill="1" applyBorder="1" applyAlignment="1">
      <alignment horizontal="left" vertical="top" wrapText="1"/>
    </xf>
    <xf numFmtId="0" fontId="21" fillId="5" borderId="7" xfId="0" applyFont="1" applyFill="1" applyBorder="1" applyAlignment="1">
      <alignment horizontal="left" vertical="top" wrapText="1"/>
    </xf>
    <xf numFmtId="0" fontId="23" fillId="5" borderId="17" xfId="0" applyFont="1" applyFill="1" applyBorder="1" applyAlignment="1">
      <alignment horizontal="left" vertical="center" wrapText="1"/>
    </xf>
    <xf numFmtId="0" fontId="23" fillId="5" borderId="18" xfId="0" applyFont="1" applyFill="1" applyBorder="1" applyAlignment="1">
      <alignment horizontal="left" vertical="center" wrapText="1"/>
    </xf>
    <xf numFmtId="0" fontId="23" fillId="5" borderId="19" xfId="0" applyFont="1" applyFill="1" applyBorder="1" applyAlignment="1">
      <alignment horizontal="left" vertical="center" wrapText="1"/>
    </xf>
    <xf numFmtId="0" fontId="6" fillId="0" borderId="9" xfId="0" applyFont="1" applyFill="1" applyBorder="1" applyAlignment="1">
      <alignment horizontal="left" vertical="top"/>
    </xf>
    <xf numFmtId="0" fontId="6" fillId="0" borderId="10" xfId="0" applyFont="1" applyFill="1" applyBorder="1" applyAlignment="1">
      <alignment horizontal="left" vertical="top"/>
    </xf>
    <xf numFmtId="0" fontId="6" fillId="0" borderId="11" xfId="0" applyFont="1" applyFill="1" applyBorder="1" applyAlignment="1">
      <alignment horizontal="left" vertical="top"/>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6" fillId="0" borderId="1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4" xfId="0" applyFont="1" applyFill="1" applyBorder="1" applyAlignment="1">
      <alignment horizontal="center" vertical="center"/>
    </xf>
    <xf numFmtId="0" fontId="6" fillId="0" borderId="6" xfId="0" applyFont="1" applyFill="1" applyBorder="1" applyAlignment="1">
      <alignment horizontal="center" vertical="center"/>
    </xf>
    <xf numFmtId="0" fontId="6" fillId="0" borderId="1" xfId="0" applyFont="1" applyFill="1" applyBorder="1" applyAlignment="1">
      <alignment horizontal="left" vertical="top"/>
    </xf>
    <xf numFmtId="0" fontId="6" fillId="0" borderId="4" xfId="0" applyFont="1" applyFill="1" applyBorder="1" applyAlignment="1">
      <alignment horizontal="left" vertical="top"/>
    </xf>
    <xf numFmtId="0" fontId="6" fillId="0" borderId="6" xfId="0" applyFont="1" applyFill="1" applyBorder="1" applyAlignment="1">
      <alignment horizontal="left" vertical="top"/>
    </xf>
    <xf numFmtId="0" fontId="34" fillId="6" borderId="17" xfId="0" applyFont="1" applyFill="1" applyBorder="1" applyAlignment="1">
      <alignment horizontal="left" vertical="center"/>
    </xf>
    <xf numFmtId="0" fontId="34" fillId="6" borderId="18" xfId="0" applyFont="1" applyFill="1" applyBorder="1" applyAlignment="1">
      <alignment horizontal="left" vertical="center"/>
    </xf>
    <xf numFmtId="0" fontId="34" fillId="6" borderId="19" xfId="0" applyFont="1" applyFill="1" applyBorder="1" applyAlignment="1">
      <alignment horizontal="left" vertical="center"/>
    </xf>
    <xf numFmtId="0" fontId="10" fillId="0" borderId="17" xfId="0" applyFont="1" applyFill="1" applyBorder="1" applyAlignment="1">
      <alignment horizontal="left" vertical="top"/>
    </xf>
    <xf numFmtId="0" fontId="10" fillId="0" borderId="18" xfId="0" applyFont="1" applyFill="1" applyBorder="1" applyAlignment="1">
      <alignment horizontal="left" vertical="top"/>
    </xf>
    <xf numFmtId="0" fontId="10" fillId="0" borderId="19" xfId="0" applyFont="1" applyFill="1" applyBorder="1" applyAlignment="1">
      <alignment horizontal="left" vertical="top"/>
    </xf>
    <xf numFmtId="0" fontId="17" fillId="0" borderId="17" xfId="0" applyFont="1" applyFill="1" applyBorder="1" applyAlignment="1">
      <alignment horizontal="center" wrapText="1"/>
    </xf>
    <xf numFmtId="0" fontId="17" fillId="0" borderId="18" xfId="0" applyFont="1" applyFill="1" applyBorder="1" applyAlignment="1">
      <alignment horizontal="center" wrapText="1"/>
    </xf>
    <xf numFmtId="0" fontId="17" fillId="0" borderId="19" xfId="0" applyFont="1" applyFill="1" applyBorder="1" applyAlignment="1">
      <alignment horizontal="center" wrapText="1"/>
    </xf>
    <xf numFmtId="0" fontId="20" fillId="0" borderId="1" xfId="0" applyFont="1" applyFill="1" applyBorder="1" applyAlignment="1">
      <alignment horizontal="left" vertical="top" wrapText="1"/>
    </xf>
    <xf numFmtId="0" fontId="20" fillId="0" borderId="2" xfId="0" applyFont="1" applyFill="1" applyBorder="1" applyAlignment="1">
      <alignment horizontal="left" vertical="top" wrapText="1"/>
    </xf>
    <xf numFmtId="0" fontId="20" fillId="0" borderId="3" xfId="0" applyFont="1" applyFill="1" applyBorder="1" applyAlignment="1">
      <alignment horizontal="left" vertical="top" wrapText="1"/>
    </xf>
    <xf numFmtId="0" fontId="20" fillId="0" borderId="4" xfId="0" applyFont="1" applyFill="1" applyBorder="1" applyAlignment="1">
      <alignment horizontal="left" vertical="top" wrapText="1"/>
    </xf>
    <xf numFmtId="0" fontId="20" fillId="0" borderId="0" xfId="0" applyFont="1" applyFill="1" applyBorder="1" applyAlignment="1">
      <alignment horizontal="left" vertical="top" wrapText="1"/>
    </xf>
    <xf numFmtId="0" fontId="20" fillId="0" borderId="5" xfId="0" applyFont="1" applyFill="1" applyBorder="1" applyAlignment="1">
      <alignment horizontal="left" vertical="top" wrapText="1"/>
    </xf>
    <xf numFmtId="0" fontId="20" fillId="0" borderId="6"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0" borderId="8" xfId="0" applyFont="1" applyFill="1" applyBorder="1" applyAlignment="1">
      <alignment horizontal="left" vertical="top" wrapText="1"/>
    </xf>
    <xf numFmtId="0" fontId="20" fillId="0" borderId="9" xfId="0" applyFont="1" applyFill="1" applyBorder="1" applyAlignment="1">
      <alignment horizontal="left" vertical="top" wrapText="1"/>
    </xf>
    <xf numFmtId="0" fontId="20" fillId="0" borderId="10" xfId="0" applyFont="1" applyFill="1" applyBorder="1" applyAlignment="1">
      <alignment horizontal="left" vertical="top" wrapText="1"/>
    </xf>
    <xf numFmtId="0" fontId="20" fillId="0" borderId="11" xfId="0" applyFont="1" applyFill="1" applyBorder="1" applyAlignment="1">
      <alignment horizontal="left" vertical="top" wrapText="1"/>
    </xf>
    <xf numFmtId="0" fontId="20" fillId="3" borderId="1" xfId="0" applyFont="1" applyFill="1" applyBorder="1" applyAlignment="1">
      <alignment horizontal="left" vertical="top" wrapText="1"/>
    </xf>
    <xf numFmtId="0" fontId="20" fillId="3" borderId="2" xfId="0" applyFont="1" applyFill="1" applyBorder="1" applyAlignment="1">
      <alignment horizontal="left" vertical="top" wrapText="1"/>
    </xf>
    <xf numFmtId="0" fontId="20" fillId="3" borderId="3" xfId="0" applyFont="1" applyFill="1" applyBorder="1" applyAlignment="1">
      <alignment horizontal="left" vertical="top" wrapText="1"/>
    </xf>
    <xf numFmtId="0" fontId="20" fillId="3" borderId="4" xfId="0" applyFont="1" applyFill="1" applyBorder="1" applyAlignment="1">
      <alignment horizontal="left" vertical="top" wrapText="1"/>
    </xf>
    <xf numFmtId="0" fontId="20" fillId="3" borderId="0" xfId="0" applyFont="1" applyFill="1" applyBorder="1" applyAlignment="1">
      <alignment horizontal="left" vertical="top" wrapText="1"/>
    </xf>
    <xf numFmtId="0" fontId="20" fillId="3" borderId="5" xfId="0" applyFont="1" applyFill="1" applyBorder="1" applyAlignment="1">
      <alignment horizontal="left" vertical="top" wrapText="1"/>
    </xf>
    <xf numFmtId="0" fontId="20" fillId="3" borderId="6" xfId="0" applyFont="1" applyFill="1" applyBorder="1" applyAlignment="1">
      <alignment horizontal="left" vertical="top" wrapText="1"/>
    </xf>
    <xf numFmtId="0" fontId="20" fillId="3" borderId="7" xfId="0" applyFont="1" applyFill="1" applyBorder="1" applyAlignment="1">
      <alignment horizontal="left" vertical="top" wrapText="1"/>
    </xf>
    <xf numFmtId="0" fontId="20" fillId="3" borderId="8" xfId="0" applyFont="1" applyFill="1" applyBorder="1" applyAlignment="1">
      <alignment horizontal="left" vertical="top" wrapText="1"/>
    </xf>
    <xf numFmtId="0" fontId="26" fillId="5" borderId="17" xfId="0" applyFont="1" applyFill="1" applyBorder="1" applyAlignment="1">
      <alignment horizontal="left" vertical="center" wrapText="1"/>
    </xf>
    <xf numFmtId="0" fontId="26" fillId="5" borderId="18" xfId="0" applyFont="1" applyFill="1" applyBorder="1" applyAlignment="1">
      <alignment horizontal="left" vertical="center" wrapText="1"/>
    </xf>
    <xf numFmtId="0" fontId="26" fillId="5" borderId="6" xfId="0" applyFont="1" applyFill="1" applyBorder="1" applyAlignment="1">
      <alignment horizontal="left" vertical="center" wrapText="1"/>
    </xf>
    <xf numFmtId="0" fontId="26" fillId="5" borderId="8" xfId="0" applyFont="1" applyFill="1" applyBorder="1" applyAlignment="1">
      <alignment horizontal="left" vertical="center" wrapText="1"/>
    </xf>
    <xf numFmtId="0" fontId="37" fillId="3" borderId="1" xfId="0" applyFont="1" applyFill="1" applyBorder="1" applyAlignment="1">
      <alignment horizontal="left" vertical="top" wrapText="1"/>
    </xf>
    <xf numFmtId="0" fontId="37" fillId="3" borderId="2" xfId="0" applyFont="1" applyFill="1" applyBorder="1" applyAlignment="1">
      <alignment horizontal="left" vertical="top" wrapText="1"/>
    </xf>
    <xf numFmtId="0" fontId="37" fillId="3" borderId="3" xfId="0" applyFont="1" applyFill="1" applyBorder="1" applyAlignment="1">
      <alignment horizontal="left" vertical="top" wrapText="1"/>
    </xf>
    <xf numFmtId="0" fontId="37" fillId="3" borderId="4" xfId="0" applyFont="1" applyFill="1" applyBorder="1" applyAlignment="1">
      <alignment horizontal="left" vertical="top" wrapText="1"/>
    </xf>
    <xf numFmtId="0" fontId="37" fillId="3" borderId="0" xfId="0" applyFont="1" applyFill="1" applyBorder="1" applyAlignment="1">
      <alignment horizontal="left" vertical="top" wrapText="1"/>
    </xf>
    <xf numFmtId="0" fontId="37" fillId="3" borderId="5" xfId="0" applyFont="1" applyFill="1" applyBorder="1" applyAlignment="1">
      <alignment horizontal="left" vertical="top" wrapText="1"/>
    </xf>
    <xf numFmtId="0" fontId="26" fillId="5" borderId="17" xfId="0" applyFont="1" applyFill="1" applyBorder="1" applyAlignment="1">
      <alignment vertical="center" wrapText="1"/>
    </xf>
    <xf numFmtId="0" fontId="26" fillId="5" borderId="18" xfId="0" applyFont="1" applyFill="1" applyBorder="1" applyAlignment="1">
      <alignment vertical="center" wrapText="1"/>
    </xf>
    <xf numFmtId="0" fontId="26" fillId="5" borderId="19" xfId="0" applyFont="1" applyFill="1" applyBorder="1" applyAlignment="1">
      <alignment vertical="center" wrapText="1"/>
    </xf>
    <xf numFmtId="0" fontId="37" fillId="3" borderId="6" xfId="0" applyFont="1" applyFill="1" applyBorder="1" applyAlignment="1">
      <alignment horizontal="left" vertical="top" wrapText="1"/>
    </xf>
    <xf numFmtId="0" fontId="37" fillId="3" borderId="8" xfId="0" applyFont="1" applyFill="1" applyBorder="1" applyAlignment="1">
      <alignment horizontal="left" vertical="top" wrapText="1"/>
    </xf>
    <xf numFmtId="0" fontId="26" fillId="5" borderId="1" xfId="0" applyFont="1" applyFill="1" applyBorder="1" applyAlignment="1">
      <alignment vertical="center" wrapText="1"/>
    </xf>
    <xf numFmtId="0" fontId="26" fillId="5" borderId="2" xfId="0" applyFont="1" applyFill="1" applyBorder="1" applyAlignment="1">
      <alignment vertical="center" wrapText="1"/>
    </xf>
    <xf numFmtId="0" fontId="26" fillId="5" borderId="3" xfId="0" applyFont="1" applyFill="1" applyBorder="1" applyAlignment="1">
      <alignment vertical="center" wrapText="1"/>
    </xf>
    <xf numFmtId="0" fontId="37" fillId="3" borderId="7" xfId="0" applyFont="1" applyFill="1" applyBorder="1" applyAlignment="1">
      <alignment horizontal="left" vertical="top" wrapText="1"/>
    </xf>
    <xf numFmtId="0" fontId="26" fillId="6" borderId="17" xfId="0" applyFont="1" applyFill="1" applyBorder="1" applyAlignment="1">
      <alignment horizontal="center" vertical="center" wrapText="1"/>
    </xf>
    <xf numFmtId="0" fontId="26" fillId="6" borderId="18" xfId="0"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6" fillId="6" borderId="1" xfId="0" applyFont="1" applyFill="1" applyBorder="1" applyAlignment="1">
      <alignment horizontal="center" vertical="center" wrapText="1"/>
    </xf>
    <xf numFmtId="0" fontId="26" fillId="6" borderId="3" xfId="0" applyFont="1" applyFill="1" applyBorder="1" applyAlignment="1">
      <alignment horizontal="center" vertical="center" wrapText="1"/>
    </xf>
    <xf numFmtId="0" fontId="17" fillId="0" borderId="17" xfId="0" applyFont="1" applyFill="1" applyBorder="1" applyAlignment="1">
      <alignment horizontal="center" vertical="center" wrapText="1"/>
    </xf>
    <xf numFmtId="0" fontId="17" fillId="0" borderId="19" xfId="0" applyFont="1" applyFill="1" applyBorder="1" applyAlignment="1">
      <alignment horizontal="center" vertical="center" wrapText="1"/>
    </xf>
    <xf numFmtId="0" fontId="9" fillId="0" borderId="17" xfId="0" applyFont="1" applyFill="1" applyBorder="1" applyAlignment="1">
      <alignment horizontal="center" wrapText="1"/>
    </xf>
    <xf numFmtId="0" fontId="9" fillId="0" borderId="18" xfId="0" applyFont="1" applyFill="1" applyBorder="1" applyAlignment="1">
      <alignment horizontal="center" wrapText="1"/>
    </xf>
    <xf numFmtId="0" fontId="9" fillId="0" borderId="19" xfId="0" applyFont="1" applyFill="1" applyBorder="1" applyAlignment="1">
      <alignment horizontal="center" wrapText="1"/>
    </xf>
    <xf numFmtId="0" fontId="35" fillId="0" borderId="17" xfId="0" applyFont="1" applyFill="1" applyBorder="1" applyAlignment="1">
      <alignment horizontal="center" vertical="center" wrapText="1"/>
    </xf>
    <xf numFmtId="0" fontId="35" fillId="0" borderId="19" xfId="0" applyFont="1" applyFill="1" applyBorder="1" applyAlignment="1">
      <alignment horizontal="center" vertical="center" wrapText="1"/>
    </xf>
    <xf numFmtId="0" fontId="20" fillId="0" borderId="17" xfId="0" applyFont="1" applyBorder="1" applyAlignment="1">
      <alignment horizontal="left" vertical="top" wrapText="1"/>
    </xf>
    <xf numFmtId="0" fontId="20" fillId="0" borderId="18" xfId="0" applyFont="1" applyBorder="1" applyAlignment="1">
      <alignment horizontal="left" vertical="top" wrapText="1"/>
    </xf>
    <xf numFmtId="0" fontId="20" fillId="0" borderId="19" xfId="0" applyFont="1" applyBorder="1" applyAlignment="1">
      <alignment horizontal="left" vertical="top" wrapText="1"/>
    </xf>
    <xf numFmtId="0" fontId="20" fillId="0" borderId="51" xfId="0" applyFont="1" applyBorder="1" applyAlignment="1">
      <alignment horizontal="left" vertical="top" wrapText="1"/>
    </xf>
    <xf numFmtId="0" fontId="20" fillId="0" borderId="52" xfId="0" applyFont="1" applyBorder="1" applyAlignment="1">
      <alignment horizontal="left" vertical="top" wrapText="1"/>
    </xf>
    <xf numFmtId="0" fontId="20" fillId="0" borderId="49" xfId="0" applyFont="1" applyBorder="1" applyAlignment="1">
      <alignment horizontal="left" vertical="top" wrapText="1"/>
    </xf>
    <xf numFmtId="0" fontId="20" fillId="0" borderId="54" xfId="0" applyFont="1" applyBorder="1" applyAlignment="1">
      <alignment horizontal="left" vertical="top" wrapText="1"/>
    </xf>
    <xf numFmtId="0" fontId="20" fillId="0" borderId="53" xfId="0" applyFont="1" applyBorder="1" applyAlignment="1">
      <alignment horizontal="left" vertical="top" wrapText="1"/>
    </xf>
    <xf numFmtId="0" fontId="20" fillId="0" borderId="50" xfId="0" applyFont="1" applyBorder="1" applyAlignment="1">
      <alignment horizontal="left" vertical="top" wrapText="1"/>
    </xf>
    <xf numFmtId="0" fontId="17" fillId="0" borderId="2" xfId="0" applyFont="1" applyBorder="1" applyAlignment="1">
      <alignment horizontal="left" wrapText="1"/>
    </xf>
    <xf numFmtId="0" fontId="17" fillId="0" borderId="3" xfId="0" applyFont="1" applyBorder="1" applyAlignment="1">
      <alignment horizontal="left" wrapText="1"/>
    </xf>
    <xf numFmtId="0" fontId="27" fillId="0" borderId="6" xfId="0" applyFont="1" applyBorder="1" applyAlignment="1">
      <alignment horizontal="left" vertical="center" wrapText="1"/>
    </xf>
    <xf numFmtId="0" fontId="27" fillId="0" borderId="7" xfId="0" applyFont="1" applyBorder="1" applyAlignment="1">
      <alignment horizontal="left" vertical="center" wrapText="1"/>
    </xf>
    <xf numFmtId="0" fontId="17" fillId="0" borderId="7" xfId="0" applyFont="1" applyBorder="1" applyAlignment="1">
      <alignment horizontal="left" wrapText="1"/>
    </xf>
    <xf numFmtId="0" fontId="17" fillId="0" borderId="8" xfId="0" applyFont="1" applyBorder="1" applyAlignment="1">
      <alignment horizontal="left" wrapText="1"/>
    </xf>
    <xf numFmtId="0" fontId="26" fillId="5" borderId="1" xfId="0" applyFont="1" applyFill="1" applyBorder="1" applyAlignment="1">
      <alignment horizontal="left" vertical="center" wrapText="1"/>
    </xf>
    <xf numFmtId="0" fontId="26" fillId="5" borderId="2" xfId="0" applyFont="1" applyFill="1" applyBorder="1" applyAlignment="1">
      <alignment horizontal="left" vertical="center" wrapText="1"/>
    </xf>
    <xf numFmtId="0" fontId="26" fillId="5" borderId="3" xfId="0" applyFont="1" applyFill="1" applyBorder="1" applyAlignment="1">
      <alignment horizontal="left" vertical="center" wrapText="1"/>
    </xf>
    <xf numFmtId="0" fontId="26" fillId="5" borderId="7" xfId="0" applyFont="1" applyFill="1" applyBorder="1" applyAlignment="1">
      <alignment horizontal="left" vertical="center" wrapText="1"/>
    </xf>
    <xf numFmtId="0" fontId="6" fillId="0" borderId="1" xfId="0" applyFont="1" applyFill="1" applyBorder="1" applyAlignment="1">
      <alignment horizontal="center" vertical="center" wrapText="1"/>
    </xf>
    <xf numFmtId="0" fontId="6" fillId="0" borderId="2" xfId="0" applyFont="1" applyFill="1" applyBorder="1" applyAlignment="1">
      <alignment horizontal="center" vertical="center" wrapText="1"/>
    </xf>
    <xf numFmtId="0" fontId="6" fillId="0" borderId="4"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6" xfId="0" applyFont="1" applyFill="1" applyBorder="1" applyAlignment="1">
      <alignment horizontal="center" vertical="center" wrapText="1"/>
    </xf>
    <xf numFmtId="0" fontId="6" fillId="0" borderId="7" xfId="0" applyFont="1" applyFill="1" applyBorder="1" applyAlignment="1">
      <alignment horizontal="center" vertical="center" wrapText="1"/>
    </xf>
    <xf numFmtId="0" fontId="6" fillId="0" borderId="37" xfId="0" applyNumberFormat="1" applyFont="1" applyFill="1" applyBorder="1" applyAlignment="1">
      <alignment horizontal="left" vertical="top" wrapText="1"/>
    </xf>
    <xf numFmtId="0" fontId="6" fillId="0" borderId="25" xfId="0" applyNumberFormat="1" applyFont="1" applyFill="1" applyBorder="1" applyAlignment="1">
      <alignment horizontal="left" vertical="top" wrapText="1"/>
    </xf>
    <xf numFmtId="0" fontId="6" fillId="0" borderId="26" xfId="0" applyNumberFormat="1" applyFont="1" applyFill="1" applyBorder="1" applyAlignment="1">
      <alignment horizontal="left" vertical="top" wrapText="1"/>
    </xf>
    <xf numFmtId="0" fontId="6" fillId="0" borderId="27" xfId="0" applyNumberFormat="1" applyFont="1" applyFill="1" applyBorder="1" applyAlignment="1">
      <alignment horizontal="left" vertical="top" wrapText="1"/>
    </xf>
    <xf numFmtId="0" fontId="6" fillId="0" borderId="12" xfId="0" applyNumberFormat="1" applyFont="1" applyFill="1" applyBorder="1" applyAlignment="1">
      <alignment horizontal="left" vertical="top" wrapText="1"/>
    </xf>
    <xf numFmtId="0" fontId="6" fillId="0" borderId="28" xfId="0" applyNumberFormat="1" applyFont="1" applyFill="1" applyBorder="1" applyAlignment="1">
      <alignment horizontal="left" vertical="top" wrapText="1"/>
    </xf>
    <xf numFmtId="0" fontId="6" fillId="0" borderId="29" xfId="0" applyNumberFormat="1" applyFont="1" applyFill="1" applyBorder="1" applyAlignment="1">
      <alignment horizontal="left" vertical="top" wrapText="1"/>
    </xf>
    <xf numFmtId="0" fontId="6" fillId="0" borderId="30" xfId="0" applyNumberFormat="1" applyFont="1" applyFill="1" applyBorder="1" applyAlignment="1">
      <alignment horizontal="left" vertical="top" wrapText="1"/>
    </xf>
    <xf numFmtId="0" fontId="6" fillId="0" borderId="31" xfId="0" applyNumberFormat="1" applyFont="1" applyFill="1" applyBorder="1" applyAlignment="1">
      <alignment horizontal="left" vertical="top" wrapText="1"/>
    </xf>
    <xf numFmtId="0" fontId="10" fillId="5" borderId="17" xfId="0" applyFont="1" applyFill="1" applyBorder="1" applyAlignment="1">
      <alignment horizontal="left"/>
    </xf>
    <xf numFmtId="0" fontId="10" fillId="5" borderId="18" xfId="0" applyFont="1" applyFill="1" applyBorder="1" applyAlignment="1">
      <alignment horizontal="left"/>
    </xf>
    <xf numFmtId="0" fontId="8" fillId="0" borderId="38" xfId="0" applyFont="1" applyFill="1" applyBorder="1" applyAlignment="1" applyProtection="1">
      <alignment horizontal="center"/>
      <protection hidden="1"/>
    </xf>
    <xf numFmtId="0" fontId="8" fillId="0" borderId="53" xfId="0" applyFont="1" applyFill="1" applyBorder="1" applyAlignment="1" applyProtection="1">
      <alignment horizontal="center"/>
      <protection hidden="1"/>
    </xf>
    <xf numFmtId="0" fontId="8" fillId="0" borderId="13" xfId="0" applyFont="1" applyFill="1" applyBorder="1" applyAlignment="1" applyProtection="1">
      <alignment horizontal="center"/>
      <protection hidden="1"/>
    </xf>
    <xf numFmtId="0" fontId="8" fillId="6" borderId="6" xfId="0" applyFont="1" applyFill="1" applyBorder="1" applyAlignment="1" applyProtection="1">
      <alignment horizontal="center"/>
    </xf>
    <xf numFmtId="0" fontId="8" fillId="6" borderId="7" xfId="0" applyFont="1" applyFill="1" applyBorder="1" applyAlignment="1" applyProtection="1">
      <alignment horizontal="center"/>
    </xf>
    <xf numFmtId="0" fontId="8" fillId="6" borderId="8" xfId="0" applyFont="1" applyFill="1" applyBorder="1" applyAlignment="1" applyProtection="1">
      <alignment horizontal="center"/>
    </xf>
    <xf numFmtId="0" fontId="0" fillId="7" borderId="6" xfId="0" applyFill="1" applyBorder="1" applyAlignment="1">
      <alignment horizontal="center"/>
    </xf>
    <xf numFmtId="0" fontId="0" fillId="7" borderId="8" xfId="0" applyFill="1" applyBorder="1" applyAlignment="1">
      <alignment horizont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 xfId="0" applyFill="1" applyBorder="1" applyAlignment="1">
      <alignment horizontal="center" vertical="center"/>
    </xf>
    <xf numFmtId="0" fontId="0" fillId="7" borderId="4" xfId="0" applyFill="1" applyBorder="1" applyAlignment="1">
      <alignment horizontal="center" vertical="center"/>
    </xf>
    <xf numFmtId="0" fontId="0" fillId="7" borderId="6" xfId="0" applyFill="1" applyBorder="1" applyAlignment="1">
      <alignment horizontal="center" vertical="center"/>
    </xf>
    <xf numFmtId="0" fontId="0" fillId="7" borderId="1" xfId="0" applyFill="1" applyBorder="1" applyAlignment="1">
      <alignment horizontal="center" vertical="center" wrapText="1"/>
    </xf>
    <xf numFmtId="0" fontId="0" fillId="7" borderId="4" xfId="0" applyFill="1" applyBorder="1" applyAlignment="1">
      <alignment horizontal="center" vertical="center" wrapText="1"/>
    </xf>
    <xf numFmtId="0" fontId="0" fillId="7" borderId="6" xfId="0" applyFill="1" applyBorder="1" applyAlignment="1">
      <alignment horizontal="center" vertical="center" wrapText="1"/>
    </xf>
    <xf numFmtId="0" fontId="17" fillId="6" borderId="17" xfId="0" applyFont="1" applyFill="1" applyBorder="1" applyAlignment="1">
      <alignment horizontal="center" vertical="center" wrapText="1"/>
    </xf>
    <xf numFmtId="0" fontId="17" fillId="6" borderId="18" xfId="0" applyFont="1" applyFill="1" applyBorder="1" applyAlignment="1">
      <alignment horizontal="center" vertical="center" wrapText="1"/>
    </xf>
    <xf numFmtId="0" fontId="17" fillId="6" borderId="19" xfId="0" applyFont="1" applyFill="1" applyBorder="1" applyAlignment="1">
      <alignment horizontal="center" vertical="center" wrapText="1"/>
    </xf>
    <xf numFmtId="0" fontId="17" fillId="6" borderId="1" xfId="0" applyFont="1" applyFill="1" applyBorder="1" applyAlignment="1">
      <alignment horizontal="center" vertical="center" wrapText="1"/>
    </xf>
    <xf numFmtId="0" fontId="17" fillId="6" borderId="3" xfId="0" applyFont="1" applyFill="1" applyBorder="1" applyAlignment="1">
      <alignment horizontal="center" vertical="center" wrapText="1"/>
    </xf>
    <xf numFmtId="0" fontId="38" fillId="0" borderId="17" xfId="0" applyFont="1" applyFill="1" applyBorder="1" applyAlignment="1">
      <alignment horizontal="center" wrapText="1"/>
    </xf>
    <xf numFmtId="0" fontId="38" fillId="0" borderId="18" xfId="0" applyFont="1" applyFill="1" applyBorder="1" applyAlignment="1">
      <alignment horizontal="center" wrapText="1"/>
    </xf>
    <xf numFmtId="0" fontId="38" fillId="0" borderId="19" xfId="0" applyFont="1" applyFill="1" applyBorder="1" applyAlignment="1">
      <alignment horizontal="center" wrapText="1"/>
    </xf>
    <xf numFmtId="0" fontId="17" fillId="5" borderId="17" xfId="0" applyFont="1" applyFill="1" applyBorder="1" applyAlignment="1">
      <alignment horizontal="left" vertical="center" wrapText="1"/>
    </xf>
    <xf numFmtId="0" fontId="17" fillId="5" borderId="18" xfId="0" applyFont="1" applyFill="1" applyBorder="1" applyAlignment="1">
      <alignment horizontal="left" vertical="center" wrapText="1"/>
    </xf>
    <xf numFmtId="0" fontId="17" fillId="5" borderId="6" xfId="0" applyFont="1" applyFill="1" applyBorder="1" applyAlignment="1">
      <alignment horizontal="left" vertical="center" wrapText="1"/>
    </xf>
    <xf numFmtId="0" fontId="17" fillId="5" borderId="8" xfId="0" applyFont="1" applyFill="1" applyBorder="1" applyAlignment="1">
      <alignment horizontal="left" vertical="center" wrapText="1"/>
    </xf>
    <xf numFmtId="0" fontId="17" fillId="3" borderId="1" xfId="0" applyFont="1" applyFill="1" applyBorder="1" applyAlignment="1">
      <alignment horizontal="left" vertical="top" wrapText="1"/>
    </xf>
    <xf numFmtId="0" fontId="17" fillId="3" borderId="2" xfId="0" applyFont="1" applyFill="1" applyBorder="1" applyAlignment="1">
      <alignment horizontal="left" vertical="top" wrapText="1"/>
    </xf>
    <xf numFmtId="0" fontId="17" fillId="3" borderId="3" xfId="0" applyFont="1" applyFill="1" applyBorder="1" applyAlignment="1">
      <alignment horizontal="left" vertical="top" wrapText="1"/>
    </xf>
    <xf numFmtId="0" fontId="17" fillId="3" borderId="4" xfId="0" applyFont="1" applyFill="1" applyBorder="1" applyAlignment="1">
      <alignment horizontal="left" vertical="top" wrapText="1"/>
    </xf>
    <xf numFmtId="0" fontId="17" fillId="3" borderId="0" xfId="0" applyFont="1" applyFill="1" applyBorder="1" applyAlignment="1">
      <alignment horizontal="left" vertical="top" wrapText="1"/>
    </xf>
    <xf numFmtId="0" fontId="17" fillId="3" borderId="5" xfId="0" applyFont="1" applyFill="1" applyBorder="1" applyAlignment="1">
      <alignment horizontal="left" vertical="top" wrapText="1"/>
    </xf>
    <xf numFmtId="0" fontId="17" fillId="0" borderId="1" xfId="0" applyFont="1" applyFill="1" applyBorder="1" applyAlignment="1">
      <alignment horizontal="left" vertical="top" wrapText="1"/>
    </xf>
    <xf numFmtId="0" fontId="17" fillId="0" borderId="2" xfId="0" applyFont="1" applyFill="1" applyBorder="1" applyAlignment="1">
      <alignment horizontal="left" vertical="top" wrapText="1"/>
    </xf>
    <xf numFmtId="0" fontId="17" fillId="0" borderId="3" xfId="0" applyFont="1" applyFill="1" applyBorder="1" applyAlignment="1">
      <alignment horizontal="left" vertical="top" wrapText="1"/>
    </xf>
    <xf numFmtId="0" fontId="17" fillId="0" borderId="4" xfId="0" applyFont="1" applyFill="1" applyBorder="1" applyAlignment="1">
      <alignment horizontal="left" vertical="top" wrapText="1"/>
    </xf>
    <xf numFmtId="0" fontId="17" fillId="0" borderId="0" xfId="0" applyFont="1" applyFill="1" applyBorder="1" applyAlignment="1">
      <alignment horizontal="left" vertical="top" wrapText="1"/>
    </xf>
    <xf numFmtId="0" fontId="17" fillId="0" borderId="5" xfId="0" applyFont="1" applyFill="1" applyBorder="1" applyAlignment="1">
      <alignment horizontal="left" vertical="top" wrapText="1"/>
    </xf>
    <xf numFmtId="0" fontId="17" fillId="0" borderId="6" xfId="0" applyFont="1" applyFill="1" applyBorder="1" applyAlignment="1">
      <alignment horizontal="left" vertical="top" wrapText="1"/>
    </xf>
    <xf numFmtId="0" fontId="17" fillId="0" borderId="7" xfId="0" applyFont="1" applyFill="1" applyBorder="1" applyAlignment="1">
      <alignment horizontal="left" vertical="top" wrapText="1"/>
    </xf>
    <xf numFmtId="0" fontId="17" fillId="0" borderId="8" xfId="0" applyFont="1" applyFill="1" applyBorder="1" applyAlignment="1">
      <alignment horizontal="left" vertical="top" wrapText="1"/>
    </xf>
    <xf numFmtId="0" fontId="17" fillId="3" borderId="6" xfId="0" applyFont="1" applyFill="1" applyBorder="1" applyAlignment="1">
      <alignment horizontal="left" vertical="top" wrapText="1"/>
    </xf>
    <xf numFmtId="0" fontId="17" fillId="3" borderId="7" xfId="0" applyFont="1" applyFill="1" applyBorder="1" applyAlignment="1">
      <alignment horizontal="left" vertical="top" wrapText="1"/>
    </xf>
    <xf numFmtId="0" fontId="17" fillId="3" borderId="8" xfId="0" applyFont="1" applyFill="1" applyBorder="1" applyAlignment="1">
      <alignment horizontal="left" vertical="top" wrapText="1"/>
    </xf>
    <xf numFmtId="0" fontId="17" fillId="5" borderId="1" xfId="0" applyFont="1" applyFill="1" applyBorder="1" applyAlignment="1">
      <alignment vertical="center" wrapText="1"/>
    </xf>
    <xf numFmtId="0" fontId="17" fillId="5" borderId="2" xfId="0" applyFont="1" applyFill="1" applyBorder="1" applyAlignment="1">
      <alignment vertical="center" wrapText="1"/>
    </xf>
    <xf numFmtId="0" fontId="17" fillId="5" borderId="3" xfId="0" applyFont="1" applyFill="1" applyBorder="1" applyAlignment="1">
      <alignment vertical="center" wrapText="1"/>
    </xf>
    <xf numFmtId="0" fontId="17" fillId="0" borderId="9" xfId="0" applyFont="1" applyFill="1" applyBorder="1" applyAlignment="1">
      <alignment horizontal="left" vertical="top" wrapText="1"/>
    </xf>
    <xf numFmtId="0" fontId="17" fillId="0" borderId="10" xfId="0" applyFont="1" applyFill="1" applyBorder="1" applyAlignment="1">
      <alignment horizontal="left" vertical="top" wrapText="1"/>
    </xf>
    <xf numFmtId="0" fontId="17" fillId="0" borderId="11" xfId="0" applyFont="1" applyFill="1" applyBorder="1" applyAlignment="1">
      <alignment horizontal="left" vertical="top" wrapText="1"/>
    </xf>
    <xf numFmtId="0" fontId="17" fillId="5" borderId="17" xfId="0" applyFont="1" applyFill="1" applyBorder="1" applyAlignment="1">
      <alignment vertical="center" wrapText="1"/>
    </xf>
    <xf numFmtId="0" fontId="17" fillId="5" borderId="18" xfId="0" applyFont="1" applyFill="1" applyBorder="1" applyAlignment="1">
      <alignment vertical="center" wrapText="1"/>
    </xf>
    <xf numFmtId="0" fontId="17" fillId="5" borderId="19" xfId="0" applyFont="1" applyFill="1" applyBorder="1" applyAlignment="1">
      <alignment vertical="center" wrapText="1"/>
    </xf>
  </cellXfs>
  <cellStyles count="1">
    <cellStyle name="Normal" xfId="0" builtinId="0"/>
  </cellStyles>
  <dxfs count="151">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18" Type="http://schemas.openxmlformats.org/officeDocument/2006/relationships/image" Target="../media/image21.emf"/><Relationship Id="rId3" Type="http://schemas.openxmlformats.org/officeDocument/2006/relationships/image" Target="../media/image17.emf"/><Relationship Id="rId21" Type="http://schemas.openxmlformats.org/officeDocument/2006/relationships/image" Target="../media/image2.emf"/><Relationship Id="rId7" Type="http://schemas.openxmlformats.org/officeDocument/2006/relationships/image" Target="../media/image13.emf"/><Relationship Id="rId12" Type="http://schemas.openxmlformats.org/officeDocument/2006/relationships/image" Target="../media/image8.emf"/><Relationship Id="rId17" Type="http://schemas.openxmlformats.org/officeDocument/2006/relationships/image" Target="../media/image20.emf"/><Relationship Id="rId2" Type="http://schemas.openxmlformats.org/officeDocument/2006/relationships/image" Target="../media/image19.emf"/><Relationship Id="rId16" Type="http://schemas.openxmlformats.org/officeDocument/2006/relationships/image" Target="../media/image4.emf"/><Relationship Id="rId20"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5.emf"/><Relationship Id="rId15" Type="http://schemas.openxmlformats.org/officeDocument/2006/relationships/image" Target="../media/image5.emf"/><Relationship Id="rId10" Type="http://schemas.openxmlformats.org/officeDocument/2006/relationships/image" Target="../media/image10.emf"/><Relationship Id="rId19"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11.emf"/><Relationship Id="rId1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13</xdr:col>
      <xdr:colOff>1094363</xdr:colOff>
      <xdr:row>0</xdr:row>
      <xdr:rowOff>170235</xdr:rowOff>
    </xdr:from>
    <xdr:to>
      <xdr:col>13</xdr:col>
      <xdr:colOff>4576362</xdr:colOff>
      <xdr:row>0</xdr:row>
      <xdr:rowOff>1641543</xdr:rowOff>
    </xdr:to>
    <xdr:pic>
      <xdr:nvPicPr>
        <xdr:cNvPr id="2" name="Afbeelding 5" descr="Afbeeldingsresultaat voor erie water treatment">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210852" y="170235"/>
          <a:ext cx="3481999" cy="1471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85725</xdr:rowOff>
        </xdr:from>
        <xdr:to>
          <xdr:col>0</xdr:col>
          <xdr:colOff>1400175</xdr:colOff>
          <xdr:row>0</xdr:row>
          <xdr:rowOff>590550</xdr:rowOff>
        </xdr:to>
        <xdr:sp macro="" textlink="">
          <xdr:nvSpPr>
            <xdr:cNvPr id="14359" name="CommandButton1" hidden="1">
              <a:extLst>
                <a:ext uri="{63B3BB69-23CF-44E3-9099-C40C66FF867C}">
                  <a14:compatExt spid="_x0000_s14359"/>
                </a:ext>
                <a:ext uri="{FF2B5EF4-FFF2-40B4-BE49-F238E27FC236}">
                  <a16:creationId xmlns:a16="http://schemas.microsoft.com/office/drawing/2014/main" id="{00000000-0008-0000-0300-00001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0</xdr:row>
          <xdr:rowOff>361950</xdr:rowOff>
        </xdr:from>
        <xdr:to>
          <xdr:col>2</xdr:col>
          <xdr:colOff>171450</xdr:colOff>
          <xdr:row>0</xdr:row>
          <xdr:rowOff>600075</xdr:rowOff>
        </xdr:to>
        <xdr:sp macro="" textlink="">
          <xdr:nvSpPr>
            <xdr:cNvPr id="14368" name="CheckBoxVerantwFB" hidden="1">
              <a:extLst>
                <a:ext uri="{63B3BB69-23CF-44E3-9099-C40C66FF867C}">
                  <a14:compatExt spid="_x0000_s14368"/>
                </a:ext>
                <a:ext uri="{FF2B5EF4-FFF2-40B4-BE49-F238E27FC236}">
                  <a16:creationId xmlns:a16="http://schemas.microsoft.com/office/drawing/2014/main" id="{00000000-0008-0000-0300-00002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0</xdr:row>
          <xdr:rowOff>800100</xdr:rowOff>
        </xdr:from>
        <xdr:to>
          <xdr:col>1</xdr:col>
          <xdr:colOff>933450</xdr:colOff>
          <xdr:row>0</xdr:row>
          <xdr:rowOff>1038225</xdr:rowOff>
        </xdr:to>
        <xdr:sp macro="" textlink="">
          <xdr:nvSpPr>
            <xdr:cNvPr id="14369" name="CheckBoxWaardenFB" hidden="1">
              <a:extLst>
                <a:ext uri="{63B3BB69-23CF-44E3-9099-C40C66FF867C}">
                  <a14:compatExt spid="_x0000_s14369"/>
                </a:ext>
                <a:ext uri="{FF2B5EF4-FFF2-40B4-BE49-F238E27FC236}">
                  <a16:creationId xmlns:a16="http://schemas.microsoft.com/office/drawing/2014/main" id="{00000000-0008-0000-0300-00002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1057275</xdr:rowOff>
        </xdr:from>
        <xdr:to>
          <xdr:col>1</xdr:col>
          <xdr:colOff>1381125</xdr:colOff>
          <xdr:row>0</xdr:row>
          <xdr:rowOff>1276350</xdr:rowOff>
        </xdr:to>
        <xdr:sp macro="" textlink="">
          <xdr:nvSpPr>
            <xdr:cNvPr id="14370" name="CheckBoxKennisFB" hidden="1">
              <a:extLst>
                <a:ext uri="{63B3BB69-23CF-44E3-9099-C40C66FF867C}">
                  <a14:compatExt spid="_x0000_s14370"/>
                </a:ext>
                <a:ext uri="{FF2B5EF4-FFF2-40B4-BE49-F238E27FC236}">
                  <a16:creationId xmlns:a16="http://schemas.microsoft.com/office/drawing/2014/main" id="{00000000-0008-0000-0300-00002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0</xdr:row>
          <xdr:rowOff>857250</xdr:rowOff>
        </xdr:from>
        <xdr:to>
          <xdr:col>9</xdr:col>
          <xdr:colOff>171450</xdr:colOff>
          <xdr:row>0</xdr:row>
          <xdr:rowOff>1095375</xdr:rowOff>
        </xdr:to>
        <xdr:sp macro="" textlink="">
          <xdr:nvSpPr>
            <xdr:cNvPr id="14371" name="CheckBoxFeedbackFG"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0</xdr:row>
          <xdr:rowOff>600075</xdr:rowOff>
        </xdr:from>
        <xdr:to>
          <xdr:col>8</xdr:col>
          <xdr:colOff>28575</xdr:colOff>
          <xdr:row>0</xdr:row>
          <xdr:rowOff>838200</xdr:rowOff>
        </xdr:to>
        <xdr:sp macro="" textlink="">
          <xdr:nvSpPr>
            <xdr:cNvPr id="14372" name="CheckBoxOntwikkelplanFG"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1343025</xdr:rowOff>
        </xdr:from>
        <xdr:to>
          <xdr:col>4</xdr:col>
          <xdr:colOff>304800</xdr:colOff>
          <xdr:row>0</xdr:row>
          <xdr:rowOff>1581150</xdr:rowOff>
        </xdr:to>
        <xdr:sp macro="" textlink="">
          <xdr:nvSpPr>
            <xdr:cNvPr id="14373" name="CheckBoxActiesFG" hidden="1">
              <a:extLst>
                <a:ext uri="{63B3BB69-23CF-44E3-9099-C40C66FF867C}">
                  <a14:compatExt spid="_x0000_s14373"/>
                </a:ext>
                <a:ext uri="{FF2B5EF4-FFF2-40B4-BE49-F238E27FC236}">
                  <a16:creationId xmlns:a16="http://schemas.microsoft.com/office/drawing/2014/main" id="{00000000-0008-0000-0300-00002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361950</xdr:rowOff>
        </xdr:from>
        <xdr:to>
          <xdr:col>6</xdr:col>
          <xdr:colOff>180975</xdr:colOff>
          <xdr:row>0</xdr:row>
          <xdr:rowOff>600075</xdr:rowOff>
        </xdr:to>
        <xdr:sp macro="" textlink="">
          <xdr:nvSpPr>
            <xdr:cNvPr id="14374" name="CheckBoxVerantwFG" hidden="1">
              <a:extLst>
                <a:ext uri="{63B3BB69-23CF-44E3-9099-C40C66FF867C}">
                  <a14:compatExt spid="_x0000_s14374"/>
                </a:ext>
                <a:ext uri="{FF2B5EF4-FFF2-40B4-BE49-F238E27FC236}">
                  <a16:creationId xmlns:a16="http://schemas.microsoft.com/office/drawing/2014/main" id="{00000000-0008-0000-0300-00002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847725</xdr:rowOff>
        </xdr:from>
        <xdr:to>
          <xdr:col>3</xdr:col>
          <xdr:colOff>809625</xdr:colOff>
          <xdr:row>0</xdr:row>
          <xdr:rowOff>1085850</xdr:rowOff>
        </xdr:to>
        <xdr:sp macro="" textlink="">
          <xdr:nvSpPr>
            <xdr:cNvPr id="14376" name="CheckBoxWaardenFG" hidden="1">
              <a:extLst>
                <a:ext uri="{63B3BB69-23CF-44E3-9099-C40C66FF867C}">
                  <a14:compatExt spid="_x0000_s14376"/>
                </a:ext>
                <a:ext uri="{FF2B5EF4-FFF2-40B4-BE49-F238E27FC236}">
                  <a16:creationId xmlns:a16="http://schemas.microsoft.com/office/drawing/2014/main" id="{00000000-0008-0000-0300-00002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1085850</xdr:rowOff>
        </xdr:from>
        <xdr:to>
          <xdr:col>4</xdr:col>
          <xdr:colOff>38100</xdr:colOff>
          <xdr:row>0</xdr:row>
          <xdr:rowOff>1352550</xdr:rowOff>
        </xdr:to>
        <xdr:sp macro="" textlink="">
          <xdr:nvSpPr>
            <xdr:cNvPr id="14377" name="CheckboxKennisFG" hidden="1">
              <a:extLst>
                <a:ext uri="{63B3BB69-23CF-44E3-9099-C40C66FF867C}">
                  <a14:compatExt spid="_x0000_s14377"/>
                </a:ext>
                <a:ext uri="{FF2B5EF4-FFF2-40B4-BE49-F238E27FC236}">
                  <a16:creationId xmlns:a16="http://schemas.microsoft.com/office/drawing/2014/main" id="{00000000-0008-0000-0300-00002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161531</xdr:colOff>
          <xdr:row>0</xdr:row>
          <xdr:rowOff>123825</xdr:rowOff>
        </xdr:from>
        <xdr:to>
          <xdr:col>4</xdr:col>
          <xdr:colOff>559850</xdr:colOff>
          <xdr:row>0</xdr:row>
          <xdr:rowOff>320386</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1887937" y="123825"/>
              <a:ext cx="6961640" cy="196561"/>
              <a:chOff x="1885084" y="123825"/>
              <a:chExt cx="6987888" cy="196561"/>
            </a:xfrm>
          </xdr:grpSpPr>
          <xdr:sp macro="" textlink="">
            <xdr:nvSpPr>
              <xdr:cNvPr id="14378" name="OptionFunctiebeschrijving" hidden="1">
                <a:extLst>
                  <a:ext uri="{63B3BB69-23CF-44E3-9099-C40C66FF867C}">
                    <a14:compatExt spid="_x0000_s14378"/>
                  </a:ext>
                  <a:ext uri="{FF2B5EF4-FFF2-40B4-BE49-F238E27FC236}">
                    <a16:creationId xmlns:a16="http://schemas.microsoft.com/office/drawing/2014/main" id="{00000000-0008-0000-0300-00002A380000}"/>
                  </a:ext>
                </a:extLst>
              </xdr:cNvPr>
              <xdr:cNvSpPr/>
            </xdr:nvSpPr>
            <xdr:spPr bwMode="auto">
              <a:xfrm>
                <a:off x="1885084" y="123825"/>
                <a:ext cx="1847850" cy="187902"/>
              </a:xfrm>
              <a:prstGeom prst="rect">
                <a:avLst/>
              </a:prstGeom>
              <a:noFill/>
              <a:ln>
                <a:noFill/>
              </a:ln>
              <a:extLst>
                <a:ext uri="{91240B29-F687-4F45-9708-019B960494DF}">
                  <a14:hiddenLine w="9525">
                    <a:noFill/>
                    <a:miter lim="800000"/>
                    <a:headEnd/>
                    <a:tailEnd/>
                  </a14:hiddenLine>
                </a:ext>
              </a:extLst>
            </xdr:spPr>
          </xdr:sp>
          <xdr:sp macro="" textlink="">
            <xdr:nvSpPr>
              <xdr:cNvPr id="14379" name="OptionFunctioneringsgesprek" hidden="1">
                <a:extLst>
                  <a:ext uri="{63B3BB69-23CF-44E3-9099-C40C66FF867C}">
                    <a14:compatExt spid="_x0000_s14379"/>
                  </a:ext>
                  <a:ext uri="{FF2B5EF4-FFF2-40B4-BE49-F238E27FC236}">
                    <a16:creationId xmlns:a16="http://schemas.microsoft.com/office/drawing/2014/main" id="{00000000-0008-0000-0300-00002B380000}"/>
                  </a:ext>
                </a:extLst>
              </xdr:cNvPr>
              <xdr:cNvSpPr/>
            </xdr:nvSpPr>
            <xdr:spPr bwMode="auto">
              <a:xfrm>
                <a:off x="7025122" y="129021"/>
                <a:ext cx="1847850" cy="19136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154997</xdr:colOff>
          <xdr:row>0</xdr:row>
          <xdr:rowOff>861580</xdr:rowOff>
        </xdr:from>
        <xdr:to>
          <xdr:col>0</xdr:col>
          <xdr:colOff>901213</xdr:colOff>
          <xdr:row>0</xdr:row>
          <xdr:rowOff>1261629</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154997" y="861580"/>
              <a:ext cx="746216" cy="400049"/>
              <a:chOff x="154997" y="861580"/>
              <a:chExt cx="746216" cy="400047"/>
            </a:xfrm>
          </xdr:grpSpPr>
          <xdr:sp macro="" textlink="">
            <xdr:nvSpPr>
              <xdr:cNvPr id="14382" name="OptionIndividueel" hidden="1">
                <a:extLst>
                  <a:ext uri="{63B3BB69-23CF-44E3-9099-C40C66FF867C}">
                    <a14:compatExt spid="_x0000_s14382"/>
                  </a:ext>
                  <a:ext uri="{FF2B5EF4-FFF2-40B4-BE49-F238E27FC236}">
                    <a16:creationId xmlns:a16="http://schemas.microsoft.com/office/drawing/2014/main" id="{00000000-0008-0000-0300-00002E380000}"/>
                  </a:ext>
                </a:extLst>
              </xdr:cNvPr>
              <xdr:cNvSpPr/>
            </xdr:nvSpPr>
            <xdr:spPr bwMode="auto">
              <a:xfrm>
                <a:off x="154997" y="861580"/>
                <a:ext cx="738888" cy="194829"/>
              </a:xfrm>
              <a:prstGeom prst="rect">
                <a:avLst/>
              </a:prstGeom>
              <a:noFill/>
              <a:ln>
                <a:noFill/>
              </a:ln>
              <a:extLst>
                <a:ext uri="{91240B29-F687-4F45-9708-019B960494DF}">
                  <a14:hiddenLine w="9525">
                    <a:noFill/>
                    <a:miter lim="800000"/>
                    <a:headEnd/>
                    <a:tailEnd/>
                  </a14:hiddenLine>
                </a:ext>
              </a:extLst>
            </xdr:spPr>
          </xdr:sp>
          <xdr:sp macro="" textlink="">
            <xdr:nvSpPr>
              <xdr:cNvPr id="14383" name="OptionCollectief" hidden="1">
                <a:extLst>
                  <a:ext uri="{63B3BB69-23CF-44E3-9099-C40C66FF867C}">
                    <a14:compatExt spid="_x0000_s14383"/>
                  </a:ext>
                  <a:ext uri="{FF2B5EF4-FFF2-40B4-BE49-F238E27FC236}">
                    <a16:creationId xmlns:a16="http://schemas.microsoft.com/office/drawing/2014/main" id="{00000000-0008-0000-0300-00002F380000}"/>
                  </a:ext>
                </a:extLst>
              </xdr:cNvPr>
              <xdr:cNvSpPr/>
            </xdr:nvSpPr>
            <xdr:spPr bwMode="auto">
              <a:xfrm>
                <a:off x="157597" y="1061602"/>
                <a:ext cx="743616" cy="2000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0</xdr:row>
          <xdr:rowOff>333375</xdr:rowOff>
        </xdr:from>
        <xdr:to>
          <xdr:col>7</xdr:col>
          <xdr:colOff>428625</xdr:colOff>
          <xdr:row>0</xdr:row>
          <xdr:rowOff>600075</xdr:rowOff>
        </xdr:to>
        <xdr:sp macro="" textlink="">
          <xdr:nvSpPr>
            <xdr:cNvPr id="14384" name="CheckBoxAmbitiesFG" hidden="1">
              <a:extLst>
                <a:ext uri="{63B3BB69-23CF-44E3-9099-C40C66FF867C}">
                  <a14:compatExt spid="_x0000_s14384"/>
                </a:ext>
                <a:ext uri="{FF2B5EF4-FFF2-40B4-BE49-F238E27FC236}">
                  <a16:creationId xmlns:a16="http://schemas.microsoft.com/office/drawing/2014/main" id="{00000000-0008-0000-0300-00003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0</xdr:row>
          <xdr:rowOff>1104900</xdr:rowOff>
        </xdr:from>
        <xdr:to>
          <xdr:col>9</xdr:col>
          <xdr:colOff>85725</xdr:colOff>
          <xdr:row>0</xdr:row>
          <xdr:rowOff>1371600</xdr:rowOff>
        </xdr:to>
        <xdr:sp macro="" textlink="">
          <xdr:nvSpPr>
            <xdr:cNvPr id="14385" name="CheckBoxPersoneelsTevredenheidFG" hidden="1">
              <a:extLst>
                <a:ext uri="{63B3BB69-23CF-44E3-9099-C40C66FF867C}">
                  <a14:compatExt spid="_x0000_s14385"/>
                </a:ext>
                <a:ext uri="{FF2B5EF4-FFF2-40B4-BE49-F238E27FC236}">
                  <a16:creationId xmlns:a16="http://schemas.microsoft.com/office/drawing/2014/main" id="{00000000-0008-0000-0300-00003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561975</xdr:rowOff>
        </xdr:from>
        <xdr:to>
          <xdr:col>1</xdr:col>
          <xdr:colOff>2247900</xdr:colOff>
          <xdr:row>0</xdr:row>
          <xdr:rowOff>828675</xdr:rowOff>
        </xdr:to>
        <xdr:sp macro="" textlink="">
          <xdr:nvSpPr>
            <xdr:cNvPr id="14386" name="CheckboxCompetentiesFB" hidden="1">
              <a:extLst>
                <a:ext uri="{63B3BB69-23CF-44E3-9099-C40C66FF867C}">
                  <a14:compatExt spid="_x0000_s14386"/>
                </a:ext>
                <a:ext uri="{FF2B5EF4-FFF2-40B4-BE49-F238E27FC236}">
                  <a16:creationId xmlns:a16="http://schemas.microsoft.com/office/drawing/2014/main" id="{00000000-0008-0000-0300-00003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600075</xdr:rowOff>
        </xdr:from>
        <xdr:to>
          <xdr:col>5</xdr:col>
          <xdr:colOff>190500</xdr:colOff>
          <xdr:row>0</xdr:row>
          <xdr:rowOff>866775</xdr:rowOff>
        </xdr:to>
        <xdr:sp macro="" textlink="">
          <xdr:nvSpPr>
            <xdr:cNvPr id="14387" name="CheckboxCompetentiesFG" hidden="1">
              <a:extLst>
                <a:ext uri="{63B3BB69-23CF-44E3-9099-C40C66FF867C}">
                  <a14:compatExt spid="_x0000_s14387"/>
                </a:ext>
                <a:ext uri="{FF2B5EF4-FFF2-40B4-BE49-F238E27FC236}">
                  <a16:creationId xmlns:a16="http://schemas.microsoft.com/office/drawing/2014/main" id="{00000000-0008-0000-0300-00003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0</xdr:row>
          <xdr:rowOff>1333500</xdr:rowOff>
        </xdr:from>
        <xdr:to>
          <xdr:col>7</xdr:col>
          <xdr:colOff>561975</xdr:colOff>
          <xdr:row>0</xdr:row>
          <xdr:rowOff>1600200</xdr:rowOff>
        </xdr:to>
        <xdr:sp macro="" textlink="">
          <xdr:nvSpPr>
            <xdr:cNvPr id="14388" name="CheckBoxOpenInputFG" hidden="1">
              <a:extLst>
                <a:ext uri="{63B3BB69-23CF-44E3-9099-C40C66FF867C}">
                  <a14:compatExt spid="_x0000_s14388"/>
                </a:ext>
                <a:ext uri="{FF2B5EF4-FFF2-40B4-BE49-F238E27FC236}">
                  <a16:creationId xmlns:a16="http://schemas.microsoft.com/office/drawing/2014/main" id="{00000000-0008-0000-0300-00003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11</xdr:col>
      <xdr:colOff>480186</xdr:colOff>
      <xdr:row>0</xdr:row>
      <xdr:rowOff>133822</xdr:rowOff>
    </xdr:from>
    <xdr:to>
      <xdr:col>13</xdr:col>
      <xdr:colOff>708471</xdr:colOff>
      <xdr:row>0</xdr:row>
      <xdr:rowOff>1564090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027996" y="133822"/>
          <a:ext cx="1440558" cy="1430268"/>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987754</xdr:colOff>
          <xdr:row>0</xdr:row>
          <xdr:rowOff>862789</xdr:rowOff>
        </xdr:from>
        <xdr:to>
          <xdr:col>0</xdr:col>
          <xdr:colOff>1496786</xdr:colOff>
          <xdr:row>0</xdr:row>
          <xdr:rowOff>1262838</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987754" y="862789"/>
              <a:ext cx="509032" cy="400049"/>
              <a:chOff x="154997" y="861580"/>
              <a:chExt cx="1326573" cy="400047"/>
            </a:xfrm>
          </xdr:grpSpPr>
          <xdr:sp macro="" textlink="">
            <xdr:nvSpPr>
              <xdr:cNvPr id="14389" name="OptionButtonNL" hidden="1">
                <a:extLst>
                  <a:ext uri="{63B3BB69-23CF-44E3-9099-C40C66FF867C}">
                    <a14:compatExt spid="_x0000_s14389"/>
                  </a:ext>
                  <a:ext uri="{FF2B5EF4-FFF2-40B4-BE49-F238E27FC236}">
                    <a16:creationId xmlns:a16="http://schemas.microsoft.com/office/drawing/2014/main" id="{00000000-0008-0000-0300-000035380000}"/>
                  </a:ext>
                </a:extLst>
              </xdr:cNvPr>
              <xdr:cNvSpPr/>
            </xdr:nvSpPr>
            <xdr:spPr bwMode="auto">
              <a:xfrm>
                <a:off x="154997" y="861580"/>
                <a:ext cx="1317048" cy="194829"/>
              </a:xfrm>
              <a:prstGeom prst="rect">
                <a:avLst/>
              </a:prstGeom>
              <a:noFill/>
              <a:ln>
                <a:noFill/>
              </a:ln>
              <a:extLst>
                <a:ext uri="{91240B29-F687-4F45-9708-019B960494DF}">
                  <a14:hiddenLine w="9525">
                    <a:noFill/>
                    <a:miter lim="800000"/>
                    <a:headEnd/>
                    <a:tailEnd/>
                  </a14:hiddenLine>
                </a:ext>
              </a:extLst>
            </xdr:spPr>
          </xdr:sp>
          <xdr:sp macro="" textlink="">
            <xdr:nvSpPr>
              <xdr:cNvPr id="14390" name="OptionButtonENG" hidden="1">
                <a:extLst>
                  <a:ext uri="{63B3BB69-23CF-44E3-9099-C40C66FF867C}">
                    <a14:compatExt spid="_x0000_s14390"/>
                  </a:ext>
                  <a:ext uri="{FF2B5EF4-FFF2-40B4-BE49-F238E27FC236}">
                    <a16:creationId xmlns:a16="http://schemas.microsoft.com/office/drawing/2014/main" id="{00000000-0008-0000-0300-000036380000}"/>
                  </a:ext>
                </a:extLst>
              </xdr:cNvPr>
              <xdr:cNvSpPr/>
            </xdr:nvSpPr>
            <xdr:spPr bwMode="auto">
              <a:xfrm>
                <a:off x="157595" y="1061602"/>
                <a:ext cx="1323975" cy="2000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1475441</xdr:colOff>
      <xdr:row>0</xdr:row>
      <xdr:rowOff>136962</xdr:rowOff>
    </xdr:from>
    <xdr:to>
      <xdr:col>2</xdr:col>
      <xdr:colOff>1182842</xdr:colOff>
      <xdr:row>0</xdr:row>
      <xdr:rowOff>1506569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75441" y="136962"/>
          <a:ext cx="1369607" cy="136960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11639550</xdr:colOff>
          <xdr:row>0</xdr:row>
          <xdr:rowOff>38100</xdr:rowOff>
        </xdr:from>
        <xdr:to>
          <xdr:col>3</xdr:col>
          <xdr:colOff>13106400</xdr:colOff>
          <xdr:row>0</xdr:row>
          <xdr:rowOff>276225</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5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100" b="0" i="0" u="none" strike="noStrike" baseline="0">
                  <a:solidFill>
                    <a:srgbClr val="000000"/>
                  </a:solidFill>
                  <a:latin typeface="Calibri"/>
                  <a:cs typeface="Calibri"/>
                </a:rPr>
                <a:t>Vernieuwen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11639550</xdr:colOff>
          <xdr:row>0</xdr:row>
          <xdr:rowOff>38100</xdr:rowOff>
        </xdr:from>
        <xdr:to>
          <xdr:col>3</xdr:col>
          <xdr:colOff>13106400</xdr:colOff>
          <xdr:row>0</xdr:row>
          <xdr:rowOff>276225</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6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100" b="0" i="0" u="none" strike="noStrike" baseline="0">
                  <a:solidFill>
                    <a:srgbClr val="000000"/>
                  </a:solidFill>
                  <a:latin typeface="Calibri"/>
                  <a:cs typeface="Calibri"/>
                </a:rPr>
                <a:t>Vernieuwen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7</xdr:col>
      <xdr:colOff>5267221</xdr:colOff>
      <xdr:row>0</xdr:row>
      <xdr:rowOff>279092</xdr:rowOff>
    </xdr:from>
    <xdr:to>
      <xdr:col>7</xdr:col>
      <xdr:colOff>8184996</xdr:colOff>
      <xdr:row>0</xdr:row>
      <xdr:rowOff>1560286</xdr:rowOff>
    </xdr:to>
    <xdr:pic>
      <xdr:nvPicPr>
        <xdr:cNvPr id="2" name="Afbeelding 5" descr="Afbeeldingsresultaat voor erie water treatment">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80078" y="279092"/>
          <a:ext cx="3032075" cy="12811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FECA6F9-A82E-4564-B529-189B7590D60B}">
  <we:reference id="wa104380006" version="1.0.0.0" store="en-US" storeType="OMEX"/>
  <we:alternateReferences>
    <we:reference id="WA104380006" version="1.0.0.0" store="WA10438000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mailto:Happy@work" TargetMode="External"/><Relationship Id="rId2" Type="http://schemas.openxmlformats.org/officeDocument/2006/relationships/hyperlink" Target="mailto:Happy@work%20de%20goede%20sfeer%20in%20het%20bedrijf%20('Fun'%20Manager)" TargetMode="External"/><Relationship Id="rId1" Type="http://schemas.openxmlformats.org/officeDocument/2006/relationships/hyperlink" Target="mailto:Happy@work:de%20goede%20samenwerking%20in%20het%20bedrijf%20(SILO)"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hyperlink" Target="mailto:Happy@work" TargetMode="Externa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4.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D2120-284F-465E-8F5C-72913123B5A5}">
  <sheetPr codeName="FGTemplate">
    <pageSetUpPr fitToPage="1"/>
  </sheetPr>
  <dimension ref="A1:N209"/>
  <sheetViews>
    <sheetView zoomScale="36" zoomScaleNormal="25" workbookViewId="0">
      <selection activeCell="G5" sqref="G5:H5"/>
    </sheetView>
  </sheetViews>
  <sheetFormatPr defaultColWidth="9.140625" defaultRowHeight="15"/>
  <cols>
    <col min="1" max="3" width="2" style="10" bestFit="1" customWidth="1"/>
    <col min="4" max="4" width="2" style="10" customWidth="1"/>
    <col min="5" max="5" width="31" style="10" bestFit="1" customWidth="1"/>
    <col min="6" max="6" width="52.5703125" style="10" customWidth="1"/>
    <col min="7" max="7" width="6" style="10" bestFit="1" customWidth="1"/>
    <col min="8" max="8" width="122.7109375" style="10" customWidth="1"/>
    <col min="9" max="12" width="17" style="80" customWidth="1"/>
    <col min="13" max="13" width="78.85546875" style="80" customWidth="1"/>
    <col min="14" max="14" width="75.42578125" style="80" customWidth="1"/>
    <col min="15" max="16384" width="9.140625" style="10"/>
  </cols>
  <sheetData>
    <row r="1" spans="1:14" s="58" customFormat="1" ht="141.75" customHeight="1" thickBot="1">
      <c r="A1" s="365" t="s">
        <v>617</v>
      </c>
      <c r="B1" s="366"/>
      <c r="C1" s="366"/>
      <c r="D1" s="366"/>
      <c r="E1" s="366"/>
      <c r="F1" s="367"/>
      <c r="G1" s="368" t="s">
        <v>1560</v>
      </c>
      <c r="H1" s="369"/>
      <c r="I1" s="316" t="s">
        <v>1561</v>
      </c>
      <c r="J1" s="317"/>
      <c r="K1" s="317"/>
      <c r="L1" s="317"/>
      <c r="M1" s="317"/>
      <c r="N1" s="318"/>
    </row>
    <row r="2" spans="1:14" ht="52.15" customHeight="1" thickBot="1">
      <c r="A2" s="372" t="s">
        <v>468</v>
      </c>
      <c r="B2" s="373"/>
      <c r="C2" s="373"/>
      <c r="D2" s="374"/>
      <c r="E2" s="370" t="s">
        <v>619</v>
      </c>
      <c r="F2" s="371"/>
      <c r="G2" s="370" t="s">
        <v>620</v>
      </c>
      <c r="H2" s="371"/>
      <c r="I2" s="319" t="s">
        <v>1532</v>
      </c>
      <c r="J2" s="320"/>
      <c r="K2" s="321"/>
      <c r="L2" s="319" t="s">
        <v>1533</v>
      </c>
      <c r="M2" s="320"/>
      <c r="N2" s="321"/>
    </row>
    <row r="3" spans="1:14" ht="56.25" customHeight="1" thickBot="1">
      <c r="A3" s="372" t="s">
        <v>469</v>
      </c>
      <c r="B3" s="373"/>
      <c r="C3" s="373"/>
      <c r="D3" s="374"/>
      <c r="E3" s="370" t="s">
        <v>618</v>
      </c>
      <c r="F3" s="371"/>
      <c r="G3" s="375" t="s">
        <v>621</v>
      </c>
      <c r="H3" s="376"/>
      <c r="I3" s="322"/>
      <c r="J3" s="323"/>
      <c r="K3" s="323"/>
      <c r="L3" s="323"/>
      <c r="M3" s="323"/>
      <c r="N3" s="324"/>
    </row>
    <row r="4" spans="1:14" s="58" customFormat="1" ht="96" customHeight="1" thickBot="1">
      <c r="A4" s="346" t="s">
        <v>470</v>
      </c>
      <c r="B4" s="347"/>
      <c r="C4" s="347"/>
      <c r="D4" s="347"/>
      <c r="E4" s="347"/>
      <c r="F4" s="347"/>
      <c r="G4" s="348" t="s">
        <v>471</v>
      </c>
      <c r="H4" s="349"/>
      <c r="I4" s="154" t="s">
        <v>1565</v>
      </c>
      <c r="J4" s="154" t="s">
        <v>1566</v>
      </c>
      <c r="K4" s="154" t="s">
        <v>1567</v>
      </c>
      <c r="L4" s="155" t="s">
        <v>1568</v>
      </c>
      <c r="M4" s="81" t="s">
        <v>1534</v>
      </c>
      <c r="N4" s="71" t="s">
        <v>1535</v>
      </c>
    </row>
    <row r="5" spans="1:14" ht="150.75" customHeight="1">
      <c r="A5" s="350"/>
      <c r="B5" s="351"/>
      <c r="C5" s="351"/>
      <c r="D5" s="351"/>
      <c r="E5" s="351"/>
      <c r="F5" s="352"/>
      <c r="G5" s="350"/>
      <c r="H5" s="352"/>
      <c r="I5" s="141"/>
      <c r="J5" s="142"/>
      <c r="K5" s="142"/>
      <c r="L5" s="143"/>
      <c r="M5" s="137"/>
      <c r="N5" s="138"/>
    </row>
    <row r="6" spans="1:14" ht="150.75" customHeight="1">
      <c r="A6" s="353"/>
      <c r="B6" s="354"/>
      <c r="C6" s="354"/>
      <c r="D6" s="354"/>
      <c r="E6" s="354"/>
      <c r="F6" s="355"/>
      <c r="G6" s="353"/>
      <c r="H6" s="355"/>
      <c r="I6" s="144"/>
      <c r="J6" s="145"/>
      <c r="K6" s="145"/>
      <c r="L6" s="146"/>
      <c r="M6" s="139"/>
      <c r="N6" s="140"/>
    </row>
    <row r="7" spans="1:14" ht="150.75" customHeight="1">
      <c r="A7" s="353"/>
      <c r="B7" s="354"/>
      <c r="C7" s="354"/>
      <c r="D7" s="354"/>
      <c r="E7" s="354"/>
      <c r="F7" s="355"/>
      <c r="G7" s="353"/>
      <c r="H7" s="355"/>
      <c r="I7" s="144"/>
      <c r="J7" s="145"/>
      <c r="K7" s="145"/>
      <c r="L7" s="146"/>
      <c r="M7" s="139"/>
      <c r="N7" s="140"/>
    </row>
    <row r="8" spans="1:14" ht="150.75" customHeight="1">
      <c r="A8" s="353"/>
      <c r="B8" s="354"/>
      <c r="C8" s="354"/>
      <c r="D8" s="354"/>
      <c r="E8" s="354"/>
      <c r="F8" s="355"/>
      <c r="G8" s="353"/>
      <c r="H8" s="355"/>
      <c r="I8" s="144"/>
      <c r="J8" s="145"/>
      <c r="K8" s="145"/>
      <c r="L8" s="146"/>
      <c r="M8" s="139"/>
      <c r="N8" s="140"/>
    </row>
    <row r="9" spans="1:14" ht="150.75" customHeight="1">
      <c r="A9" s="353"/>
      <c r="B9" s="354"/>
      <c r="C9" s="354"/>
      <c r="D9" s="354"/>
      <c r="E9" s="354"/>
      <c r="F9" s="355"/>
      <c r="G9" s="353"/>
      <c r="H9" s="355"/>
      <c r="I9" s="144"/>
      <c r="J9" s="145"/>
      <c r="K9" s="145"/>
      <c r="L9" s="146"/>
      <c r="M9" s="139"/>
      <c r="N9" s="140"/>
    </row>
    <row r="10" spans="1:14" ht="150.75" customHeight="1">
      <c r="A10" s="353"/>
      <c r="B10" s="354"/>
      <c r="C10" s="354"/>
      <c r="D10" s="354"/>
      <c r="E10" s="354"/>
      <c r="F10" s="355"/>
      <c r="G10" s="353"/>
      <c r="H10" s="355"/>
      <c r="I10" s="144"/>
      <c r="J10" s="145"/>
      <c r="K10" s="145"/>
      <c r="L10" s="146"/>
      <c r="M10" s="139"/>
      <c r="N10" s="140"/>
    </row>
    <row r="11" spans="1:14" ht="150.75" customHeight="1">
      <c r="A11" s="353"/>
      <c r="B11" s="354"/>
      <c r="C11" s="354"/>
      <c r="D11" s="354"/>
      <c r="E11" s="354"/>
      <c r="F11" s="355"/>
      <c r="G11" s="353"/>
      <c r="H11" s="355"/>
      <c r="I11" s="144"/>
      <c r="J11" s="145"/>
      <c r="K11" s="145"/>
      <c r="L11" s="146"/>
      <c r="M11" s="139"/>
      <c r="N11" s="140"/>
    </row>
    <row r="12" spans="1:14" ht="150.75" customHeight="1">
      <c r="A12" s="353"/>
      <c r="B12" s="354"/>
      <c r="C12" s="354"/>
      <c r="D12" s="354"/>
      <c r="E12" s="354"/>
      <c r="F12" s="355"/>
      <c r="G12" s="353"/>
      <c r="H12" s="355"/>
      <c r="I12" s="144"/>
      <c r="J12" s="145"/>
      <c r="K12" s="145"/>
      <c r="L12" s="146"/>
      <c r="M12" s="139"/>
      <c r="N12" s="140"/>
    </row>
    <row r="13" spans="1:14" ht="150.75" customHeight="1">
      <c r="A13" s="353"/>
      <c r="B13" s="354"/>
      <c r="C13" s="354"/>
      <c r="D13" s="354"/>
      <c r="E13" s="354"/>
      <c r="F13" s="355"/>
      <c r="G13" s="353"/>
      <c r="H13" s="355"/>
      <c r="I13" s="144"/>
      <c r="J13" s="145"/>
      <c r="K13" s="145"/>
      <c r="L13" s="146"/>
      <c r="M13" s="139"/>
      <c r="N13" s="140"/>
    </row>
    <row r="14" spans="1:14" ht="150.75" customHeight="1">
      <c r="A14" s="353"/>
      <c r="B14" s="354"/>
      <c r="C14" s="354"/>
      <c r="D14" s="354"/>
      <c r="E14" s="354"/>
      <c r="F14" s="355"/>
      <c r="G14" s="353"/>
      <c r="H14" s="355"/>
      <c r="I14" s="144"/>
      <c r="J14" s="145"/>
      <c r="K14" s="145"/>
      <c r="L14" s="146"/>
      <c r="M14" s="139"/>
      <c r="N14" s="140"/>
    </row>
    <row r="15" spans="1:14" ht="150.75" customHeight="1">
      <c r="A15" s="353"/>
      <c r="B15" s="354"/>
      <c r="C15" s="354"/>
      <c r="D15" s="354"/>
      <c r="E15" s="354"/>
      <c r="F15" s="355"/>
      <c r="G15" s="353"/>
      <c r="H15" s="355"/>
      <c r="I15" s="144"/>
      <c r="J15" s="145"/>
      <c r="K15" s="145"/>
      <c r="L15" s="146"/>
      <c r="M15" s="139"/>
      <c r="N15" s="140"/>
    </row>
    <row r="16" spans="1:14" ht="150.75" customHeight="1">
      <c r="A16" s="353"/>
      <c r="B16" s="354"/>
      <c r="C16" s="354"/>
      <c r="D16" s="354"/>
      <c r="E16" s="354"/>
      <c r="F16" s="355"/>
      <c r="G16" s="353"/>
      <c r="H16" s="355"/>
      <c r="I16" s="144"/>
      <c r="J16" s="145"/>
      <c r="K16" s="145"/>
      <c r="L16" s="146"/>
      <c r="M16" s="139"/>
      <c r="N16" s="140"/>
    </row>
    <row r="17" spans="1:14" ht="150.75" customHeight="1">
      <c r="A17" s="353"/>
      <c r="B17" s="354"/>
      <c r="C17" s="354"/>
      <c r="D17" s="354"/>
      <c r="E17" s="354"/>
      <c r="F17" s="355"/>
      <c r="G17" s="353"/>
      <c r="H17" s="355"/>
      <c r="I17" s="144"/>
      <c r="J17" s="145"/>
      <c r="K17" s="145"/>
      <c r="L17" s="146"/>
      <c r="M17" s="139"/>
      <c r="N17" s="140"/>
    </row>
    <row r="18" spans="1:14" ht="150.75" customHeight="1">
      <c r="A18" s="353"/>
      <c r="B18" s="354"/>
      <c r="C18" s="354"/>
      <c r="D18" s="354"/>
      <c r="E18" s="354"/>
      <c r="F18" s="355"/>
      <c r="G18" s="353"/>
      <c r="H18" s="355"/>
      <c r="I18" s="144"/>
      <c r="J18" s="145"/>
      <c r="K18" s="145"/>
      <c r="L18" s="146"/>
      <c r="M18" s="139"/>
      <c r="N18" s="140"/>
    </row>
    <row r="19" spans="1:14" ht="150.75" customHeight="1">
      <c r="A19" s="353"/>
      <c r="B19" s="354"/>
      <c r="C19" s="354"/>
      <c r="D19" s="354"/>
      <c r="E19" s="354"/>
      <c r="F19" s="355"/>
      <c r="G19" s="353"/>
      <c r="H19" s="355"/>
      <c r="I19" s="144"/>
      <c r="J19" s="145"/>
      <c r="K19" s="145"/>
      <c r="L19" s="146"/>
      <c r="M19" s="139"/>
      <c r="N19" s="140"/>
    </row>
    <row r="20" spans="1:14" ht="150.75" customHeight="1">
      <c r="A20" s="353"/>
      <c r="B20" s="354"/>
      <c r="C20" s="354"/>
      <c r="D20" s="354"/>
      <c r="E20" s="354"/>
      <c r="F20" s="355"/>
      <c r="G20" s="353"/>
      <c r="H20" s="355"/>
      <c r="I20" s="144"/>
      <c r="J20" s="145"/>
      <c r="K20" s="145"/>
      <c r="L20" s="146"/>
      <c r="M20" s="139"/>
      <c r="N20" s="140"/>
    </row>
    <row r="21" spans="1:14" ht="150.75" customHeight="1">
      <c r="A21" s="353"/>
      <c r="B21" s="354"/>
      <c r="C21" s="354"/>
      <c r="D21" s="354"/>
      <c r="E21" s="354"/>
      <c r="F21" s="355"/>
      <c r="G21" s="353"/>
      <c r="H21" s="355"/>
      <c r="I21" s="144"/>
      <c r="J21" s="145"/>
      <c r="K21" s="145"/>
      <c r="L21" s="146"/>
      <c r="M21" s="139"/>
      <c r="N21" s="140"/>
    </row>
    <row r="22" spans="1:14" ht="150.75" customHeight="1">
      <c r="A22" s="353"/>
      <c r="B22" s="354"/>
      <c r="C22" s="354"/>
      <c r="D22" s="354"/>
      <c r="E22" s="354"/>
      <c r="F22" s="355"/>
      <c r="G22" s="353"/>
      <c r="H22" s="355"/>
      <c r="I22" s="144"/>
      <c r="J22" s="145"/>
      <c r="K22" s="145"/>
      <c r="L22" s="146"/>
      <c r="M22" s="139"/>
      <c r="N22" s="140"/>
    </row>
    <row r="23" spans="1:14" ht="150.75" customHeight="1">
      <c r="A23" s="353"/>
      <c r="B23" s="354"/>
      <c r="C23" s="354"/>
      <c r="D23" s="354"/>
      <c r="E23" s="354"/>
      <c r="F23" s="355"/>
      <c r="G23" s="353"/>
      <c r="H23" s="355"/>
      <c r="I23" s="144"/>
      <c r="J23" s="145"/>
      <c r="K23" s="145"/>
      <c r="L23" s="146"/>
      <c r="M23" s="139"/>
      <c r="N23" s="140"/>
    </row>
    <row r="24" spans="1:14" ht="150.75" customHeight="1" thickBot="1">
      <c r="A24" s="359"/>
      <c r="B24" s="364"/>
      <c r="C24" s="364"/>
      <c r="D24" s="364"/>
      <c r="E24" s="364"/>
      <c r="F24" s="360"/>
      <c r="G24" s="359"/>
      <c r="H24" s="360"/>
      <c r="I24" s="147"/>
      <c r="J24" s="148"/>
      <c r="K24" s="148"/>
      <c r="L24" s="149"/>
      <c r="M24" s="152"/>
      <c r="N24" s="153"/>
    </row>
    <row r="25" spans="1:14" ht="127.15" customHeight="1" thickBot="1">
      <c r="A25" s="361" t="s">
        <v>1571</v>
      </c>
      <c r="B25" s="362"/>
      <c r="C25" s="362"/>
      <c r="D25" s="362"/>
      <c r="E25" s="362"/>
      <c r="F25" s="362"/>
      <c r="G25" s="362"/>
      <c r="H25" s="363"/>
      <c r="I25" s="154" t="s">
        <v>1565</v>
      </c>
      <c r="J25" s="154" t="s">
        <v>1566</v>
      </c>
      <c r="K25" s="154" t="s">
        <v>1567</v>
      </c>
      <c r="L25" s="155" t="s">
        <v>1568</v>
      </c>
      <c r="M25" s="81" t="s">
        <v>1534</v>
      </c>
      <c r="N25" s="81" t="s">
        <v>1535</v>
      </c>
    </row>
    <row r="26" spans="1:14" s="61" customFormat="1" ht="35.25" customHeight="1">
      <c r="A26" s="325"/>
      <c r="B26" s="326"/>
      <c r="C26" s="326"/>
      <c r="D26" s="326"/>
      <c r="E26" s="327"/>
      <c r="F26" s="325"/>
      <c r="G26" s="162"/>
      <c r="H26" s="163"/>
      <c r="I26" s="310"/>
      <c r="J26" s="310"/>
      <c r="K26" s="310"/>
      <c r="L26" s="310"/>
      <c r="M26" s="313"/>
      <c r="N26" s="304"/>
    </row>
    <row r="27" spans="1:14" s="61" customFormat="1" ht="35.25" customHeight="1">
      <c r="A27" s="328"/>
      <c r="B27" s="329"/>
      <c r="C27" s="329"/>
      <c r="D27" s="329"/>
      <c r="E27" s="330"/>
      <c r="F27" s="328"/>
      <c r="G27" s="164"/>
      <c r="H27" s="165"/>
      <c r="I27" s="311"/>
      <c r="J27" s="311"/>
      <c r="K27" s="311"/>
      <c r="L27" s="311"/>
      <c r="M27" s="314"/>
      <c r="N27" s="305"/>
    </row>
    <row r="28" spans="1:14" s="61" customFormat="1" ht="35.25" customHeight="1">
      <c r="A28" s="328"/>
      <c r="B28" s="329"/>
      <c r="C28" s="329"/>
      <c r="D28" s="329"/>
      <c r="E28" s="330"/>
      <c r="F28" s="328"/>
      <c r="G28" s="164"/>
      <c r="H28" s="165"/>
      <c r="I28" s="311"/>
      <c r="J28" s="311"/>
      <c r="K28" s="311"/>
      <c r="L28" s="311"/>
      <c r="M28" s="314"/>
      <c r="N28" s="305"/>
    </row>
    <row r="29" spans="1:14" s="61" customFormat="1" ht="35.25" customHeight="1">
      <c r="A29" s="328"/>
      <c r="B29" s="329"/>
      <c r="C29" s="329"/>
      <c r="D29" s="329"/>
      <c r="E29" s="330"/>
      <c r="F29" s="328"/>
      <c r="G29" s="164"/>
      <c r="H29" s="165"/>
      <c r="I29" s="311"/>
      <c r="J29" s="311"/>
      <c r="K29" s="311"/>
      <c r="L29" s="311"/>
      <c r="M29" s="314"/>
      <c r="N29" s="305"/>
    </row>
    <row r="30" spans="1:14" s="61" customFormat="1" ht="35.25" customHeight="1">
      <c r="A30" s="328"/>
      <c r="B30" s="329"/>
      <c r="C30" s="329"/>
      <c r="D30" s="329"/>
      <c r="E30" s="330"/>
      <c r="F30" s="328"/>
      <c r="G30" s="164"/>
      <c r="H30" s="165"/>
      <c r="I30" s="311"/>
      <c r="J30" s="311"/>
      <c r="K30" s="311"/>
      <c r="L30" s="311"/>
      <c r="M30" s="314"/>
      <c r="N30" s="305"/>
    </row>
    <row r="31" spans="1:14" s="61" customFormat="1" ht="35.25" customHeight="1">
      <c r="A31" s="328"/>
      <c r="B31" s="329"/>
      <c r="C31" s="329"/>
      <c r="D31" s="329"/>
      <c r="E31" s="330"/>
      <c r="F31" s="328"/>
      <c r="G31" s="164"/>
      <c r="H31" s="165"/>
      <c r="I31" s="311"/>
      <c r="J31" s="311"/>
      <c r="K31" s="311"/>
      <c r="L31" s="311"/>
      <c r="M31" s="314"/>
      <c r="N31" s="305"/>
    </row>
    <row r="32" spans="1:14" s="61" customFormat="1" ht="35.25" customHeight="1">
      <c r="A32" s="328"/>
      <c r="B32" s="329"/>
      <c r="C32" s="329"/>
      <c r="D32" s="329"/>
      <c r="E32" s="330"/>
      <c r="F32" s="328"/>
      <c r="G32" s="164"/>
      <c r="H32" s="165"/>
      <c r="I32" s="311"/>
      <c r="J32" s="311"/>
      <c r="K32" s="311"/>
      <c r="L32" s="311"/>
      <c r="M32" s="314"/>
      <c r="N32" s="305"/>
    </row>
    <row r="33" spans="1:14" s="61" customFormat="1" ht="35.25" customHeight="1">
      <c r="A33" s="328"/>
      <c r="B33" s="329"/>
      <c r="C33" s="329"/>
      <c r="D33" s="329"/>
      <c r="E33" s="330"/>
      <c r="F33" s="328"/>
      <c r="G33" s="164"/>
      <c r="H33" s="165"/>
      <c r="I33" s="311"/>
      <c r="J33" s="311"/>
      <c r="K33" s="311"/>
      <c r="L33" s="311"/>
      <c r="M33" s="314"/>
      <c r="N33" s="305"/>
    </row>
    <row r="34" spans="1:14" s="61" customFormat="1" ht="35.25" customHeight="1">
      <c r="A34" s="328"/>
      <c r="B34" s="329"/>
      <c r="C34" s="329"/>
      <c r="D34" s="329"/>
      <c r="E34" s="330"/>
      <c r="F34" s="328"/>
      <c r="G34" s="164"/>
      <c r="H34" s="165"/>
      <c r="I34" s="311"/>
      <c r="J34" s="311"/>
      <c r="K34" s="311"/>
      <c r="L34" s="311"/>
      <c r="M34" s="314"/>
      <c r="N34" s="305"/>
    </row>
    <row r="35" spans="1:14" s="61" customFormat="1" ht="35.25" customHeight="1" thickBot="1">
      <c r="A35" s="331"/>
      <c r="B35" s="332"/>
      <c r="C35" s="332"/>
      <c r="D35" s="332"/>
      <c r="E35" s="333"/>
      <c r="F35" s="331"/>
      <c r="G35" s="166"/>
      <c r="H35" s="167"/>
      <c r="I35" s="312"/>
      <c r="J35" s="312"/>
      <c r="K35" s="312"/>
      <c r="L35" s="312"/>
      <c r="M35" s="315"/>
      <c r="N35" s="306"/>
    </row>
    <row r="36" spans="1:14" s="61" customFormat="1" ht="35.25" customHeight="1">
      <c r="A36" s="325"/>
      <c r="B36" s="326"/>
      <c r="C36" s="326"/>
      <c r="D36" s="326"/>
      <c r="E36" s="327"/>
      <c r="F36" s="334"/>
      <c r="G36" s="162"/>
      <c r="H36" s="163"/>
      <c r="I36" s="310"/>
      <c r="J36" s="310"/>
      <c r="K36" s="310"/>
      <c r="L36" s="310"/>
      <c r="M36" s="313"/>
      <c r="N36" s="304"/>
    </row>
    <row r="37" spans="1:14" s="61" customFormat="1" ht="35.25" customHeight="1">
      <c r="A37" s="328"/>
      <c r="B37" s="329"/>
      <c r="C37" s="329"/>
      <c r="D37" s="329"/>
      <c r="E37" s="330"/>
      <c r="F37" s="335"/>
      <c r="G37" s="164"/>
      <c r="H37" s="165"/>
      <c r="I37" s="311"/>
      <c r="J37" s="311"/>
      <c r="K37" s="311"/>
      <c r="L37" s="311"/>
      <c r="M37" s="314"/>
      <c r="N37" s="305"/>
    </row>
    <row r="38" spans="1:14" s="61" customFormat="1" ht="35.25" customHeight="1">
      <c r="A38" s="328"/>
      <c r="B38" s="329"/>
      <c r="C38" s="329"/>
      <c r="D38" s="329"/>
      <c r="E38" s="330"/>
      <c r="F38" s="335"/>
      <c r="G38" s="164"/>
      <c r="H38" s="165"/>
      <c r="I38" s="311"/>
      <c r="J38" s="311"/>
      <c r="K38" s="311"/>
      <c r="L38" s="311"/>
      <c r="M38" s="314"/>
      <c r="N38" s="305"/>
    </row>
    <row r="39" spans="1:14" s="61" customFormat="1" ht="35.25" customHeight="1">
      <c r="A39" s="328"/>
      <c r="B39" s="329"/>
      <c r="C39" s="329"/>
      <c r="D39" s="329"/>
      <c r="E39" s="330"/>
      <c r="F39" s="335"/>
      <c r="G39" s="164"/>
      <c r="H39" s="165"/>
      <c r="I39" s="311"/>
      <c r="J39" s="311"/>
      <c r="K39" s="311"/>
      <c r="L39" s="311"/>
      <c r="M39" s="314"/>
      <c r="N39" s="305"/>
    </row>
    <row r="40" spans="1:14" s="61" customFormat="1" ht="35.25" customHeight="1">
      <c r="A40" s="328"/>
      <c r="B40" s="329"/>
      <c r="C40" s="329"/>
      <c r="D40" s="329"/>
      <c r="E40" s="330"/>
      <c r="F40" s="335"/>
      <c r="G40" s="164"/>
      <c r="H40" s="165"/>
      <c r="I40" s="311"/>
      <c r="J40" s="311"/>
      <c r="K40" s="311"/>
      <c r="L40" s="311"/>
      <c r="M40" s="314"/>
      <c r="N40" s="305"/>
    </row>
    <row r="41" spans="1:14" s="61" customFormat="1" ht="35.25" customHeight="1">
      <c r="A41" s="328"/>
      <c r="B41" s="329"/>
      <c r="C41" s="329"/>
      <c r="D41" s="329"/>
      <c r="E41" s="330"/>
      <c r="F41" s="335"/>
      <c r="G41" s="164"/>
      <c r="H41" s="165"/>
      <c r="I41" s="311"/>
      <c r="J41" s="311"/>
      <c r="K41" s="311"/>
      <c r="L41" s="311"/>
      <c r="M41" s="314"/>
      <c r="N41" s="305"/>
    </row>
    <row r="42" spans="1:14" s="61" customFormat="1" ht="35.25" customHeight="1">
      <c r="A42" s="328"/>
      <c r="B42" s="329"/>
      <c r="C42" s="329"/>
      <c r="D42" s="329"/>
      <c r="E42" s="330"/>
      <c r="F42" s="335"/>
      <c r="G42" s="164"/>
      <c r="H42" s="165"/>
      <c r="I42" s="311"/>
      <c r="J42" s="311"/>
      <c r="K42" s="311"/>
      <c r="L42" s="311"/>
      <c r="M42" s="314"/>
      <c r="N42" s="305"/>
    </row>
    <row r="43" spans="1:14" s="61" customFormat="1" ht="35.25" customHeight="1">
      <c r="A43" s="328"/>
      <c r="B43" s="329"/>
      <c r="C43" s="329"/>
      <c r="D43" s="329"/>
      <c r="E43" s="330"/>
      <c r="F43" s="335"/>
      <c r="G43" s="164"/>
      <c r="H43" s="165"/>
      <c r="I43" s="311"/>
      <c r="J43" s="311"/>
      <c r="K43" s="311"/>
      <c r="L43" s="311"/>
      <c r="M43" s="314"/>
      <c r="N43" s="305"/>
    </row>
    <row r="44" spans="1:14" s="61" customFormat="1" ht="35.25" customHeight="1">
      <c r="A44" s="328"/>
      <c r="B44" s="329"/>
      <c r="C44" s="329"/>
      <c r="D44" s="329"/>
      <c r="E44" s="330"/>
      <c r="F44" s="335"/>
      <c r="G44" s="164"/>
      <c r="H44" s="165"/>
      <c r="I44" s="311"/>
      <c r="J44" s="311"/>
      <c r="K44" s="311"/>
      <c r="L44" s="311"/>
      <c r="M44" s="314"/>
      <c r="N44" s="305"/>
    </row>
    <row r="45" spans="1:14" s="61" customFormat="1" ht="35.25" customHeight="1" thickBot="1">
      <c r="A45" s="331"/>
      <c r="B45" s="332"/>
      <c r="C45" s="332"/>
      <c r="D45" s="332"/>
      <c r="E45" s="333"/>
      <c r="F45" s="336"/>
      <c r="G45" s="166"/>
      <c r="H45" s="167"/>
      <c r="I45" s="312"/>
      <c r="J45" s="312"/>
      <c r="K45" s="312"/>
      <c r="L45" s="312"/>
      <c r="M45" s="315"/>
      <c r="N45" s="306"/>
    </row>
    <row r="46" spans="1:14" s="61" customFormat="1" ht="35.25" customHeight="1">
      <c r="A46" s="325"/>
      <c r="B46" s="326"/>
      <c r="C46" s="326"/>
      <c r="D46" s="326"/>
      <c r="E46" s="327"/>
      <c r="F46" s="334"/>
      <c r="G46" s="162"/>
      <c r="H46" s="163"/>
      <c r="I46" s="310"/>
      <c r="J46" s="310"/>
      <c r="K46" s="310"/>
      <c r="L46" s="310"/>
      <c r="M46" s="313"/>
      <c r="N46" s="304"/>
    </row>
    <row r="47" spans="1:14" s="61" customFormat="1" ht="35.25" customHeight="1">
      <c r="A47" s="328"/>
      <c r="B47" s="329"/>
      <c r="C47" s="329"/>
      <c r="D47" s="329"/>
      <c r="E47" s="330"/>
      <c r="F47" s="335"/>
      <c r="G47" s="164"/>
      <c r="H47" s="165"/>
      <c r="I47" s="311"/>
      <c r="J47" s="311"/>
      <c r="K47" s="311"/>
      <c r="L47" s="311"/>
      <c r="M47" s="314"/>
      <c r="N47" s="305"/>
    </row>
    <row r="48" spans="1:14" s="61" customFormat="1" ht="35.25" customHeight="1">
      <c r="A48" s="328"/>
      <c r="B48" s="329"/>
      <c r="C48" s="329"/>
      <c r="D48" s="329"/>
      <c r="E48" s="330"/>
      <c r="F48" s="335"/>
      <c r="G48" s="164"/>
      <c r="H48" s="165"/>
      <c r="I48" s="311"/>
      <c r="J48" s="311"/>
      <c r="K48" s="311"/>
      <c r="L48" s="311"/>
      <c r="M48" s="314"/>
      <c r="N48" s="305"/>
    </row>
    <row r="49" spans="1:14" s="61" customFormat="1" ht="35.25" customHeight="1">
      <c r="A49" s="328"/>
      <c r="B49" s="329"/>
      <c r="C49" s="329"/>
      <c r="D49" s="329"/>
      <c r="E49" s="330"/>
      <c r="F49" s="335"/>
      <c r="G49" s="164"/>
      <c r="H49" s="165"/>
      <c r="I49" s="311"/>
      <c r="J49" s="311"/>
      <c r="K49" s="311"/>
      <c r="L49" s="311"/>
      <c r="M49" s="314"/>
      <c r="N49" s="305"/>
    </row>
    <row r="50" spans="1:14" s="61" customFormat="1" ht="35.25" customHeight="1">
      <c r="A50" s="328"/>
      <c r="B50" s="329"/>
      <c r="C50" s="329"/>
      <c r="D50" s="329"/>
      <c r="E50" s="330"/>
      <c r="F50" s="335"/>
      <c r="G50" s="164"/>
      <c r="H50" s="165"/>
      <c r="I50" s="311"/>
      <c r="J50" s="311"/>
      <c r="K50" s="311"/>
      <c r="L50" s="311"/>
      <c r="M50" s="314"/>
      <c r="N50" s="305"/>
    </row>
    <row r="51" spans="1:14" s="61" customFormat="1" ht="35.25" customHeight="1">
      <c r="A51" s="328"/>
      <c r="B51" s="329"/>
      <c r="C51" s="329"/>
      <c r="D51" s="329"/>
      <c r="E51" s="330"/>
      <c r="F51" s="335"/>
      <c r="G51" s="164"/>
      <c r="H51" s="165"/>
      <c r="I51" s="311"/>
      <c r="J51" s="311"/>
      <c r="K51" s="311"/>
      <c r="L51" s="311"/>
      <c r="M51" s="314"/>
      <c r="N51" s="305"/>
    </row>
    <row r="52" spans="1:14" s="61" customFormat="1" ht="35.25" customHeight="1">
      <c r="A52" s="328"/>
      <c r="B52" s="329"/>
      <c r="C52" s="329"/>
      <c r="D52" s="329"/>
      <c r="E52" s="330"/>
      <c r="F52" s="335"/>
      <c r="G52" s="164"/>
      <c r="H52" s="165"/>
      <c r="I52" s="311"/>
      <c r="J52" s="311"/>
      <c r="K52" s="311"/>
      <c r="L52" s="311"/>
      <c r="M52" s="314"/>
      <c r="N52" s="305"/>
    </row>
    <row r="53" spans="1:14" s="61" customFormat="1" ht="35.25" customHeight="1">
      <c r="A53" s="328"/>
      <c r="B53" s="329"/>
      <c r="C53" s="329"/>
      <c r="D53" s="329"/>
      <c r="E53" s="330"/>
      <c r="F53" s="335"/>
      <c r="G53" s="164"/>
      <c r="H53" s="165"/>
      <c r="I53" s="311"/>
      <c r="J53" s="311"/>
      <c r="K53" s="311"/>
      <c r="L53" s="311"/>
      <c r="M53" s="314"/>
      <c r="N53" s="305"/>
    </row>
    <row r="54" spans="1:14" s="61" customFormat="1" ht="35.25" customHeight="1">
      <c r="A54" s="328"/>
      <c r="B54" s="329"/>
      <c r="C54" s="329"/>
      <c r="D54" s="329"/>
      <c r="E54" s="330"/>
      <c r="F54" s="335"/>
      <c r="G54" s="164"/>
      <c r="H54" s="165"/>
      <c r="I54" s="311"/>
      <c r="J54" s="311"/>
      <c r="K54" s="311"/>
      <c r="L54" s="311"/>
      <c r="M54" s="314"/>
      <c r="N54" s="305"/>
    </row>
    <row r="55" spans="1:14" s="61" customFormat="1" ht="35.25" customHeight="1" thickBot="1">
      <c r="A55" s="331"/>
      <c r="B55" s="332"/>
      <c r="C55" s="332"/>
      <c r="D55" s="332"/>
      <c r="E55" s="333"/>
      <c r="F55" s="336"/>
      <c r="G55" s="166"/>
      <c r="H55" s="167"/>
      <c r="I55" s="312"/>
      <c r="J55" s="312"/>
      <c r="K55" s="312"/>
      <c r="L55" s="312"/>
      <c r="M55" s="315"/>
      <c r="N55" s="306"/>
    </row>
    <row r="56" spans="1:14" ht="35.25" customHeight="1">
      <c r="A56" s="325"/>
      <c r="B56" s="326"/>
      <c r="C56" s="326"/>
      <c r="D56" s="326"/>
      <c r="E56" s="327"/>
      <c r="F56" s="334"/>
      <c r="G56" s="162"/>
      <c r="H56" s="163"/>
      <c r="I56" s="310"/>
      <c r="J56" s="310"/>
      <c r="K56" s="310"/>
      <c r="L56" s="310"/>
      <c r="M56" s="313"/>
      <c r="N56" s="304"/>
    </row>
    <row r="57" spans="1:14" ht="35.25" customHeight="1">
      <c r="A57" s="328"/>
      <c r="B57" s="329"/>
      <c r="C57" s="329"/>
      <c r="D57" s="329"/>
      <c r="E57" s="330"/>
      <c r="F57" s="335"/>
      <c r="G57" s="164"/>
      <c r="H57" s="165"/>
      <c r="I57" s="311"/>
      <c r="J57" s="311"/>
      <c r="K57" s="311"/>
      <c r="L57" s="311"/>
      <c r="M57" s="314"/>
      <c r="N57" s="305"/>
    </row>
    <row r="58" spans="1:14" ht="35.25" customHeight="1">
      <c r="A58" s="328"/>
      <c r="B58" s="329"/>
      <c r="C58" s="329"/>
      <c r="D58" s="329"/>
      <c r="E58" s="330"/>
      <c r="F58" s="335"/>
      <c r="G58" s="164"/>
      <c r="H58" s="165"/>
      <c r="I58" s="311"/>
      <c r="J58" s="311"/>
      <c r="K58" s="311"/>
      <c r="L58" s="311"/>
      <c r="M58" s="314"/>
      <c r="N58" s="305"/>
    </row>
    <row r="59" spans="1:14" ht="35.25" customHeight="1">
      <c r="A59" s="328"/>
      <c r="B59" s="329"/>
      <c r="C59" s="329"/>
      <c r="D59" s="329"/>
      <c r="E59" s="330"/>
      <c r="F59" s="335"/>
      <c r="G59" s="164"/>
      <c r="H59" s="165"/>
      <c r="I59" s="311"/>
      <c r="J59" s="311"/>
      <c r="K59" s="311"/>
      <c r="L59" s="311"/>
      <c r="M59" s="314"/>
      <c r="N59" s="305"/>
    </row>
    <row r="60" spans="1:14" ht="35.25" customHeight="1">
      <c r="A60" s="328"/>
      <c r="B60" s="329"/>
      <c r="C60" s="329"/>
      <c r="D60" s="329"/>
      <c r="E60" s="330"/>
      <c r="F60" s="335"/>
      <c r="G60" s="164"/>
      <c r="H60" s="165"/>
      <c r="I60" s="311"/>
      <c r="J60" s="311"/>
      <c r="K60" s="311"/>
      <c r="L60" s="311"/>
      <c r="M60" s="314"/>
      <c r="N60" s="305"/>
    </row>
    <row r="61" spans="1:14" ht="35.25" customHeight="1">
      <c r="A61" s="328"/>
      <c r="B61" s="329"/>
      <c r="C61" s="329"/>
      <c r="D61" s="329"/>
      <c r="E61" s="330"/>
      <c r="F61" s="335"/>
      <c r="G61" s="164"/>
      <c r="H61" s="165"/>
      <c r="I61" s="311"/>
      <c r="J61" s="311"/>
      <c r="K61" s="311"/>
      <c r="L61" s="311"/>
      <c r="M61" s="314"/>
      <c r="N61" s="305"/>
    </row>
    <row r="62" spans="1:14" ht="35.25" customHeight="1">
      <c r="A62" s="328"/>
      <c r="B62" s="329"/>
      <c r="C62" s="329"/>
      <c r="D62" s="329"/>
      <c r="E62" s="330"/>
      <c r="F62" s="335"/>
      <c r="G62" s="164"/>
      <c r="H62" s="165"/>
      <c r="I62" s="311"/>
      <c r="J62" s="311"/>
      <c r="K62" s="311"/>
      <c r="L62" s="311"/>
      <c r="M62" s="314"/>
      <c r="N62" s="305"/>
    </row>
    <row r="63" spans="1:14" ht="35.25" customHeight="1">
      <c r="A63" s="328"/>
      <c r="B63" s="329"/>
      <c r="C63" s="329"/>
      <c r="D63" s="329"/>
      <c r="E63" s="330"/>
      <c r="F63" s="335"/>
      <c r="G63" s="164"/>
      <c r="H63" s="165"/>
      <c r="I63" s="311"/>
      <c r="J63" s="311"/>
      <c r="K63" s="311"/>
      <c r="L63" s="311"/>
      <c r="M63" s="314"/>
      <c r="N63" s="305"/>
    </row>
    <row r="64" spans="1:14" ht="35.25" customHeight="1">
      <c r="A64" s="328"/>
      <c r="B64" s="329"/>
      <c r="C64" s="329"/>
      <c r="D64" s="329"/>
      <c r="E64" s="330"/>
      <c r="F64" s="335"/>
      <c r="G64" s="164"/>
      <c r="H64" s="165"/>
      <c r="I64" s="311"/>
      <c r="J64" s="311"/>
      <c r="K64" s="311"/>
      <c r="L64" s="311"/>
      <c r="M64" s="314"/>
      <c r="N64" s="305"/>
    </row>
    <row r="65" spans="1:14" ht="35.25" customHeight="1" thickBot="1">
      <c r="A65" s="331"/>
      <c r="B65" s="332"/>
      <c r="C65" s="332"/>
      <c r="D65" s="332"/>
      <c r="E65" s="333"/>
      <c r="F65" s="336"/>
      <c r="G65" s="166"/>
      <c r="H65" s="167"/>
      <c r="I65" s="312"/>
      <c r="J65" s="312"/>
      <c r="K65" s="312"/>
      <c r="L65" s="312"/>
      <c r="M65" s="315"/>
      <c r="N65" s="306"/>
    </row>
    <row r="66" spans="1:14" ht="35.25" customHeight="1">
      <c r="A66" s="325"/>
      <c r="B66" s="326"/>
      <c r="C66" s="326"/>
      <c r="D66" s="326"/>
      <c r="E66" s="327"/>
      <c r="F66" s="334"/>
      <c r="G66" s="162"/>
      <c r="H66" s="163"/>
      <c r="I66" s="310"/>
      <c r="J66" s="310"/>
      <c r="K66" s="310"/>
      <c r="L66" s="310"/>
      <c r="M66" s="313"/>
      <c r="N66" s="304"/>
    </row>
    <row r="67" spans="1:14" ht="35.25" customHeight="1">
      <c r="A67" s="328"/>
      <c r="B67" s="329"/>
      <c r="C67" s="329"/>
      <c r="D67" s="329"/>
      <c r="E67" s="330"/>
      <c r="F67" s="335"/>
      <c r="G67" s="164"/>
      <c r="H67" s="165"/>
      <c r="I67" s="311"/>
      <c r="J67" s="311"/>
      <c r="K67" s="311"/>
      <c r="L67" s="311"/>
      <c r="M67" s="314"/>
      <c r="N67" s="305"/>
    </row>
    <row r="68" spans="1:14" ht="35.25" customHeight="1">
      <c r="A68" s="328"/>
      <c r="B68" s="329"/>
      <c r="C68" s="329"/>
      <c r="D68" s="329"/>
      <c r="E68" s="330"/>
      <c r="F68" s="335"/>
      <c r="G68" s="164"/>
      <c r="H68" s="165"/>
      <c r="I68" s="311"/>
      <c r="J68" s="311"/>
      <c r="K68" s="311"/>
      <c r="L68" s="311"/>
      <c r="M68" s="314"/>
      <c r="N68" s="305"/>
    </row>
    <row r="69" spans="1:14" ht="35.25" customHeight="1">
      <c r="A69" s="328"/>
      <c r="B69" s="329"/>
      <c r="C69" s="329"/>
      <c r="D69" s="329"/>
      <c r="E69" s="330"/>
      <c r="F69" s="335"/>
      <c r="G69" s="164"/>
      <c r="H69" s="165"/>
      <c r="I69" s="311"/>
      <c r="J69" s="311"/>
      <c r="K69" s="311"/>
      <c r="L69" s="311"/>
      <c r="M69" s="314"/>
      <c r="N69" s="305"/>
    </row>
    <row r="70" spans="1:14" ht="35.25" customHeight="1">
      <c r="A70" s="328"/>
      <c r="B70" s="329"/>
      <c r="C70" s="329"/>
      <c r="D70" s="329"/>
      <c r="E70" s="330"/>
      <c r="F70" s="335"/>
      <c r="G70" s="164"/>
      <c r="H70" s="165"/>
      <c r="I70" s="311"/>
      <c r="J70" s="311"/>
      <c r="K70" s="311"/>
      <c r="L70" s="311"/>
      <c r="M70" s="314"/>
      <c r="N70" s="305"/>
    </row>
    <row r="71" spans="1:14" ht="35.25" customHeight="1">
      <c r="A71" s="328"/>
      <c r="B71" s="329"/>
      <c r="C71" s="329"/>
      <c r="D71" s="329"/>
      <c r="E71" s="330"/>
      <c r="F71" s="335"/>
      <c r="G71" s="164"/>
      <c r="H71" s="165"/>
      <c r="I71" s="311"/>
      <c r="J71" s="311"/>
      <c r="K71" s="311"/>
      <c r="L71" s="311"/>
      <c r="M71" s="314"/>
      <c r="N71" s="305"/>
    </row>
    <row r="72" spans="1:14" ht="35.25" customHeight="1">
      <c r="A72" s="328"/>
      <c r="B72" s="329"/>
      <c r="C72" s="329"/>
      <c r="D72" s="329"/>
      <c r="E72" s="330"/>
      <c r="F72" s="335"/>
      <c r="G72" s="164"/>
      <c r="H72" s="165"/>
      <c r="I72" s="311"/>
      <c r="J72" s="311"/>
      <c r="K72" s="311"/>
      <c r="L72" s="311"/>
      <c r="M72" s="314"/>
      <c r="N72" s="305"/>
    </row>
    <row r="73" spans="1:14" ht="35.25" customHeight="1">
      <c r="A73" s="328"/>
      <c r="B73" s="329"/>
      <c r="C73" s="329"/>
      <c r="D73" s="329"/>
      <c r="E73" s="330"/>
      <c r="F73" s="335"/>
      <c r="G73" s="164"/>
      <c r="H73" s="165"/>
      <c r="I73" s="311"/>
      <c r="J73" s="311"/>
      <c r="K73" s="311"/>
      <c r="L73" s="311"/>
      <c r="M73" s="314"/>
      <c r="N73" s="305"/>
    </row>
    <row r="74" spans="1:14" ht="35.25" customHeight="1">
      <c r="A74" s="328"/>
      <c r="B74" s="329"/>
      <c r="C74" s="329"/>
      <c r="D74" s="329"/>
      <c r="E74" s="330"/>
      <c r="F74" s="335"/>
      <c r="G74" s="164"/>
      <c r="H74" s="165"/>
      <c r="I74" s="311"/>
      <c r="J74" s="311"/>
      <c r="K74" s="311"/>
      <c r="L74" s="311"/>
      <c r="M74" s="314"/>
      <c r="N74" s="305"/>
    </row>
    <row r="75" spans="1:14" ht="35.25" customHeight="1" thickBot="1">
      <c r="A75" s="331"/>
      <c r="B75" s="332"/>
      <c r="C75" s="332"/>
      <c r="D75" s="332"/>
      <c r="E75" s="333"/>
      <c r="F75" s="336"/>
      <c r="G75" s="166"/>
      <c r="H75" s="167"/>
      <c r="I75" s="312"/>
      <c r="J75" s="312"/>
      <c r="K75" s="312"/>
      <c r="L75" s="312"/>
      <c r="M75" s="315"/>
      <c r="N75" s="306"/>
    </row>
    <row r="76" spans="1:14" ht="35.25" customHeight="1">
      <c r="A76" s="325"/>
      <c r="B76" s="326"/>
      <c r="C76" s="326"/>
      <c r="D76" s="326"/>
      <c r="E76" s="327"/>
      <c r="F76" s="334"/>
      <c r="G76" s="162"/>
      <c r="H76" s="163"/>
      <c r="I76" s="310"/>
      <c r="J76" s="310"/>
      <c r="K76" s="310"/>
      <c r="L76" s="310"/>
      <c r="M76" s="313"/>
      <c r="N76" s="304"/>
    </row>
    <row r="77" spans="1:14" ht="35.25" customHeight="1">
      <c r="A77" s="328"/>
      <c r="B77" s="329"/>
      <c r="C77" s="329"/>
      <c r="D77" s="329"/>
      <c r="E77" s="330"/>
      <c r="F77" s="335"/>
      <c r="G77" s="164"/>
      <c r="H77" s="165"/>
      <c r="I77" s="311"/>
      <c r="J77" s="311"/>
      <c r="K77" s="311"/>
      <c r="L77" s="311"/>
      <c r="M77" s="314"/>
      <c r="N77" s="305"/>
    </row>
    <row r="78" spans="1:14" ht="35.25" customHeight="1">
      <c r="A78" s="328"/>
      <c r="B78" s="329"/>
      <c r="C78" s="329"/>
      <c r="D78" s="329"/>
      <c r="E78" s="330"/>
      <c r="F78" s="335"/>
      <c r="G78" s="164"/>
      <c r="H78" s="165"/>
      <c r="I78" s="311"/>
      <c r="J78" s="311"/>
      <c r="K78" s="311"/>
      <c r="L78" s="311"/>
      <c r="M78" s="314"/>
      <c r="N78" s="305"/>
    </row>
    <row r="79" spans="1:14" ht="35.25" customHeight="1">
      <c r="A79" s="328"/>
      <c r="B79" s="329"/>
      <c r="C79" s="329"/>
      <c r="D79" s="329"/>
      <c r="E79" s="330"/>
      <c r="F79" s="335"/>
      <c r="G79" s="164"/>
      <c r="H79" s="165"/>
      <c r="I79" s="311"/>
      <c r="J79" s="311"/>
      <c r="K79" s="311"/>
      <c r="L79" s="311"/>
      <c r="M79" s="314"/>
      <c r="N79" s="305"/>
    </row>
    <row r="80" spans="1:14" ht="35.25" customHeight="1">
      <c r="A80" s="328"/>
      <c r="B80" s="329"/>
      <c r="C80" s="329"/>
      <c r="D80" s="329"/>
      <c r="E80" s="330"/>
      <c r="F80" s="335"/>
      <c r="G80" s="164"/>
      <c r="H80" s="165"/>
      <c r="I80" s="311"/>
      <c r="J80" s="311"/>
      <c r="K80" s="311"/>
      <c r="L80" s="311"/>
      <c r="M80" s="314"/>
      <c r="N80" s="305"/>
    </row>
    <row r="81" spans="1:14" ht="35.25" customHeight="1">
      <c r="A81" s="328"/>
      <c r="B81" s="329"/>
      <c r="C81" s="329"/>
      <c r="D81" s="329"/>
      <c r="E81" s="330"/>
      <c r="F81" s="335"/>
      <c r="G81" s="164"/>
      <c r="H81" s="165"/>
      <c r="I81" s="311"/>
      <c r="J81" s="311"/>
      <c r="K81" s="311"/>
      <c r="L81" s="311"/>
      <c r="M81" s="314"/>
      <c r="N81" s="305"/>
    </row>
    <row r="82" spans="1:14" ht="35.25" customHeight="1">
      <c r="A82" s="328"/>
      <c r="B82" s="329"/>
      <c r="C82" s="329"/>
      <c r="D82" s="329"/>
      <c r="E82" s="330"/>
      <c r="F82" s="335"/>
      <c r="G82" s="164"/>
      <c r="H82" s="165"/>
      <c r="I82" s="311"/>
      <c r="J82" s="311"/>
      <c r="K82" s="311"/>
      <c r="L82" s="311"/>
      <c r="M82" s="314"/>
      <c r="N82" s="305"/>
    </row>
    <row r="83" spans="1:14" ht="35.25" customHeight="1">
      <c r="A83" s="328"/>
      <c r="B83" s="329"/>
      <c r="C83" s="329"/>
      <c r="D83" s="329"/>
      <c r="E83" s="330"/>
      <c r="F83" s="335"/>
      <c r="G83" s="164"/>
      <c r="H83" s="165"/>
      <c r="I83" s="311"/>
      <c r="J83" s="311"/>
      <c r="K83" s="311"/>
      <c r="L83" s="311"/>
      <c r="M83" s="314"/>
      <c r="N83" s="305"/>
    </row>
    <row r="84" spans="1:14" ht="35.25" customHeight="1">
      <c r="A84" s="328"/>
      <c r="B84" s="329"/>
      <c r="C84" s="329"/>
      <c r="D84" s="329"/>
      <c r="E84" s="330"/>
      <c r="F84" s="335"/>
      <c r="G84" s="164"/>
      <c r="H84" s="165"/>
      <c r="I84" s="311"/>
      <c r="J84" s="311"/>
      <c r="K84" s="311"/>
      <c r="L84" s="311"/>
      <c r="M84" s="314"/>
      <c r="N84" s="305"/>
    </row>
    <row r="85" spans="1:14" ht="35.25" customHeight="1" thickBot="1">
      <c r="A85" s="331"/>
      <c r="B85" s="332"/>
      <c r="C85" s="332"/>
      <c r="D85" s="332"/>
      <c r="E85" s="333"/>
      <c r="F85" s="336"/>
      <c r="G85" s="166"/>
      <c r="H85" s="167"/>
      <c r="I85" s="312"/>
      <c r="J85" s="312"/>
      <c r="K85" s="312"/>
      <c r="L85" s="312"/>
      <c r="M85" s="315"/>
      <c r="N85" s="306"/>
    </row>
    <row r="86" spans="1:14" ht="35.25" customHeight="1">
      <c r="A86" s="325"/>
      <c r="B86" s="326"/>
      <c r="C86" s="326"/>
      <c r="D86" s="326"/>
      <c r="E86" s="327"/>
      <c r="F86" s="334"/>
      <c r="G86" s="162"/>
      <c r="H86" s="163"/>
      <c r="I86" s="310"/>
      <c r="J86" s="310"/>
      <c r="K86" s="310"/>
      <c r="L86" s="310"/>
      <c r="M86" s="313"/>
      <c r="N86" s="304"/>
    </row>
    <row r="87" spans="1:14" ht="35.25" customHeight="1">
      <c r="A87" s="328"/>
      <c r="B87" s="329"/>
      <c r="C87" s="329"/>
      <c r="D87" s="329"/>
      <c r="E87" s="330"/>
      <c r="F87" s="335"/>
      <c r="G87" s="164"/>
      <c r="H87" s="165"/>
      <c r="I87" s="311"/>
      <c r="J87" s="311"/>
      <c r="K87" s="311"/>
      <c r="L87" s="311"/>
      <c r="M87" s="314"/>
      <c r="N87" s="305"/>
    </row>
    <row r="88" spans="1:14" ht="35.25" customHeight="1">
      <c r="A88" s="328"/>
      <c r="B88" s="329"/>
      <c r="C88" s="329"/>
      <c r="D88" s="329"/>
      <c r="E88" s="330"/>
      <c r="F88" s="335"/>
      <c r="G88" s="164"/>
      <c r="H88" s="165"/>
      <c r="I88" s="311"/>
      <c r="J88" s="311"/>
      <c r="K88" s="311"/>
      <c r="L88" s="311"/>
      <c r="M88" s="314"/>
      <c r="N88" s="305"/>
    </row>
    <row r="89" spans="1:14" ht="35.25" customHeight="1">
      <c r="A89" s="328"/>
      <c r="B89" s="329"/>
      <c r="C89" s="329"/>
      <c r="D89" s="329"/>
      <c r="E89" s="330"/>
      <c r="F89" s="335"/>
      <c r="G89" s="164"/>
      <c r="H89" s="165"/>
      <c r="I89" s="311"/>
      <c r="J89" s="311"/>
      <c r="K89" s="311"/>
      <c r="L89" s="311"/>
      <c r="M89" s="314"/>
      <c r="N89" s="305"/>
    </row>
    <row r="90" spans="1:14" ht="35.25" customHeight="1">
      <c r="A90" s="328"/>
      <c r="B90" s="329"/>
      <c r="C90" s="329"/>
      <c r="D90" s="329"/>
      <c r="E90" s="330"/>
      <c r="F90" s="335"/>
      <c r="G90" s="164"/>
      <c r="H90" s="165"/>
      <c r="I90" s="311"/>
      <c r="J90" s="311"/>
      <c r="K90" s="311"/>
      <c r="L90" s="311"/>
      <c r="M90" s="314"/>
      <c r="N90" s="305"/>
    </row>
    <row r="91" spans="1:14" ht="35.25" customHeight="1">
      <c r="A91" s="328"/>
      <c r="B91" s="329"/>
      <c r="C91" s="329"/>
      <c r="D91" s="329"/>
      <c r="E91" s="330"/>
      <c r="F91" s="335"/>
      <c r="G91" s="164"/>
      <c r="H91" s="165"/>
      <c r="I91" s="311"/>
      <c r="J91" s="311"/>
      <c r="K91" s="311"/>
      <c r="L91" s="311"/>
      <c r="M91" s="314"/>
      <c r="N91" s="305"/>
    </row>
    <row r="92" spans="1:14" ht="35.25" customHeight="1">
      <c r="A92" s="328"/>
      <c r="B92" s="329"/>
      <c r="C92" s="329"/>
      <c r="D92" s="329"/>
      <c r="E92" s="330"/>
      <c r="F92" s="335"/>
      <c r="G92" s="164"/>
      <c r="H92" s="165"/>
      <c r="I92" s="311"/>
      <c r="J92" s="311"/>
      <c r="K92" s="311"/>
      <c r="L92" s="311"/>
      <c r="M92" s="314"/>
      <c r="N92" s="305"/>
    </row>
    <row r="93" spans="1:14" ht="35.25" customHeight="1">
      <c r="A93" s="328"/>
      <c r="B93" s="329"/>
      <c r="C93" s="329"/>
      <c r="D93" s="329"/>
      <c r="E93" s="330"/>
      <c r="F93" s="335"/>
      <c r="G93" s="164"/>
      <c r="H93" s="165"/>
      <c r="I93" s="311"/>
      <c r="J93" s="311"/>
      <c r="K93" s="311"/>
      <c r="L93" s="311"/>
      <c r="M93" s="314"/>
      <c r="N93" s="305"/>
    </row>
    <row r="94" spans="1:14" ht="35.25" customHeight="1">
      <c r="A94" s="328"/>
      <c r="B94" s="329"/>
      <c r="C94" s="329"/>
      <c r="D94" s="329"/>
      <c r="E94" s="330"/>
      <c r="F94" s="335"/>
      <c r="G94" s="164"/>
      <c r="H94" s="165"/>
      <c r="I94" s="311"/>
      <c r="J94" s="311"/>
      <c r="K94" s="311"/>
      <c r="L94" s="311"/>
      <c r="M94" s="314"/>
      <c r="N94" s="305"/>
    </row>
    <row r="95" spans="1:14" ht="35.25" customHeight="1" thickBot="1">
      <c r="A95" s="331"/>
      <c r="B95" s="332"/>
      <c r="C95" s="332"/>
      <c r="D95" s="332"/>
      <c r="E95" s="333"/>
      <c r="F95" s="336"/>
      <c r="G95" s="166"/>
      <c r="H95" s="167"/>
      <c r="I95" s="312"/>
      <c r="J95" s="312"/>
      <c r="K95" s="312"/>
      <c r="L95" s="312"/>
      <c r="M95" s="315"/>
      <c r="N95" s="306"/>
    </row>
    <row r="96" spans="1:14" ht="35.25" customHeight="1">
      <c r="A96" s="325"/>
      <c r="B96" s="326"/>
      <c r="C96" s="326"/>
      <c r="D96" s="326"/>
      <c r="E96" s="327"/>
      <c r="F96" s="334"/>
      <c r="G96" s="162"/>
      <c r="H96" s="163"/>
      <c r="I96" s="310"/>
      <c r="J96" s="310"/>
      <c r="K96" s="310"/>
      <c r="L96" s="310"/>
      <c r="M96" s="313"/>
      <c r="N96" s="304"/>
    </row>
    <row r="97" spans="1:14" ht="35.25" customHeight="1">
      <c r="A97" s="328"/>
      <c r="B97" s="329"/>
      <c r="C97" s="329"/>
      <c r="D97" s="329"/>
      <c r="E97" s="330"/>
      <c r="F97" s="335"/>
      <c r="G97" s="164"/>
      <c r="H97" s="165"/>
      <c r="I97" s="311"/>
      <c r="J97" s="311"/>
      <c r="K97" s="311"/>
      <c r="L97" s="311"/>
      <c r="M97" s="314"/>
      <c r="N97" s="305"/>
    </row>
    <row r="98" spans="1:14" ht="35.25" customHeight="1">
      <c r="A98" s="328"/>
      <c r="B98" s="329"/>
      <c r="C98" s="329"/>
      <c r="D98" s="329"/>
      <c r="E98" s="330"/>
      <c r="F98" s="335"/>
      <c r="G98" s="164"/>
      <c r="H98" s="165"/>
      <c r="I98" s="311"/>
      <c r="J98" s="311"/>
      <c r="K98" s="311"/>
      <c r="L98" s="311"/>
      <c r="M98" s="314"/>
      <c r="N98" s="305"/>
    </row>
    <row r="99" spans="1:14" ht="35.25" customHeight="1">
      <c r="A99" s="328"/>
      <c r="B99" s="329"/>
      <c r="C99" s="329"/>
      <c r="D99" s="329"/>
      <c r="E99" s="330"/>
      <c r="F99" s="335"/>
      <c r="G99" s="164"/>
      <c r="H99" s="165"/>
      <c r="I99" s="311"/>
      <c r="J99" s="311"/>
      <c r="K99" s="311"/>
      <c r="L99" s="311"/>
      <c r="M99" s="314"/>
      <c r="N99" s="305"/>
    </row>
    <row r="100" spans="1:14" ht="35.25" customHeight="1">
      <c r="A100" s="328"/>
      <c r="B100" s="329"/>
      <c r="C100" s="329"/>
      <c r="D100" s="329"/>
      <c r="E100" s="330"/>
      <c r="F100" s="335"/>
      <c r="G100" s="164"/>
      <c r="H100" s="165"/>
      <c r="I100" s="311"/>
      <c r="J100" s="311"/>
      <c r="K100" s="311"/>
      <c r="L100" s="311"/>
      <c r="M100" s="314"/>
      <c r="N100" s="305"/>
    </row>
    <row r="101" spans="1:14" s="58" customFormat="1" ht="35.25" customHeight="1">
      <c r="A101" s="328"/>
      <c r="B101" s="329"/>
      <c r="C101" s="329"/>
      <c r="D101" s="329"/>
      <c r="E101" s="330"/>
      <c r="F101" s="335"/>
      <c r="G101" s="164"/>
      <c r="H101" s="168"/>
      <c r="I101" s="311"/>
      <c r="J101" s="311"/>
      <c r="K101" s="311"/>
      <c r="L101" s="311"/>
      <c r="M101" s="314"/>
      <c r="N101" s="305"/>
    </row>
    <row r="102" spans="1:14" ht="35.25" customHeight="1">
      <c r="A102" s="328"/>
      <c r="B102" s="329"/>
      <c r="C102" s="329"/>
      <c r="D102" s="329"/>
      <c r="E102" s="330"/>
      <c r="F102" s="335"/>
      <c r="G102" s="164"/>
      <c r="H102" s="165"/>
      <c r="I102" s="311"/>
      <c r="J102" s="311"/>
      <c r="K102" s="311"/>
      <c r="L102" s="311"/>
      <c r="M102" s="314"/>
      <c r="N102" s="305"/>
    </row>
    <row r="103" spans="1:14" ht="35.25" customHeight="1">
      <c r="A103" s="328"/>
      <c r="B103" s="329"/>
      <c r="C103" s="329"/>
      <c r="D103" s="329"/>
      <c r="E103" s="330"/>
      <c r="F103" s="335"/>
      <c r="G103" s="164"/>
      <c r="H103" s="165"/>
      <c r="I103" s="311"/>
      <c r="J103" s="311"/>
      <c r="K103" s="311"/>
      <c r="L103" s="311"/>
      <c r="M103" s="314"/>
      <c r="N103" s="305"/>
    </row>
    <row r="104" spans="1:14" ht="35.25" customHeight="1">
      <c r="A104" s="328"/>
      <c r="B104" s="329"/>
      <c r="C104" s="329"/>
      <c r="D104" s="329"/>
      <c r="E104" s="330"/>
      <c r="F104" s="335"/>
      <c r="G104" s="164"/>
      <c r="H104" s="165"/>
      <c r="I104" s="311"/>
      <c r="J104" s="311"/>
      <c r="K104" s="311"/>
      <c r="L104" s="311"/>
      <c r="M104" s="314"/>
      <c r="N104" s="305"/>
    </row>
    <row r="105" spans="1:14" ht="35.25" customHeight="1" thickBot="1">
      <c r="A105" s="331"/>
      <c r="B105" s="332"/>
      <c r="C105" s="332"/>
      <c r="D105" s="332"/>
      <c r="E105" s="333"/>
      <c r="F105" s="336"/>
      <c r="G105" s="166"/>
      <c r="H105" s="167"/>
      <c r="I105" s="312"/>
      <c r="J105" s="312"/>
      <c r="K105" s="312"/>
      <c r="L105" s="312"/>
      <c r="M105" s="315"/>
      <c r="N105" s="306"/>
    </row>
    <row r="106" spans="1:14" ht="35.25" customHeight="1">
      <c r="A106" s="325"/>
      <c r="B106" s="326"/>
      <c r="C106" s="326"/>
      <c r="D106" s="326"/>
      <c r="E106" s="327"/>
      <c r="F106" s="334"/>
      <c r="G106" s="162"/>
      <c r="H106" s="163"/>
      <c r="I106" s="310"/>
      <c r="J106" s="310"/>
      <c r="K106" s="310"/>
      <c r="L106" s="310"/>
      <c r="M106" s="313"/>
      <c r="N106" s="304"/>
    </row>
    <row r="107" spans="1:14" ht="35.25" customHeight="1">
      <c r="A107" s="328"/>
      <c r="B107" s="329"/>
      <c r="C107" s="329"/>
      <c r="D107" s="329"/>
      <c r="E107" s="330"/>
      <c r="F107" s="335"/>
      <c r="G107" s="164"/>
      <c r="H107" s="165"/>
      <c r="I107" s="311"/>
      <c r="J107" s="311"/>
      <c r="K107" s="311"/>
      <c r="L107" s="311"/>
      <c r="M107" s="314"/>
      <c r="N107" s="305"/>
    </row>
    <row r="108" spans="1:14" ht="35.25" customHeight="1">
      <c r="A108" s="328"/>
      <c r="B108" s="329"/>
      <c r="C108" s="329"/>
      <c r="D108" s="329"/>
      <c r="E108" s="330"/>
      <c r="F108" s="335"/>
      <c r="G108" s="164"/>
      <c r="H108" s="165"/>
      <c r="I108" s="311"/>
      <c r="J108" s="311"/>
      <c r="K108" s="311"/>
      <c r="L108" s="311"/>
      <c r="M108" s="314"/>
      <c r="N108" s="305"/>
    </row>
    <row r="109" spans="1:14" ht="35.25" customHeight="1">
      <c r="A109" s="328"/>
      <c r="B109" s="329"/>
      <c r="C109" s="329"/>
      <c r="D109" s="329"/>
      <c r="E109" s="330"/>
      <c r="F109" s="335"/>
      <c r="G109" s="164"/>
      <c r="H109" s="165"/>
      <c r="I109" s="311"/>
      <c r="J109" s="311"/>
      <c r="K109" s="311"/>
      <c r="L109" s="311"/>
      <c r="M109" s="314"/>
      <c r="N109" s="305"/>
    </row>
    <row r="110" spans="1:14" ht="35.25" customHeight="1">
      <c r="A110" s="328"/>
      <c r="B110" s="329"/>
      <c r="C110" s="329"/>
      <c r="D110" s="329"/>
      <c r="E110" s="330"/>
      <c r="F110" s="335"/>
      <c r="G110" s="164"/>
      <c r="H110" s="165"/>
      <c r="I110" s="311"/>
      <c r="J110" s="311"/>
      <c r="K110" s="311"/>
      <c r="L110" s="311"/>
      <c r="M110" s="314"/>
      <c r="N110" s="305"/>
    </row>
    <row r="111" spans="1:14" ht="35.25" customHeight="1">
      <c r="A111" s="328"/>
      <c r="B111" s="329"/>
      <c r="C111" s="329"/>
      <c r="D111" s="329"/>
      <c r="E111" s="330"/>
      <c r="F111" s="335"/>
      <c r="G111" s="164"/>
      <c r="H111" s="165"/>
      <c r="I111" s="311"/>
      <c r="J111" s="311"/>
      <c r="K111" s="311"/>
      <c r="L111" s="311"/>
      <c r="M111" s="314"/>
      <c r="N111" s="305"/>
    </row>
    <row r="112" spans="1:14" ht="35.25" customHeight="1">
      <c r="A112" s="328"/>
      <c r="B112" s="329"/>
      <c r="C112" s="329"/>
      <c r="D112" s="329"/>
      <c r="E112" s="330"/>
      <c r="F112" s="335"/>
      <c r="G112" s="164"/>
      <c r="H112" s="165"/>
      <c r="I112" s="311"/>
      <c r="J112" s="311"/>
      <c r="K112" s="311"/>
      <c r="L112" s="311"/>
      <c r="M112" s="314"/>
      <c r="N112" s="305"/>
    </row>
    <row r="113" spans="1:14" ht="35.25" customHeight="1">
      <c r="A113" s="328"/>
      <c r="B113" s="329"/>
      <c r="C113" s="329"/>
      <c r="D113" s="329"/>
      <c r="E113" s="330"/>
      <c r="F113" s="335"/>
      <c r="G113" s="164"/>
      <c r="H113" s="165"/>
      <c r="I113" s="311"/>
      <c r="J113" s="311"/>
      <c r="K113" s="311"/>
      <c r="L113" s="311"/>
      <c r="M113" s="314"/>
      <c r="N113" s="305"/>
    </row>
    <row r="114" spans="1:14" ht="35.25" customHeight="1">
      <c r="A114" s="328"/>
      <c r="B114" s="329"/>
      <c r="C114" s="329"/>
      <c r="D114" s="329"/>
      <c r="E114" s="330"/>
      <c r="F114" s="335"/>
      <c r="G114" s="164"/>
      <c r="H114" s="165"/>
      <c r="I114" s="311"/>
      <c r="J114" s="311"/>
      <c r="K114" s="311"/>
      <c r="L114" s="311"/>
      <c r="M114" s="314"/>
      <c r="N114" s="305"/>
    </row>
    <row r="115" spans="1:14" ht="35.25" customHeight="1" thickBot="1">
      <c r="A115" s="331"/>
      <c r="B115" s="332"/>
      <c r="C115" s="332"/>
      <c r="D115" s="332"/>
      <c r="E115" s="333"/>
      <c r="F115" s="336"/>
      <c r="G115" s="166"/>
      <c r="H115" s="167"/>
      <c r="I115" s="312"/>
      <c r="J115" s="312"/>
      <c r="K115" s="312"/>
      <c r="L115" s="312"/>
      <c r="M115" s="315"/>
      <c r="N115" s="306"/>
    </row>
    <row r="116" spans="1:14" ht="95.25" customHeight="1" thickBot="1">
      <c r="A116" s="356" t="s">
        <v>1570</v>
      </c>
      <c r="B116" s="357"/>
      <c r="C116" s="357"/>
      <c r="D116" s="357"/>
      <c r="E116" s="357"/>
      <c r="F116" s="357"/>
      <c r="G116" s="357"/>
      <c r="H116" s="358"/>
      <c r="I116" s="154" t="s">
        <v>1565</v>
      </c>
      <c r="J116" s="154" t="s">
        <v>1566</v>
      </c>
      <c r="K116" s="154" t="s">
        <v>1567</v>
      </c>
      <c r="L116" s="155" t="s">
        <v>1568</v>
      </c>
      <c r="M116" s="81" t="s">
        <v>1534</v>
      </c>
      <c r="N116" s="81" t="s">
        <v>1535</v>
      </c>
    </row>
    <row r="117" spans="1:14" ht="35.25" customHeight="1">
      <c r="A117" s="337"/>
      <c r="B117" s="338"/>
      <c r="C117" s="338"/>
      <c r="D117" s="338"/>
      <c r="E117" s="338"/>
      <c r="F117" s="339"/>
      <c r="G117" s="156"/>
      <c r="H117" s="157"/>
      <c r="I117" s="307"/>
      <c r="J117" s="307"/>
      <c r="K117" s="307"/>
      <c r="L117" s="307"/>
      <c r="M117" s="304"/>
      <c r="N117" s="304"/>
    </row>
    <row r="118" spans="1:14" ht="35.25" customHeight="1">
      <c r="A118" s="340"/>
      <c r="B118" s="341"/>
      <c r="C118" s="341"/>
      <c r="D118" s="341"/>
      <c r="E118" s="341"/>
      <c r="F118" s="342"/>
      <c r="G118" s="158"/>
      <c r="H118" s="159"/>
      <c r="I118" s="308"/>
      <c r="J118" s="308"/>
      <c r="K118" s="308"/>
      <c r="L118" s="308"/>
      <c r="M118" s="305"/>
      <c r="N118" s="305"/>
    </row>
    <row r="119" spans="1:14" ht="35.25" customHeight="1">
      <c r="A119" s="340"/>
      <c r="B119" s="341"/>
      <c r="C119" s="341"/>
      <c r="D119" s="341"/>
      <c r="E119" s="341"/>
      <c r="F119" s="342"/>
      <c r="G119" s="158"/>
      <c r="H119" s="159"/>
      <c r="I119" s="308"/>
      <c r="J119" s="308"/>
      <c r="K119" s="308"/>
      <c r="L119" s="308"/>
      <c r="M119" s="305"/>
      <c r="N119" s="305"/>
    </row>
    <row r="120" spans="1:14" ht="35.25" customHeight="1">
      <c r="A120" s="340"/>
      <c r="B120" s="341"/>
      <c r="C120" s="341"/>
      <c r="D120" s="341"/>
      <c r="E120" s="341"/>
      <c r="F120" s="342"/>
      <c r="G120" s="158"/>
      <c r="H120" s="159"/>
      <c r="I120" s="308"/>
      <c r="J120" s="308"/>
      <c r="K120" s="308"/>
      <c r="L120" s="308"/>
      <c r="M120" s="305"/>
      <c r="N120" s="305"/>
    </row>
    <row r="121" spans="1:14" ht="35.25" customHeight="1">
      <c r="A121" s="340"/>
      <c r="B121" s="341"/>
      <c r="C121" s="341"/>
      <c r="D121" s="341"/>
      <c r="E121" s="341"/>
      <c r="F121" s="342"/>
      <c r="G121" s="158"/>
      <c r="H121" s="159"/>
      <c r="I121" s="308"/>
      <c r="J121" s="308"/>
      <c r="K121" s="308"/>
      <c r="L121" s="308"/>
      <c r="M121" s="305"/>
      <c r="N121" s="305"/>
    </row>
    <row r="122" spans="1:14" ht="35.25" customHeight="1" thickBot="1">
      <c r="A122" s="343"/>
      <c r="B122" s="344"/>
      <c r="C122" s="344"/>
      <c r="D122" s="344"/>
      <c r="E122" s="344"/>
      <c r="F122" s="345"/>
      <c r="G122" s="160"/>
      <c r="H122" s="161"/>
      <c r="I122" s="309"/>
      <c r="J122" s="309"/>
      <c r="K122" s="309"/>
      <c r="L122" s="309"/>
      <c r="M122" s="306"/>
      <c r="N122" s="306"/>
    </row>
    <row r="123" spans="1:14" ht="35.25" customHeight="1">
      <c r="A123" s="337"/>
      <c r="B123" s="338"/>
      <c r="C123" s="338"/>
      <c r="D123" s="338"/>
      <c r="E123" s="338"/>
      <c r="F123" s="339"/>
      <c r="G123" s="156"/>
      <c r="H123" s="157"/>
      <c r="I123" s="307"/>
      <c r="J123" s="307"/>
      <c r="K123" s="307"/>
      <c r="L123" s="307"/>
      <c r="M123" s="304"/>
      <c r="N123" s="304"/>
    </row>
    <row r="124" spans="1:14" ht="35.25" customHeight="1">
      <c r="A124" s="340"/>
      <c r="B124" s="341"/>
      <c r="C124" s="341"/>
      <c r="D124" s="341"/>
      <c r="E124" s="341"/>
      <c r="F124" s="342"/>
      <c r="G124" s="158"/>
      <c r="H124" s="159"/>
      <c r="I124" s="308"/>
      <c r="J124" s="308"/>
      <c r="K124" s="308"/>
      <c r="L124" s="308"/>
      <c r="M124" s="305"/>
      <c r="N124" s="305"/>
    </row>
    <row r="125" spans="1:14" ht="35.25" customHeight="1">
      <c r="A125" s="340"/>
      <c r="B125" s="341"/>
      <c r="C125" s="341"/>
      <c r="D125" s="341"/>
      <c r="E125" s="341"/>
      <c r="F125" s="342"/>
      <c r="G125" s="158"/>
      <c r="H125" s="159"/>
      <c r="I125" s="308"/>
      <c r="J125" s="308"/>
      <c r="K125" s="308"/>
      <c r="L125" s="308"/>
      <c r="M125" s="305"/>
      <c r="N125" s="305"/>
    </row>
    <row r="126" spans="1:14" ht="35.25" customHeight="1">
      <c r="A126" s="340"/>
      <c r="B126" s="341"/>
      <c r="C126" s="341"/>
      <c r="D126" s="341"/>
      <c r="E126" s="341"/>
      <c r="F126" s="342"/>
      <c r="G126" s="158"/>
      <c r="H126" s="159"/>
      <c r="I126" s="308"/>
      <c r="J126" s="308"/>
      <c r="K126" s="308"/>
      <c r="L126" s="308"/>
      <c r="M126" s="305"/>
      <c r="N126" s="305"/>
    </row>
    <row r="127" spans="1:14" ht="35.25" customHeight="1">
      <c r="A127" s="340"/>
      <c r="B127" s="341"/>
      <c r="C127" s="341"/>
      <c r="D127" s="341"/>
      <c r="E127" s="341"/>
      <c r="F127" s="342"/>
      <c r="G127" s="158"/>
      <c r="H127" s="159"/>
      <c r="I127" s="308"/>
      <c r="J127" s="308"/>
      <c r="K127" s="308"/>
      <c r="L127" s="308"/>
      <c r="M127" s="305"/>
      <c r="N127" s="305"/>
    </row>
    <row r="128" spans="1:14" ht="35.25" customHeight="1" thickBot="1">
      <c r="A128" s="343"/>
      <c r="B128" s="344"/>
      <c r="C128" s="344"/>
      <c r="D128" s="344"/>
      <c r="E128" s="344"/>
      <c r="F128" s="345"/>
      <c r="G128" s="160"/>
      <c r="H128" s="161"/>
      <c r="I128" s="309"/>
      <c r="J128" s="309"/>
      <c r="K128" s="309"/>
      <c r="L128" s="309"/>
      <c r="M128" s="306"/>
      <c r="N128" s="306"/>
    </row>
    <row r="129" spans="1:14" ht="35.25" customHeight="1">
      <c r="A129" s="337"/>
      <c r="B129" s="338"/>
      <c r="C129" s="338"/>
      <c r="D129" s="338"/>
      <c r="E129" s="338"/>
      <c r="F129" s="339"/>
      <c r="G129" s="156"/>
      <c r="H129" s="157"/>
      <c r="I129" s="307"/>
      <c r="J129" s="307"/>
      <c r="K129" s="307"/>
      <c r="L129" s="307"/>
      <c r="M129" s="304"/>
      <c r="N129" s="304"/>
    </row>
    <row r="130" spans="1:14" ht="35.25" customHeight="1">
      <c r="A130" s="340"/>
      <c r="B130" s="341"/>
      <c r="C130" s="341"/>
      <c r="D130" s="341"/>
      <c r="E130" s="341"/>
      <c r="F130" s="342"/>
      <c r="G130" s="158"/>
      <c r="H130" s="159"/>
      <c r="I130" s="308"/>
      <c r="J130" s="308"/>
      <c r="K130" s="308"/>
      <c r="L130" s="308"/>
      <c r="M130" s="305"/>
      <c r="N130" s="305"/>
    </row>
    <row r="131" spans="1:14" ht="35.25" customHeight="1">
      <c r="A131" s="340"/>
      <c r="B131" s="341"/>
      <c r="C131" s="341"/>
      <c r="D131" s="341"/>
      <c r="E131" s="341"/>
      <c r="F131" s="342"/>
      <c r="G131" s="158"/>
      <c r="H131" s="159"/>
      <c r="I131" s="308"/>
      <c r="J131" s="308"/>
      <c r="K131" s="308"/>
      <c r="L131" s="308"/>
      <c r="M131" s="305"/>
      <c r="N131" s="305"/>
    </row>
    <row r="132" spans="1:14" ht="35.25" customHeight="1">
      <c r="A132" s="340"/>
      <c r="B132" s="341"/>
      <c r="C132" s="341"/>
      <c r="D132" s="341"/>
      <c r="E132" s="341"/>
      <c r="F132" s="342"/>
      <c r="G132" s="158"/>
      <c r="H132" s="159"/>
      <c r="I132" s="308"/>
      <c r="J132" s="308"/>
      <c r="K132" s="308"/>
      <c r="L132" s="308"/>
      <c r="M132" s="305"/>
      <c r="N132" s="305"/>
    </row>
    <row r="133" spans="1:14" ht="35.25" customHeight="1">
      <c r="A133" s="340"/>
      <c r="B133" s="341"/>
      <c r="C133" s="341"/>
      <c r="D133" s="341"/>
      <c r="E133" s="341"/>
      <c r="F133" s="342"/>
      <c r="G133" s="158"/>
      <c r="H133" s="159"/>
      <c r="I133" s="308"/>
      <c r="J133" s="308"/>
      <c r="K133" s="308"/>
      <c r="L133" s="308"/>
      <c r="M133" s="305"/>
      <c r="N133" s="305"/>
    </row>
    <row r="134" spans="1:14" ht="35.25" customHeight="1" thickBot="1">
      <c r="A134" s="343"/>
      <c r="B134" s="344"/>
      <c r="C134" s="344"/>
      <c r="D134" s="344"/>
      <c r="E134" s="344"/>
      <c r="F134" s="345"/>
      <c r="G134" s="160"/>
      <c r="H134" s="161"/>
      <c r="I134" s="309"/>
      <c r="J134" s="309"/>
      <c r="K134" s="309"/>
      <c r="L134" s="309"/>
      <c r="M134" s="306"/>
      <c r="N134" s="306"/>
    </row>
    <row r="135" spans="1:14" ht="35.25" customHeight="1">
      <c r="A135" s="337"/>
      <c r="B135" s="338"/>
      <c r="C135" s="338"/>
      <c r="D135" s="338"/>
      <c r="E135" s="338"/>
      <c r="F135" s="339"/>
      <c r="G135" s="156"/>
      <c r="H135" s="157"/>
      <c r="I135" s="307"/>
      <c r="J135" s="307"/>
      <c r="K135" s="307"/>
      <c r="L135" s="307"/>
      <c r="M135" s="304"/>
      <c r="N135" s="304"/>
    </row>
    <row r="136" spans="1:14" ht="35.25" customHeight="1">
      <c r="A136" s="340"/>
      <c r="B136" s="341"/>
      <c r="C136" s="341"/>
      <c r="D136" s="341"/>
      <c r="E136" s="341"/>
      <c r="F136" s="342"/>
      <c r="G136" s="158"/>
      <c r="H136" s="159"/>
      <c r="I136" s="308"/>
      <c r="J136" s="308"/>
      <c r="K136" s="308"/>
      <c r="L136" s="308"/>
      <c r="M136" s="305"/>
      <c r="N136" s="305"/>
    </row>
    <row r="137" spans="1:14" ht="35.25" customHeight="1">
      <c r="A137" s="340"/>
      <c r="B137" s="341"/>
      <c r="C137" s="341"/>
      <c r="D137" s="341"/>
      <c r="E137" s="341"/>
      <c r="F137" s="342"/>
      <c r="G137" s="158"/>
      <c r="H137" s="159"/>
      <c r="I137" s="308"/>
      <c r="J137" s="308"/>
      <c r="K137" s="308"/>
      <c r="L137" s="308"/>
      <c r="M137" s="305"/>
      <c r="N137" s="305"/>
    </row>
    <row r="138" spans="1:14" ht="35.25" customHeight="1">
      <c r="A138" s="340"/>
      <c r="B138" s="341"/>
      <c r="C138" s="341"/>
      <c r="D138" s="341"/>
      <c r="E138" s="341"/>
      <c r="F138" s="342"/>
      <c r="G138" s="158"/>
      <c r="H138" s="159"/>
      <c r="I138" s="308"/>
      <c r="J138" s="308"/>
      <c r="K138" s="308"/>
      <c r="L138" s="308"/>
      <c r="M138" s="305"/>
      <c r="N138" s="305"/>
    </row>
    <row r="139" spans="1:14" ht="35.25" customHeight="1">
      <c r="A139" s="340"/>
      <c r="B139" s="341"/>
      <c r="C139" s="341"/>
      <c r="D139" s="341"/>
      <c r="E139" s="341"/>
      <c r="F139" s="342"/>
      <c r="G139" s="158"/>
      <c r="H139" s="159"/>
      <c r="I139" s="308"/>
      <c r="J139" s="308"/>
      <c r="K139" s="308"/>
      <c r="L139" s="308"/>
      <c r="M139" s="305"/>
      <c r="N139" s="305"/>
    </row>
    <row r="140" spans="1:14" ht="35.25" customHeight="1" thickBot="1">
      <c r="A140" s="343"/>
      <c r="B140" s="344"/>
      <c r="C140" s="344"/>
      <c r="D140" s="344"/>
      <c r="E140" s="344"/>
      <c r="F140" s="345"/>
      <c r="G140" s="160"/>
      <c r="H140" s="161"/>
      <c r="I140" s="309"/>
      <c r="J140" s="309"/>
      <c r="K140" s="309"/>
      <c r="L140" s="309"/>
      <c r="M140" s="306"/>
      <c r="N140" s="306"/>
    </row>
    <row r="141" spans="1:14" ht="35.25" customHeight="1">
      <c r="A141" s="337"/>
      <c r="B141" s="338"/>
      <c r="C141" s="338"/>
      <c r="D141" s="338"/>
      <c r="E141" s="338"/>
      <c r="F141" s="339"/>
      <c r="G141" s="156"/>
      <c r="H141" s="157"/>
      <c r="I141" s="307"/>
      <c r="J141" s="307"/>
      <c r="K141" s="307"/>
      <c r="L141" s="307"/>
      <c r="M141" s="304"/>
      <c r="N141" s="304"/>
    </row>
    <row r="142" spans="1:14" ht="35.25" customHeight="1">
      <c r="A142" s="340"/>
      <c r="B142" s="341"/>
      <c r="C142" s="341"/>
      <c r="D142" s="341"/>
      <c r="E142" s="341"/>
      <c r="F142" s="342"/>
      <c r="G142" s="158"/>
      <c r="H142" s="159"/>
      <c r="I142" s="308"/>
      <c r="J142" s="308"/>
      <c r="K142" s="308"/>
      <c r="L142" s="308"/>
      <c r="M142" s="305"/>
      <c r="N142" s="305"/>
    </row>
    <row r="143" spans="1:14" ht="35.25" customHeight="1">
      <c r="A143" s="340"/>
      <c r="B143" s="341"/>
      <c r="C143" s="341"/>
      <c r="D143" s="341"/>
      <c r="E143" s="341"/>
      <c r="F143" s="342"/>
      <c r="G143" s="158"/>
      <c r="H143" s="159"/>
      <c r="I143" s="308"/>
      <c r="J143" s="308"/>
      <c r="K143" s="308"/>
      <c r="L143" s="308"/>
      <c r="M143" s="305"/>
      <c r="N143" s="305"/>
    </row>
    <row r="144" spans="1:14" ht="35.25" customHeight="1">
      <c r="A144" s="340"/>
      <c r="B144" s="341"/>
      <c r="C144" s="341"/>
      <c r="D144" s="341"/>
      <c r="E144" s="341"/>
      <c r="F144" s="342"/>
      <c r="G144" s="158"/>
      <c r="H144" s="159"/>
      <c r="I144" s="308"/>
      <c r="J144" s="308"/>
      <c r="K144" s="308"/>
      <c r="L144" s="308"/>
      <c r="M144" s="305"/>
      <c r="N144" s="305"/>
    </row>
    <row r="145" spans="1:14" ht="35.25" customHeight="1">
      <c r="A145" s="340"/>
      <c r="B145" s="341"/>
      <c r="C145" s="341"/>
      <c r="D145" s="341"/>
      <c r="E145" s="341"/>
      <c r="F145" s="342"/>
      <c r="G145" s="158"/>
      <c r="H145" s="159"/>
      <c r="I145" s="308"/>
      <c r="J145" s="308"/>
      <c r="K145" s="308"/>
      <c r="L145" s="308"/>
      <c r="M145" s="305"/>
      <c r="N145" s="305"/>
    </row>
    <row r="146" spans="1:14" ht="35.25" customHeight="1" thickBot="1">
      <c r="A146" s="343"/>
      <c r="B146" s="344"/>
      <c r="C146" s="344"/>
      <c r="D146" s="344"/>
      <c r="E146" s="344"/>
      <c r="F146" s="345"/>
      <c r="G146" s="160"/>
      <c r="H146" s="161"/>
      <c r="I146" s="309"/>
      <c r="J146" s="309"/>
      <c r="K146" s="309"/>
      <c r="L146" s="309"/>
      <c r="M146" s="306"/>
      <c r="N146" s="306"/>
    </row>
    <row r="147" spans="1:14" ht="35.25" customHeight="1">
      <c r="A147" s="337" t="str">
        <f>_xlfn.CONCAT('Waarden '!A32:A37)</f>
        <v/>
      </c>
      <c r="B147" s="338"/>
      <c r="C147" s="338"/>
      <c r="D147" s="338"/>
      <c r="E147" s="338"/>
      <c r="F147" s="339"/>
      <c r="G147" s="156"/>
      <c r="H147" s="157"/>
      <c r="I147" s="307"/>
      <c r="J147" s="307"/>
      <c r="K147" s="307"/>
      <c r="L147" s="307"/>
      <c r="M147" s="304"/>
      <c r="N147" s="304"/>
    </row>
    <row r="148" spans="1:14" ht="35.25" customHeight="1">
      <c r="A148" s="340"/>
      <c r="B148" s="341"/>
      <c r="C148" s="341"/>
      <c r="D148" s="341"/>
      <c r="E148" s="341"/>
      <c r="F148" s="342"/>
      <c r="G148" s="158"/>
      <c r="H148" s="159"/>
      <c r="I148" s="308"/>
      <c r="J148" s="308"/>
      <c r="K148" s="308"/>
      <c r="L148" s="308"/>
      <c r="M148" s="305"/>
      <c r="N148" s="305"/>
    </row>
    <row r="149" spans="1:14" ht="35.25" customHeight="1">
      <c r="A149" s="340"/>
      <c r="B149" s="341"/>
      <c r="C149" s="341"/>
      <c r="D149" s="341"/>
      <c r="E149" s="341"/>
      <c r="F149" s="342"/>
      <c r="G149" s="158"/>
      <c r="H149" s="159"/>
      <c r="I149" s="308"/>
      <c r="J149" s="308"/>
      <c r="K149" s="308"/>
      <c r="L149" s="308"/>
      <c r="M149" s="305"/>
      <c r="N149" s="305"/>
    </row>
    <row r="150" spans="1:14" ht="35.25" customHeight="1">
      <c r="A150" s="340"/>
      <c r="B150" s="341"/>
      <c r="C150" s="341"/>
      <c r="D150" s="341"/>
      <c r="E150" s="341"/>
      <c r="F150" s="342"/>
      <c r="G150" s="158"/>
      <c r="H150" s="159"/>
      <c r="I150" s="308"/>
      <c r="J150" s="308"/>
      <c r="K150" s="308"/>
      <c r="L150" s="308"/>
      <c r="M150" s="305"/>
      <c r="N150" s="305"/>
    </row>
    <row r="151" spans="1:14" ht="35.25" customHeight="1">
      <c r="A151" s="340"/>
      <c r="B151" s="341"/>
      <c r="C151" s="341"/>
      <c r="D151" s="341"/>
      <c r="E151" s="341"/>
      <c r="F151" s="342"/>
      <c r="G151" s="158"/>
      <c r="H151" s="159"/>
      <c r="I151" s="308"/>
      <c r="J151" s="308"/>
      <c r="K151" s="308"/>
      <c r="L151" s="308"/>
      <c r="M151" s="305"/>
      <c r="N151" s="305"/>
    </row>
    <row r="152" spans="1:14" ht="35.25" customHeight="1" thickBot="1">
      <c r="A152" s="343"/>
      <c r="B152" s="344"/>
      <c r="C152" s="344"/>
      <c r="D152" s="344"/>
      <c r="E152" s="344"/>
      <c r="F152" s="345"/>
      <c r="G152" s="160"/>
      <c r="H152" s="161"/>
      <c r="I152" s="309"/>
      <c r="J152" s="309"/>
      <c r="K152" s="309"/>
      <c r="L152" s="309"/>
      <c r="M152" s="306"/>
      <c r="N152" s="306"/>
    </row>
    <row r="153" spans="1:14" ht="28.9" customHeight="1">
      <c r="A153" s="392" t="s">
        <v>1569</v>
      </c>
      <c r="B153" s="393"/>
      <c r="C153" s="393"/>
      <c r="D153" s="393"/>
      <c r="E153" s="393"/>
      <c r="F153" s="393"/>
      <c r="G153" s="393"/>
      <c r="H153" s="394"/>
      <c r="I153" s="293" t="s">
        <v>1565</v>
      </c>
      <c r="J153" s="293" t="s">
        <v>1566</v>
      </c>
      <c r="K153" s="293" t="s">
        <v>1567</v>
      </c>
      <c r="L153" s="293" t="s">
        <v>1568</v>
      </c>
      <c r="M153" s="291" t="s">
        <v>1534</v>
      </c>
      <c r="N153" s="291" t="s">
        <v>1535</v>
      </c>
    </row>
    <row r="154" spans="1:14" ht="107.45" customHeight="1" thickBot="1">
      <c r="A154" s="348"/>
      <c r="B154" s="395"/>
      <c r="C154" s="395"/>
      <c r="D154" s="395"/>
      <c r="E154" s="395"/>
      <c r="F154" s="395"/>
      <c r="G154" s="395"/>
      <c r="H154" s="349"/>
      <c r="I154" s="294"/>
      <c r="J154" s="294"/>
      <c r="K154" s="294"/>
      <c r="L154" s="294"/>
      <c r="M154" s="292"/>
      <c r="N154" s="292"/>
    </row>
    <row r="155" spans="1:14" ht="157.9" customHeight="1" thickBot="1">
      <c r="A155" s="396"/>
      <c r="B155" s="397"/>
      <c r="C155" s="397"/>
      <c r="D155" s="397"/>
      <c r="E155" s="397"/>
      <c r="F155" s="402"/>
      <c r="G155" s="403"/>
      <c r="H155" s="404"/>
      <c r="I155" s="150"/>
      <c r="J155" s="150"/>
      <c r="K155" s="150"/>
      <c r="L155" s="150"/>
      <c r="M155" s="151"/>
      <c r="N155" s="151"/>
    </row>
    <row r="156" spans="1:14" ht="157.9" customHeight="1" thickBot="1">
      <c r="A156" s="398"/>
      <c r="B156" s="399"/>
      <c r="C156" s="399"/>
      <c r="D156" s="399"/>
      <c r="E156" s="399"/>
      <c r="F156" s="405"/>
      <c r="G156" s="406"/>
      <c r="H156" s="407"/>
      <c r="I156" s="150"/>
      <c r="J156" s="150"/>
      <c r="K156" s="150"/>
      <c r="L156" s="150"/>
      <c r="M156" s="151"/>
      <c r="N156" s="151"/>
    </row>
    <row r="157" spans="1:14" ht="157.9" customHeight="1" thickBot="1">
      <c r="A157" s="398"/>
      <c r="B157" s="399"/>
      <c r="C157" s="399"/>
      <c r="D157" s="399"/>
      <c r="E157" s="399"/>
      <c r="F157" s="405"/>
      <c r="G157" s="406"/>
      <c r="H157" s="407"/>
      <c r="I157" s="150"/>
      <c r="J157" s="150"/>
      <c r="K157" s="150"/>
      <c r="L157" s="150"/>
      <c r="M157" s="151"/>
      <c r="N157" s="151"/>
    </row>
    <row r="158" spans="1:14" ht="157.9" customHeight="1" thickBot="1">
      <c r="A158" s="398"/>
      <c r="B158" s="399"/>
      <c r="C158" s="399"/>
      <c r="D158" s="399"/>
      <c r="E158" s="399"/>
      <c r="F158" s="405"/>
      <c r="G158" s="406"/>
      <c r="H158" s="407"/>
      <c r="I158" s="150"/>
      <c r="J158" s="150"/>
      <c r="K158" s="150"/>
      <c r="L158" s="150"/>
      <c r="M158" s="151"/>
      <c r="N158" s="151"/>
    </row>
    <row r="159" spans="1:14" ht="157.9" customHeight="1" thickBot="1">
      <c r="A159" s="400"/>
      <c r="B159" s="401"/>
      <c r="C159" s="401"/>
      <c r="D159" s="401"/>
      <c r="E159" s="401"/>
      <c r="F159" s="408"/>
      <c r="G159" s="409"/>
      <c r="H159" s="410"/>
      <c r="I159" s="150"/>
      <c r="J159" s="150"/>
      <c r="K159" s="150"/>
      <c r="L159" s="150"/>
      <c r="M159" s="151"/>
      <c r="N159" s="151"/>
    </row>
    <row r="160" spans="1:14" s="67" customFormat="1" ht="51" customHeight="1" thickBot="1">
      <c r="A160" s="295" t="s">
        <v>1558</v>
      </c>
      <c r="B160" s="296"/>
      <c r="C160" s="296"/>
      <c r="D160" s="296"/>
      <c r="E160" s="296"/>
      <c r="F160" s="296"/>
      <c r="G160" s="69"/>
      <c r="H160" s="301" t="s">
        <v>1536</v>
      </c>
      <c r="I160" s="302"/>
      <c r="J160" s="302"/>
      <c r="K160" s="302"/>
      <c r="L160" s="302"/>
      <c r="M160" s="302"/>
      <c r="N160" s="303"/>
    </row>
    <row r="161" spans="1:14" s="67" customFormat="1" ht="51" customHeight="1" thickBot="1">
      <c r="A161" s="297"/>
      <c r="B161" s="298"/>
      <c r="C161" s="298"/>
      <c r="D161" s="298"/>
      <c r="E161" s="298"/>
      <c r="F161" s="298"/>
      <c r="G161" s="70"/>
      <c r="H161" s="301" t="s">
        <v>1559</v>
      </c>
      <c r="I161" s="302"/>
      <c r="J161" s="302"/>
      <c r="K161" s="302"/>
      <c r="L161" s="302"/>
      <c r="M161" s="302"/>
      <c r="N161" s="303"/>
    </row>
    <row r="162" spans="1:14" s="67" customFormat="1" ht="51" customHeight="1" thickBot="1">
      <c r="A162" s="297"/>
      <c r="B162" s="298"/>
      <c r="C162" s="298"/>
      <c r="D162" s="298"/>
      <c r="E162" s="298"/>
      <c r="F162" s="298"/>
      <c r="G162" s="70"/>
      <c r="H162" s="301" t="s">
        <v>1537</v>
      </c>
      <c r="I162" s="302"/>
      <c r="J162" s="302"/>
      <c r="K162" s="302"/>
      <c r="L162" s="302"/>
      <c r="M162" s="302"/>
      <c r="N162" s="303"/>
    </row>
    <row r="163" spans="1:14" s="67" customFormat="1" ht="51" customHeight="1" thickBot="1">
      <c r="A163" s="297"/>
      <c r="B163" s="298"/>
      <c r="C163" s="298"/>
      <c r="D163" s="298"/>
      <c r="E163" s="298"/>
      <c r="F163" s="298"/>
      <c r="G163" s="70"/>
      <c r="H163" s="301" t="s">
        <v>1538</v>
      </c>
      <c r="I163" s="302"/>
      <c r="J163" s="302"/>
      <c r="K163" s="302"/>
      <c r="L163" s="302"/>
      <c r="M163" s="302"/>
      <c r="N163" s="303"/>
    </row>
    <row r="164" spans="1:14" s="67" customFormat="1" ht="51" customHeight="1" thickBot="1">
      <c r="A164" s="299"/>
      <c r="B164" s="300"/>
      <c r="C164" s="300"/>
      <c r="D164" s="300"/>
      <c r="E164" s="300"/>
      <c r="F164" s="300"/>
      <c r="G164" s="70"/>
      <c r="H164" s="301" t="s">
        <v>1539</v>
      </c>
      <c r="I164" s="302"/>
      <c r="J164" s="302"/>
      <c r="K164" s="302"/>
      <c r="L164" s="302"/>
      <c r="M164" s="302"/>
      <c r="N164" s="303"/>
    </row>
    <row r="165" spans="1:14" ht="64.150000000000006" customHeight="1" thickBot="1">
      <c r="A165" s="285" t="s">
        <v>1540</v>
      </c>
      <c r="B165" s="286"/>
      <c r="C165" s="286"/>
      <c r="D165" s="286"/>
      <c r="E165" s="286"/>
      <c r="F165" s="279" t="s">
        <v>1555</v>
      </c>
      <c r="G165" s="280"/>
      <c r="H165" s="280"/>
      <c r="I165" s="280"/>
      <c r="J165" s="280"/>
      <c r="K165" s="280"/>
      <c r="L165" s="280"/>
      <c r="M165" s="280"/>
      <c r="N165" s="281"/>
    </row>
    <row r="166" spans="1:14" ht="64.150000000000006" customHeight="1">
      <c r="A166" s="287"/>
      <c r="B166" s="288"/>
      <c r="C166" s="288"/>
      <c r="D166" s="288"/>
      <c r="E166" s="288"/>
      <c r="F166" s="270"/>
      <c r="G166" s="271"/>
      <c r="H166" s="271"/>
      <c r="I166" s="271"/>
      <c r="J166" s="271"/>
      <c r="K166" s="271"/>
      <c r="L166" s="271"/>
      <c r="M166" s="271"/>
      <c r="N166" s="272"/>
    </row>
    <row r="167" spans="1:14" ht="64.150000000000006" customHeight="1">
      <c r="A167" s="287"/>
      <c r="B167" s="288"/>
      <c r="C167" s="288"/>
      <c r="D167" s="288"/>
      <c r="E167" s="288"/>
      <c r="F167" s="273"/>
      <c r="G167" s="274"/>
      <c r="H167" s="274"/>
      <c r="I167" s="274"/>
      <c r="J167" s="274"/>
      <c r="K167" s="274"/>
      <c r="L167" s="274"/>
      <c r="M167" s="274"/>
      <c r="N167" s="275"/>
    </row>
    <row r="168" spans="1:14" ht="64.150000000000006" customHeight="1">
      <c r="A168" s="287"/>
      <c r="B168" s="288"/>
      <c r="C168" s="288"/>
      <c r="D168" s="288"/>
      <c r="E168" s="288"/>
      <c r="F168" s="273"/>
      <c r="G168" s="274"/>
      <c r="H168" s="274"/>
      <c r="I168" s="274"/>
      <c r="J168" s="274"/>
      <c r="K168" s="274"/>
      <c r="L168" s="274"/>
      <c r="M168" s="274"/>
      <c r="N168" s="275"/>
    </row>
    <row r="169" spans="1:14" ht="64.150000000000006" customHeight="1">
      <c r="A169" s="287"/>
      <c r="B169" s="288"/>
      <c r="C169" s="288"/>
      <c r="D169" s="288"/>
      <c r="E169" s="288"/>
      <c r="F169" s="273"/>
      <c r="G169" s="274"/>
      <c r="H169" s="274"/>
      <c r="I169" s="274"/>
      <c r="J169" s="274"/>
      <c r="K169" s="274"/>
      <c r="L169" s="274"/>
      <c r="M169" s="274"/>
      <c r="N169" s="275"/>
    </row>
    <row r="170" spans="1:14" ht="64.150000000000006" customHeight="1" thickBot="1">
      <c r="A170" s="287"/>
      <c r="B170" s="288"/>
      <c r="C170" s="288"/>
      <c r="D170" s="288"/>
      <c r="E170" s="288"/>
      <c r="F170" s="276"/>
      <c r="G170" s="277"/>
      <c r="H170" s="277"/>
      <c r="I170" s="277"/>
      <c r="J170" s="277"/>
      <c r="K170" s="277"/>
      <c r="L170" s="277"/>
      <c r="M170" s="277"/>
      <c r="N170" s="278"/>
    </row>
    <row r="171" spans="1:14" ht="64.150000000000006" customHeight="1" thickBot="1">
      <c r="A171" s="287"/>
      <c r="B171" s="288"/>
      <c r="C171" s="288"/>
      <c r="D171" s="288"/>
      <c r="E171" s="288"/>
      <c r="F171" s="282" t="s">
        <v>1556</v>
      </c>
      <c r="G171" s="283"/>
      <c r="H171" s="283"/>
      <c r="I171" s="283"/>
      <c r="J171" s="283"/>
      <c r="K171" s="283"/>
      <c r="L171" s="283"/>
      <c r="M171" s="283"/>
      <c r="N171" s="284"/>
    </row>
    <row r="172" spans="1:14" ht="64.150000000000006" customHeight="1">
      <c r="A172" s="287"/>
      <c r="B172" s="288"/>
      <c r="C172" s="288"/>
      <c r="D172" s="288"/>
      <c r="E172" s="288"/>
      <c r="F172" s="270"/>
      <c r="G172" s="271"/>
      <c r="H172" s="271"/>
      <c r="I172" s="271"/>
      <c r="J172" s="271"/>
      <c r="K172" s="271"/>
      <c r="L172" s="271"/>
      <c r="M172" s="271"/>
      <c r="N172" s="272"/>
    </row>
    <row r="173" spans="1:14" ht="64.150000000000006" customHeight="1">
      <c r="A173" s="287"/>
      <c r="B173" s="288"/>
      <c r="C173" s="288"/>
      <c r="D173" s="288"/>
      <c r="E173" s="288"/>
      <c r="F173" s="273"/>
      <c r="G173" s="274"/>
      <c r="H173" s="274"/>
      <c r="I173" s="274"/>
      <c r="J173" s="274"/>
      <c r="K173" s="274"/>
      <c r="L173" s="274"/>
      <c r="M173" s="274"/>
      <c r="N173" s="275"/>
    </row>
    <row r="174" spans="1:14" ht="64.150000000000006" customHeight="1">
      <c r="A174" s="287"/>
      <c r="B174" s="288"/>
      <c r="C174" s="288"/>
      <c r="D174" s="288"/>
      <c r="E174" s="288"/>
      <c r="F174" s="273"/>
      <c r="G174" s="274"/>
      <c r="H174" s="274"/>
      <c r="I174" s="274"/>
      <c r="J174" s="274"/>
      <c r="K174" s="274"/>
      <c r="L174" s="274"/>
      <c r="M174" s="274"/>
      <c r="N174" s="275"/>
    </row>
    <row r="175" spans="1:14" ht="64.150000000000006" customHeight="1">
      <c r="A175" s="287"/>
      <c r="B175" s="288"/>
      <c r="C175" s="288"/>
      <c r="D175" s="288"/>
      <c r="E175" s="288"/>
      <c r="F175" s="273"/>
      <c r="G175" s="274"/>
      <c r="H175" s="274"/>
      <c r="I175" s="274"/>
      <c r="J175" s="274"/>
      <c r="K175" s="274"/>
      <c r="L175" s="274"/>
      <c r="M175" s="274"/>
      <c r="N175" s="275"/>
    </row>
    <row r="176" spans="1:14" ht="64.150000000000006" customHeight="1" thickBot="1">
      <c r="A176" s="287"/>
      <c r="B176" s="288"/>
      <c r="C176" s="288"/>
      <c r="D176" s="288"/>
      <c r="E176" s="288"/>
      <c r="F176" s="276"/>
      <c r="G176" s="277"/>
      <c r="H176" s="277"/>
      <c r="I176" s="277"/>
      <c r="J176" s="277"/>
      <c r="K176" s="277"/>
      <c r="L176" s="277"/>
      <c r="M176" s="277"/>
      <c r="N176" s="278"/>
    </row>
    <row r="177" spans="1:14" ht="64.150000000000006" customHeight="1" thickBot="1">
      <c r="A177" s="287"/>
      <c r="B177" s="288"/>
      <c r="C177" s="288"/>
      <c r="D177" s="288"/>
      <c r="E177" s="288"/>
      <c r="F177" s="282" t="s">
        <v>1557</v>
      </c>
      <c r="G177" s="283"/>
      <c r="H177" s="283"/>
      <c r="I177" s="283"/>
      <c r="J177" s="283"/>
      <c r="K177" s="283"/>
      <c r="L177" s="283"/>
      <c r="M177" s="283"/>
      <c r="N177" s="284"/>
    </row>
    <row r="178" spans="1:14" ht="64.150000000000006" customHeight="1">
      <c r="A178" s="287"/>
      <c r="B178" s="288"/>
      <c r="C178" s="288"/>
      <c r="D178" s="288"/>
      <c r="E178" s="288"/>
      <c r="F178" s="270"/>
      <c r="G178" s="271"/>
      <c r="H178" s="271"/>
      <c r="I178" s="271"/>
      <c r="J178" s="271"/>
      <c r="K178" s="271"/>
      <c r="L178" s="271"/>
      <c r="M178" s="271"/>
      <c r="N178" s="272"/>
    </row>
    <row r="179" spans="1:14" ht="64.150000000000006" customHeight="1">
      <c r="A179" s="287"/>
      <c r="B179" s="288"/>
      <c r="C179" s="288"/>
      <c r="D179" s="288"/>
      <c r="E179" s="288"/>
      <c r="F179" s="273"/>
      <c r="G179" s="274"/>
      <c r="H179" s="274"/>
      <c r="I179" s="274"/>
      <c r="J179" s="274"/>
      <c r="K179" s="274"/>
      <c r="L179" s="274"/>
      <c r="M179" s="274"/>
      <c r="N179" s="275"/>
    </row>
    <row r="180" spans="1:14" ht="64.150000000000006" customHeight="1">
      <c r="A180" s="287"/>
      <c r="B180" s="288"/>
      <c r="C180" s="288"/>
      <c r="D180" s="288"/>
      <c r="E180" s="288"/>
      <c r="F180" s="273"/>
      <c r="G180" s="274"/>
      <c r="H180" s="274"/>
      <c r="I180" s="274"/>
      <c r="J180" s="274"/>
      <c r="K180" s="274"/>
      <c r="L180" s="274"/>
      <c r="M180" s="274"/>
      <c r="N180" s="275"/>
    </row>
    <row r="181" spans="1:14" ht="64.150000000000006" customHeight="1">
      <c r="A181" s="287"/>
      <c r="B181" s="288"/>
      <c r="C181" s="288"/>
      <c r="D181" s="288"/>
      <c r="E181" s="288"/>
      <c r="F181" s="273"/>
      <c r="G181" s="274"/>
      <c r="H181" s="274"/>
      <c r="I181" s="274"/>
      <c r="J181" s="274"/>
      <c r="K181" s="274"/>
      <c r="L181" s="274"/>
      <c r="M181" s="274"/>
      <c r="N181" s="275"/>
    </row>
    <row r="182" spans="1:14" ht="64.150000000000006" customHeight="1" thickBot="1">
      <c r="A182" s="289"/>
      <c r="B182" s="290"/>
      <c r="C182" s="290"/>
      <c r="D182" s="290"/>
      <c r="E182" s="290"/>
      <c r="F182" s="276"/>
      <c r="G182" s="277"/>
      <c r="H182" s="277"/>
      <c r="I182" s="277"/>
      <c r="J182" s="277"/>
      <c r="K182" s="277"/>
      <c r="L182" s="277"/>
      <c r="M182" s="277"/>
      <c r="N182" s="278"/>
    </row>
    <row r="183" spans="1:14" ht="30.6" customHeight="1">
      <c r="A183" s="262" t="s">
        <v>1541</v>
      </c>
      <c r="B183" s="263"/>
      <c r="C183" s="263"/>
      <c r="D183" s="263"/>
      <c r="E183" s="263"/>
      <c r="F183" s="263"/>
      <c r="G183" s="263"/>
      <c r="H183" s="263"/>
      <c r="I183" s="72"/>
      <c r="J183" s="72"/>
      <c r="K183" s="72"/>
      <c r="L183" s="72"/>
      <c r="M183" s="72"/>
      <c r="N183" s="73"/>
    </row>
    <row r="184" spans="1:14" ht="42" customHeight="1" thickBot="1">
      <c r="A184" s="265"/>
      <c r="B184" s="266"/>
      <c r="C184" s="266"/>
      <c r="D184" s="266"/>
      <c r="E184" s="266"/>
      <c r="F184" s="266"/>
      <c r="G184" s="266"/>
      <c r="H184" s="266"/>
      <c r="I184" s="74"/>
      <c r="J184" s="74"/>
      <c r="K184" s="74"/>
      <c r="L184" s="74"/>
      <c r="M184" s="74"/>
      <c r="N184" s="75"/>
    </row>
    <row r="185" spans="1:14" ht="189.6" customHeight="1" thickBot="1">
      <c r="A185" s="377"/>
      <c r="B185" s="378"/>
      <c r="C185" s="378"/>
      <c r="D185" s="378"/>
      <c r="E185" s="378"/>
      <c r="F185" s="378"/>
      <c r="G185" s="378"/>
      <c r="H185" s="378"/>
      <c r="I185" s="378"/>
      <c r="J185" s="378"/>
      <c r="K185" s="378"/>
      <c r="L185" s="378"/>
      <c r="M185" s="378"/>
      <c r="N185" s="379"/>
    </row>
    <row r="186" spans="1:14" ht="31.15" customHeight="1">
      <c r="A186" s="262" t="s">
        <v>1572</v>
      </c>
      <c r="B186" s="263"/>
      <c r="C186" s="263"/>
      <c r="D186" s="263"/>
      <c r="E186" s="263"/>
      <c r="F186" s="263"/>
      <c r="G186" s="263"/>
      <c r="H186" s="263"/>
      <c r="I186" s="72"/>
      <c r="J186" s="72"/>
      <c r="K186" s="72"/>
      <c r="L186" s="72"/>
      <c r="M186" s="72"/>
      <c r="N186" s="73"/>
    </row>
    <row r="187" spans="1:14" ht="42.6" customHeight="1" thickBot="1">
      <c r="A187" s="265"/>
      <c r="B187" s="266"/>
      <c r="C187" s="266"/>
      <c r="D187" s="266"/>
      <c r="E187" s="266"/>
      <c r="F187" s="266"/>
      <c r="G187" s="266"/>
      <c r="H187" s="266"/>
      <c r="I187" s="74"/>
      <c r="J187" s="74"/>
      <c r="K187" s="74"/>
      <c r="L187" s="74"/>
      <c r="M187" s="74"/>
      <c r="N187" s="75"/>
    </row>
    <row r="188" spans="1:14" ht="39.6" customHeight="1">
      <c r="A188" s="380" t="s">
        <v>1542</v>
      </c>
      <c r="B188" s="381"/>
      <c r="C188" s="381"/>
      <c r="D188" s="381"/>
      <c r="E188" s="381"/>
      <c r="F188" s="381"/>
      <c r="G188" s="381"/>
      <c r="H188" s="381"/>
      <c r="I188" s="381"/>
      <c r="J188" s="381"/>
      <c r="K188" s="381"/>
      <c r="L188" s="381"/>
      <c r="M188" s="381"/>
      <c r="N188" s="382"/>
    </row>
    <row r="189" spans="1:14" ht="109.5" customHeight="1">
      <c r="A189" s="273"/>
      <c r="B189" s="274"/>
      <c r="C189" s="274"/>
      <c r="D189" s="274"/>
      <c r="E189" s="274"/>
      <c r="F189" s="274"/>
      <c r="G189" s="274"/>
      <c r="H189" s="274"/>
      <c r="I189" s="274"/>
      <c r="J189" s="274"/>
      <c r="K189" s="274"/>
      <c r="L189" s="274"/>
      <c r="M189" s="274"/>
      <c r="N189" s="275"/>
    </row>
    <row r="190" spans="1:14" ht="39.6" customHeight="1">
      <c r="A190" s="383" t="s">
        <v>1543</v>
      </c>
      <c r="B190" s="384"/>
      <c r="C190" s="384"/>
      <c r="D190" s="384"/>
      <c r="E190" s="384"/>
      <c r="F190" s="384"/>
      <c r="G190" s="384"/>
      <c r="H190" s="384"/>
      <c r="I190" s="384"/>
      <c r="J190" s="384"/>
      <c r="K190" s="384"/>
      <c r="L190" s="384"/>
      <c r="M190" s="384"/>
      <c r="N190" s="385"/>
    </row>
    <row r="191" spans="1:14" ht="109.9" customHeight="1">
      <c r="A191" s="273"/>
      <c r="B191" s="274"/>
      <c r="C191" s="274"/>
      <c r="D191" s="274"/>
      <c r="E191" s="274"/>
      <c r="F191" s="274"/>
      <c r="G191" s="274"/>
      <c r="H191" s="274"/>
      <c r="I191" s="274"/>
      <c r="J191" s="274"/>
      <c r="K191" s="274"/>
      <c r="L191" s="274"/>
      <c r="M191" s="274"/>
      <c r="N191" s="275"/>
    </row>
    <row r="192" spans="1:14" ht="39.6" customHeight="1">
      <c r="A192" s="383" t="s">
        <v>1544</v>
      </c>
      <c r="B192" s="384"/>
      <c r="C192" s="384"/>
      <c r="D192" s="384"/>
      <c r="E192" s="384"/>
      <c r="F192" s="384"/>
      <c r="G192" s="384"/>
      <c r="H192" s="384"/>
      <c r="I192" s="384"/>
      <c r="J192" s="384"/>
      <c r="K192" s="384"/>
      <c r="L192" s="384"/>
      <c r="M192" s="384"/>
      <c r="N192" s="385"/>
    </row>
    <row r="193" spans="1:14" ht="109.9" customHeight="1">
      <c r="A193" s="273"/>
      <c r="B193" s="274"/>
      <c r="C193" s="274"/>
      <c r="D193" s="274"/>
      <c r="E193" s="274"/>
      <c r="F193" s="274"/>
      <c r="G193" s="274"/>
      <c r="H193" s="274"/>
      <c r="I193" s="274"/>
      <c r="J193" s="274"/>
      <c r="K193" s="274"/>
      <c r="L193" s="274"/>
      <c r="M193" s="274"/>
      <c r="N193" s="275"/>
    </row>
    <row r="194" spans="1:14" ht="39.6" customHeight="1">
      <c r="A194" s="383" t="s">
        <v>1545</v>
      </c>
      <c r="B194" s="384"/>
      <c r="C194" s="384"/>
      <c r="D194" s="384"/>
      <c r="E194" s="384"/>
      <c r="F194" s="384"/>
      <c r="G194" s="384"/>
      <c r="H194" s="384"/>
      <c r="I194" s="384"/>
      <c r="J194" s="384"/>
      <c r="K194" s="384"/>
      <c r="L194" s="384"/>
      <c r="M194" s="384"/>
      <c r="N194" s="385"/>
    </row>
    <row r="195" spans="1:14" ht="109.9" customHeight="1">
      <c r="A195" s="273"/>
      <c r="B195" s="274"/>
      <c r="C195" s="274"/>
      <c r="D195" s="274"/>
      <c r="E195" s="274"/>
      <c r="F195" s="274"/>
      <c r="G195" s="274"/>
      <c r="H195" s="274"/>
      <c r="I195" s="274"/>
      <c r="J195" s="274"/>
      <c r="K195" s="274"/>
      <c r="L195" s="274"/>
      <c r="M195" s="274"/>
      <c r="N195" s="275"/>
    </row>
    <row r="196" spans="1:14" ht="39.6" customHeight="1">
      <c r="A196" s="383" t="s">
        <v>1546</v>
      </c>
      <c r="B196" s="384"/>
      <c r="C196" s="384"/>
      <c r="D196" s="384"/>
      <c r="E196" s="384"/>
      <c r="F196" s="384"/>
      <c r="G196" s="384"/>
      <c r="H196" s="384"/>
      <c r="I196" s="384"/>
      <c r="J196" s="384"/>
      <c r="K196" s="384"/>
      <c r="L196" s="384"/>
      <c r="M196" s="384"/>
      <c r="N196" s="385"/>
    </row>
    <row r="197" spans="1:14" ht="111" customHeight="1" thickBot="1">
      <c r="A197" s="276"/>
      <c r="B197" s="277"/>
      <c r="C197" s="277"/>
      <c r="D197" s="277"/>
      <c r="E197" s="277"/>
      <c r="F197" s="277"/>
      <c r="G197" s="277"/>
      <c r="H197" s="277"/>
      <c r="I197" s="277"/>
      <c r="J197" s="277"/>
      <c r="K197" s="277"/>
      <c r="L197" s="277"/>
      <c r="M197" s="277"/>
      <c r="N197" s="278"/>
    </row>
    <row r="198" spans="1:14" ht="31.15" customHeight="1">
      <c r="A198" s="262" t="s">
        <v>1562</v>
      </c>
      <c r="B198" s="263"/>
      <c r="C198" s="263"/>
      <c r="D198" s="263"/>
      <c r="E198" s="263"/>
      <c r="F198" s="263"/>
      <c r="G198" s="263"/>
      <c r="H198" s="263"/>
      <c r="I198" s="263"/>
      <c r="J198" s="263"/>
      <c r="K198" s="263"/>
      <c r="L198" s="263"/>
      <c r="M198" s="263"/>
      <c r="N198" s="264"/>
    </row>
    <row r="199" spans="1:14" ht="42.6" customHeight="1" thickBot="1">
      <c r="A199" s="265"/>
      <c r="B199" s="266"/>
      <c r="C199" s="266"/>
      <c r="D199" s="266"/>
      <c r="E199" s="266"/>
      <c r="F199" s="266"/>
      <c r="G199" s="266"/>
      <c r="H199" s="266"/>
      <c r="I199" s="266"/>
      <c r="J199" s="266"/>
      <c r="K199" s="266"/>
      <c r="L199" s="266"/>
      <c r="M199" s="266"/>
      <c r="N199" s="267"/>
    </row>
    <row r="200" spans="1:14" ht="43.9" customHeight="1">
      <c r="A200" s="268" t="s">
        <v>1547</v>
      </c>
      <c r="B200" s="269"/>
      <c r="C200" s="269"/>
      <c r="D200" s="269"/>
      <c r="E200" s="269"/>
      <c r="F200" s="269"/>
      <c r="G200" s="386" t="s">
        <v>1548</v>
      </c>
      <c r="H200" s="386"/>
      <c r="I200" s="386"/>
      <c r="J200" s="386"/>
      <c r="K200" s="386"/>
      <c r="L200" s="386"/>
      <c r="M200" s="386"/>
      <c r="N200" s="387"/>
    </row>
    <row r="201" spans="1:14" ht="43.9" customHeight="1">
      <c r="A201" s="260" t="s">
        <v>1549</v>
      </c>
      <c r="B201" s="261"/>
      <c r="C201" s="261"/>
      <c r="D201" s="261"/>
      <c r="E201" s="261"/>
      <c r="F201" s="261"/>
      <c r="G201" s="258" t="s">
        <v>1548</v>
      </c>
      <c r="H201" s="258"/>
      <c r="I201" s="258"/>
      <c r="J201" s="258"/>
      <c r="K201" s="258"/>
      <c r="L201" s="258"/>
      <c r="M201" s="258"/>
      <c r="N201" s="259"/>
    </row>
    <row r="202" spans="1:14" ht="43.9" customHeight="1">
      <c r="A202" s="260" t="s">
        <v>1550</v>
      </c>
      <c r="B202" s="261"/>
      <c r="C202" s="261"/>
      <c r="D202" s="261"/>
      <c r="E202" s="261"/>
      <c r="F202" s="261"/>
      <c r="G202" s="258" t="s">
        <v>1548</v>
      </c>
      <c r="H202" s="258"/>
      <c r="I202" s="258"/>
      <c r="J202" s="258"/>
      <c r="K202" s="258"/>
      <c r="L202" s="258"/>
      <c r="M202" s="258"/>
      <c r="N202" s="259"/>
    </row>
    <row r="203" spans="1:14" ht="43.9" customHeight="1">
      <c r="A203" s="260" t="s">
        <v>1563</v>
      </c>
      <c r="B203" s="261"/>
      <c r="C203" s="261"/>
      <c r="D203" s="261"/>
      <c r="E203" s="261"/>
      <c r="F203" s="261"/>
      <c r="G203" s="258" t="s">
        <v>1548</v>
      </c>
      <c r="H203" s="258"/>
      <c r="I203" s="258"/>
      <c r="J203" s="258"/>
      <c r="K203" s="258"/>
      <c r="L203" s="258"/>
      <c r="M203" s="258"/>
      <c r="N203" s="259"/>
    </row>
    <row r="204" spans="1:14" ht="43.9" customHeight="1">
      <c r="A204" s="260" t="s">
        <v>1551</v>
      </c>
      <c r="B204" s="261"/>
      <c r="C204" s="261"/>
      <c r="D204" s="261"/>
      <c r="E204" s="261"/>
      <c r="F204" s="261"/>
      <c r="G204" s="258" t="s">
        <v>1548</v>
      </c>
      <c r="H204" s="258"/>
      <c r="I204" s="258"/>
      <c r="J204" s="258"/>
      <c r="K204" s="258"/>
      <c r="L204" s="258"/>
      <c r="M204" s="258"/>
      <c r="N204" s="259"/>
    </row>
    <row r="205" spans="1:14" ht="43.9" customHeight="1">
      <c r="A205" s="260" t="s">
        <v>1552</v>
      </c>
      <c r="B205" s="261"/>
      <c r="C205" s="261"/>
      <c r="D205" s="261"/>
      <c r="E205" s="261"/>
      <c r="F205" s="261"/>
      <c r="G205" s="258" t="s">
        <v>1548</v>
      </c>
      <c r="H205" s="258"/>
      <c r="I205" s="258"/>
      <c r="J205" s="258"/>
      <c r="K205" s="258"/>
      <c r="L205" s="258"/>
      <c r="M205" s="258"/>
      <c r="N205" s="259"/>
    </row>
    <row r="206" spans="1:14" ht="43.9" customHeight="1" thickBot="1">
      <c r="A206" s="388" t="s">
        <v>1553</v>
      </c>
      <c r="B206" s="389"/>
      <c r="C206" s="389"/>
      <c r="D206" s="389"/>
      <c r="E206" s="389"/>
      <c r="F206" s="389"/>
      <c r="G206" s="390" t="s">
        <v>1548</v>
      </c>
      <c r="H206" s="390"/>
      <c r="I206" s="390"/>
      <c r="J206" s="390"/>
      <c r="K206" s="390"/>
      <c r="L206" s="390"/>
      <c r="M206" s="390"/>
      <c r="N206" s="391"/>
    </row>
    <row r="207" spans="1:14" ht="33.75">
      <c r="A207" s="262" t="s">
        <v>1554</v>
      </c>
      <c r="B207" s="263"/>
      <c r="C207" s="263"/>
      <c r="D207" s="263"/>
      <c r="E207" s="263"/>
      <c r="F207" s="263"/>
      <c r="G207" s="263"/>
      <c r="H207" s="263"/>
      <c r="I207" s="76"/>
      <c r="J207" s="76"/>
      <c r="K207" s="76"/>
      <c r="L207" s="76"/>
      <c r="M207" s="76"/>
      <c r="N207" s="77"/>
    </row>
    <row r="208" spans="1:14" ht="34.5" thickBot="1">
      <c r="A208" s="265"/>
      <c r="B208" s="266"/>
      <c r="C208" s="266"/>
      <c r="D208" s="266"/>
      <c r="E208" s="266"/>
      <c r="F208" s="266"/>
      <c r="G208" s="266"/>
      <c r="H208" s="266"/>
      <c r="I208" s="78"/>
      <c r="J208" s="78"/>
      <c r="K208" s="78"/>
      <c r="L208" s="78"/>
      <c r="M208" s="78"/>
      <c r="N208" s="79"/>
    </row>
    <row r="209" spans="1:14" ht="321" customHeight="1" thickBot="1">
      <c r="A209" s="377"/>
      <c r="B209" s="378"/>
      <c r="C209" s="378"/>
      <c r="D209" s="378"/>
      <c r="E209" s="378"/>
      <c r="F209" s="378"/>
      <c r="G209" s="378"/>
      <c r="H209" s="378"/>
      <c r="I209" s="378"/>
      <c r="J209" s="378"/>
      <c r="K209" s="378"/>
      <c r="L209" s="378"/>
      <c r="M209" s="378"/>
      <c r="N209" s="379"/>
    </row>
  </sheetData>
  <mergeCells count="226">
    <mergeCell ref="A135:F140"/>
    <mergeCell ref="A141:F146"/>
    <mergeCell ref="A153:H154"/>
    <mergeCell ref="A155:E159"/>
    <mergeCell ref="F155:H155"/>
    <mergeCell ref="F156:H156"/>
    <mergeCell ref="F157:H157"/>
    <mergeCell ref="F158:H158"/>
    <mergeCell ref="F159:H159"/>
    <mergeCell ref="A147:F152"/>
    <mergeCell ref="A209:N209"/>
    <mergeCell ref="A185:N185"/>
    <mergeCell ref="A189:N189"/>
    <mergeCell ref="A191:N191"/>
    <mergeCell ref="A193:N193"/>
    <mergeCell ref="A195:N195"/>
    <mergeCell ref="A197:N197"/>
    <mergeCell ref="A188:N188"/>
    <mergeCell ref="A190:N190"/>
    <mergeCell ref="A192:N192"/>
    <mergeCell ref="A194:N194"/>
    <mergeCell ref="A196:N196"/>
    <mergeCell ref="G200:N200"/>
    <mergeCell ref="A186:H187"/>
    <mergeCell ref="A207:H208"/>
    <mergeCell ref="A204:F204"/>
    <mergeCell ref="G204:N204"/>
    <mergeCell ref="A205:F205"/>
    <mergeCell ref="G205:N205"/>
    <mergeCell ref="A206:F206"/>
    <mergeCell ref="G206:N206"/>
    <mergeCell ref="A201:F201"/>
    <mergeCell ref="G201:N201"/>
    <mergeCell ref="A202:F202"/>
    <mergeCell ref="G16:H16"/>
    <mergeCell ref="A17:F17"/>
    <mergeCell ref="G17:H17"/>
    <mergeCell ref="A18:F18"/>
    <mergeCell ref="G18:H18"/>
    <mergeCell ref="A1:F1"/>
    <mergeCell ref="G1:H1"/>
    <mergeCell ref="E3:F3"/>
    <mergeCell ref="A2:D2"/>
    <mergeCell ref="A3:D3"/>
    <mergeCell ref="E2:F2"/>
    <mergeCell ref="G2:H2"/>
    <mergeCell ref="G3:H3"/>
    <mergeCell ref="A16:F16"/>
    <mergeCell ref="G23:H23"/>
    <mergeCell ref="G24:H24"/>
    <mergeCell ref="A25:H25"/>
    <mergeCell ref="A26:E35"/>
    <mergeCell ref="A36:E45"/>
    <mergeCell ref="A24:F24"/>
    <mergeCell ref="A129:F134"/>
    <mergeCell ref="A7:F7"/>
    <mergeCell ref="G7:H7"/>
    <mergeCell ref="A8:F8"/>
    <mergeCell ref="G8:H8"/>
    <mergeCell ref="A9:F9"/>
    <mergeCell ref="G9:H9"/>
    <mergeCell ref="A13:F13"/>
    <mergeCell ref="G13:H13"/>
    <mergeCell ref="A14:F14"/>
    <mergeCell ref="G14:H14"/>
    <mergeCell ref="A15:F15"/>
    <mergeCell ref="G15:H15"/>
    <mergeCell ref="A10:F10"/>
    <mergeCell ref="G10:H10"/>
    <mergeCell ref="A11:F11"/>
    <mergeCell ref="A20:F20"/>
    <mergeCell ref="G20:H20"/>
    <mergeCell ref="A117:F122"/>
    <mergeCell ref="A123:F128"/>
    <mergeCell ref="A4:F4"/>
    <mergeCell ref="G4:H4"/>
    <mergeCell ref="A5:F5"/>
    <mergeCell ref="G5:H5"/>
    <mergeCell ref="A6:F6"/>
    <mergeCell ref="G6:H6"/>
    <mergeCell ref="G11:H11"/>
    <mergeCell ref="A12:F12"/>
    <mergeCell ref="G12:H12"/>
    <mergeCell ref="A19:F19"/>
    <mergeCell ref="G19:H19"/>
    <mergeCell ref="A116:H116"/>
    <mergeCell ref="A46:E55"/>
    <mergeCell ref="A56:E65"/>
    <mergeCell ref="A21:F21"/>
    <mergeCell ref="G21:H21"/>
    <mergeCell ref="F26:F35"/>
    <mergeCell ref="F36:F45"/>
    <mergeCell ref="F46:F55"/>
    <mergeCell ref="A22:F22"/>
    <mergeCell ref="G22:H22"/>
    <mergeCell ref="A23:F23"/>
    <mergeCell ref="A66:E75"/>
    <mergeCell ref="A76:E85"/>
    <mergeCell ref="A86:E95"/>
    <mergeCell ref="A96:E105"/>
    <mergeCell ref="A106:E115"/>
    <mergeCell ref="F86:F95"/>
    <mergeCell ref="F96:F105"/>
    <mergeCell ref="F106:F115"/>
    <mergeCell ref="F56:F65"/>
    <mergeCell ref="F66:F75"/>
    <mergeCell ref="F76:F85"/>
    <mergeCell ref="I1:N1"/>
    <mergeCell ref="I2:K2"/>
    <mergeCell ref="L2:N2"/>
    <mergeCell ref="I26:I35"/>
    <mergeCell ref="J26:J35"/>
    <mergeCell ref="K26:K35"/>
    <mergeCell ref="L26:L35"/>
    <mergeCell ref="M26:M35"/>
    <mergeCell ref="N26:N35"/>
    <mergeCell ref="I3:N3"/>
    <mergeCell ref="N36:N45"/>
    <mergeCell ref="I46:I55"/>
    <mergeCell ref="J46:J55"/>
    <mergeCell ref="K46:K55"/>
    <mergeCell ref="L46:L55"/>
    <mergeCell ref="M46:M55"/>
    <mergeCell ref="N46:N55"/>
    <mergeCell ref="I36:I45"/>
    <mergeCell ref="J36:J45"/>
    <mergeCell ref="K36:K45"/>
    <mergeCell ref="L36:L45"/>
    <mergeCell ref="M36:M45"/>
    <mergeCell ref="N56:N65"/>
    <mergeCell ref="I66:I75"/>
    <mergeCell ref="J66:J75"/>
    <mergeCell ref="K66:K75"/>
    <mergeCell ref="L66:L75"/>
    <mergeCell ref="M66:M75"/>
    <mergeCell ref="N66:N75"/>
    <mergeCell ref="I56:I65"/>
    <mergeCell ref="J56:J65"/>
    <mergeCell ref="K56:K65"/>
    <mergeCell ref="L56:L65"/>
    <mergeCell ref="M56:M65"/>
    <mergeCell ref="N76:N85"/>
    <mergeCell ref="I86:I95"/>
    <mergeCell ref="J86:J95"/>
    <mergeCell ref="K86:K95"/>
    <mergeCell ref="L86:L95"/>
    <mergeCell ref="M86:M95"/>
    <mergeCell ref="N86:N95"/>
    <mergeCell ref="I76:I85"/>
    <mergeCell ref="J76:J85"/>
    <mergeCell ref="K76:K85"/>
    <mergeCell ref="L76:L85"/>
    <mergeCell ref="M76:M85"/>
    <mergeCell ref="N96:N105"/>
    <mergeCell ref="I106:I115"/>
    <mergeCell ref="J106:J115"/>
    <mergeCell ref="K106:K115"/>
    <mergeCell ref="L106:L115"/>
    <mergeCell ref="M106:M115"/>
    <mergeCell ref="N106:N115"/>
    <mergeCell ref="I96:I105"/>
    <mergeCell ref="J96:J105"/>
    <mergeCell ref="K96:K105"/>
    <mergeCell ref="L96:L105"/>
    <mergeCell ref="M96:M105"/>
    <mergeCell ref="N117:N122"/>
    <mergeCell ref="I123:I128"/>
    <mergeCell ref="J123:J128"/>
    <mergeCell ref="K123:K128"/>
    <mergeCell ref="L123:L128"/>
    <mergeCell ref="M123:M128"/>
    <mergeCell ref="N123:N128"/>
    <mergeCell ref="I117:I122"/>
    <mergeCell ref="J117:J122"/>
    <mergeCell ref="K117:K122"/>
    <mergeCell ref="L117:L122"/>
    <mergeCell ref="M117:M122"/>
    <mergeCell ref="N129:N134"/>
    <mergeCell ref="I135:I140"/>
    <mergeCell ref="J135:J140"/>
    <mergeCell ref="K135:K140"/>
    <mergeCell ref="L135:L140"/>
    <mergeCell ref="M135:M140"/>
    <mergeCell ref="N135:N140"/>
    <mergeCell ref="I129:I134"/>
    <mergeCell ref="J129:J134"/>
    <mergeCell ref="K129:K134"/>
    <mergeCell ref="L129:L134"/>
    <mergeCell ref="M129:M134"/>
    <mergeCell ref="N141:N146"/>
    <mergeCell ref="I147:I152"/>
    <mergeCell ref="J147:J152"/>
    <mergeCell ref="K147:K152"/>
    <mergeCell ref="L147:L152"/>
    <mergeCell ref="M147:M152"/>
    <mergeCell ref="N147:N152"/>
    <mergeCell ref="I141:I146"/>
    <mergeCell ref="J141:J146"/>
    <mergeCell ref="K141:K146"/>
    <mergeCell ref="L141:L146"/>
    <mergeCell ref="M141:M146"/>
    <mergeCell ref="N153:N154"/>
    <mergeCell ref="I153:I154"/>
    <mergeCell ref="J153:J154"/>
    <mergeCell ref="K153:K154"/>
    <mergeCell ref="L153:L154"/>
    <mergeCell ref="M153:M154"/>
    <mergeCell ref="A160:F164"/>
    <mergeCell ref="H160:N160"/>
    <mergeCell ref="H161:N161"/>
    <mergeCell ref="H162:N162"/>
    <mergeCell ref="H163:N163"/>
    <mergeCell ref="H164:N164"/>
    <mergeCell ref="G202:N202"/>
    <mergeCell ref="A203:F203"/>
    <mergeCell ref="G203:N203"/>
    <mergeCell ref="A198:N199"/>
    <mergeCell ref="A200:F200"/>
    <mergeCell ref="F166:N170"/>
    <mergeCell ref="F165:N165"/>
    <mergeCell ref="F171:N171"/>
    <mergeCell ref="A183:H184"/>
    <mergeCell ref="A165:E182"/>
    <mergeCell ref="F172:N176"/>
    <mergeCell ref="F177:N177"/>
    <mergeCell ref="F178:N182"/>
  </mergeCells>
  <conditionalFormatting sqref="H26:H35">
    <cfRule type="containsErrors" dxfId="150" priority="85">
      <formula>ISERROR(H26)</formula>
    </cfRule>
  </conditionalFormatting>
  <conditionalFormatting sqref="H36:H45">
    <cfRule type="containsErrors" dxfId="149" priority="84">
      <formula>ISERROR(H36)</formula>
    </cfRule>
  </conditionalFormatting>
  <conditionalFormatting sqref="H46:H55">
    <cfRule type="containsErrors" dxfId="148" priority="83">
      <formula>ISERROR(H46)</formula>
    </cfRule>
  </conditionalFormatting>
  <conditionalFormatting sqref="A11:A12">
    <cfRule type="containsErrors" dxfId="147" priority="82">
      <formula>ISERROR(A11)</formula>
    </cfRule>
  </conditionalFormatting>
  <conditionalFormatting sqref="G11">
    <cfRule type="containsErrors" dxfId="146" priority="81">
      <formula>ISERROR(G11)</formula>
    </cfRule>
  </conditionalFormatting>
  <conditionalFormatting sqref="H56:H65">
    <cfRule type="containsErrors" dxfId="145" priority="80">
      <formula>ISERROR(H56)</formula>
    </cfRule>
  </conditionalFormatting>
  <conditionalFormatting sqref="H66:H75">
    <cfRule type="containsErrors" dxfId="144" priority="79">
      <formula>ISERROR(H66)</formula>
    </cfRule>
  </conditionalFormatting>
  <conditionalFormatting sqref="H76:H85">
    <cfRule type="containsErrors" dxfId="143" priority="78">
      <formula>ISERROR(H76)</formula>
    </cfRule>
  </conditionalFormatting>
  <conditionalFormatting sqref="H86:H95">
    <cfRule type="containsErrors" dxfId="142" priority="77">
      <formula>ISERROR(H86)</formula>
    </cfRule>
  </conditionalFormatting>
  <conditionalFormatting sqref="G23">
    <cfRule type="containsErrors" dxfId="141" priority="53">
      <formula>ISERROR(G23)</formula>
    </cfRule>
  </conditionalFormatting>
  <conditionalFormatting sqref="H96:H105">
    <cfRule type="containsErrors" dxfId="140" priority="76">
      <formula>ISERROR(H96)</formula>
    </cfRule>
  </conditionalFormatting>
  <conditionalFormatting sqref="H106:H115">
    <cfRule type="containsErrors" dxfId="139" priority="75">
      <formula>ISERROR(H106)</formula>
    </cfRule>
  </conditionalFormatting>
  <conditionalFormatting sqref="A13">
    <cfRule type="containsErrors" dxfId="138" priority="74">
      <formula>ISERROR(A13)</formula>
    </cfRule>
  </conditionalFormatting>
  <conditionalFormatting sqref="A14">
    <cfRule type="containsErrors" dxfId="137" priority="73">
      <formula>ISERROR(A14)</formula>
    </cfRule>
  </conditionalFormatting>
  <conditionalFormatting sqref="A15">
    <cfRule type="containsErrors" dxfId="136" priority="72">
      <formula>ISERROR(A15)</formula>
    </cfRule>
  </conditionalFormatting>
  <conditionalFormatting sqref="A16">
    <cfRule type="containsErrors" dxfId="135" priority="71">
      <formula>ISERROR(A16)</formula>
    </cfRule>
  </conditionalFormatting>
  <conditionalFormatting sqref="A17">
    <cfRule type="containsErrors" dxfId="134" priority="70">
      <formula>ISERROR(A17)</formula>
    </cfRule>
  </conditionalFormatting>
  <conditionalFormatting sqref="A18">
    <cfRule type="containsErrors" dxfId="133" priority="69">
      <formula>ISERROR(A18)</formula>
    </cfRule>
  </conditionalFormatting>
  <conditionalFormatting sqref="A19">
    <cfRule type="containsErrors" dxfId="132" priority="68">
      <formula>ISERROR(A19)</formula>
    </cfRule>
  </conditionalFormatting>
  <conditionalFormatting sqref="A20">
    <cfRule type="containsErrors" dxfId="131" priority="67">
      <formula>ISERROR(A20)</formula>
    </cfRule>
  </conditionalFormatting>
  <conditionalFormatting sqref="A21">
    <cfRule type="containsErrors" dxfId="130" priority="66">
      <formula>ISERROR(A21)</formula>
    </cfRule>
  </conditionalFormatting>
  <conditionalFormatting sqref="A22">
    <cfRule type="containsErrors" dxfId="129" priority="65">
      <formula>ISERROR(A22)</formula>
    </cfRule>
  </conditionalFormatting>
  <conditionalFormatting sqref="G12">
    <cfRule type="containsErrors" dxfId="128" priority="63">
      <formula>ISERROR(G12)</formula>
    </cfRule>
  </conditionalFormatting>
  <conditionalFormatting sqref="G14">
    <cfRule type="containsErrors" dxfId="127" priority="62">
      <formula>ISERROR(G14)</formula>
    </cfRule>
  </conditionalFormatting>
  <conditionalFormatting sqref="G15">
    <cfRule type="containsErrors" dxfId="126" priority="61">
      <formula>ISERROR(G15)</formula>
    </cfRule>
  </conditionalFormatting>
  <conditionalFormatting sqref="G16">
    <cfRule type="containsErrors" dxfId="125" priority="60">
      <formula>ISERROR(G16)</formula>
    </cfRule>
  </conditionalFormatting>
  <conditionalFormatting sqref="G17">
    <cfRule type="containsErrors" dxfId="124" priority="59">
      <formula>ISERROR(G17)</formula>
    </cfRule>
  </conditionalFormatting>
  <conditionalFormatting sqref="G18">
    <cfRule type="containsErrors" dxfId="123" priority="58">
      <formula>ISERROR(G18)</formula>
    </cfRule>
  </conditionalFormatting>
  <conditionalFormatting sqref="G19">
    <cfRule type="containsErrors" dxfId="122" priority="57">
      <formula>ISERROR(G19)</formula>
    </cfRule>
  </conditionalFormatting>
  <conditionalFormatting sqref="G20">
    <cfRule type="containsErrors" dxfId="121" priority="56">
      <formula>ISERROR(G20)</formula>
    </cfRule>
  </conditionalFormatting>
  <conditionalFormatting sqref="G21">
    <cfRule type="containsErrors" dxfId="120" priority="55">
      <formula>ISERROR(G21)</formula>
    </cfRule>
  </conditionalFormatting>
  <conditionalFormatting sqref="G22">
    <cfRule type="containsErrors" dxfId="119" priority="54">
      <formula>ISERROR(G22)</formula>
    </cfRule>
  </conditionalFormatting>
  <conditionalFormatting sqref="G143">
    <cfRule type="cellIs" dxfId="118" priority="21" operator="equal">
      <formula>0</formula>
    </cfRule>
  </conditionalFormatting>
  <conditionalFormatting sqref="G144">
    <cfRule type="cellIs" dxfId="117" priority="20" operator="equal">
      <formula>0</formula>
    </cfRule>
  </conditionalFormatting>
  <conditionalFormatting sqref="G26:G115">
    <cfRule type="containsErrors" dxfId="116" priority="48">
      <formula>ISERROR(G26)</formula>
    </cfRule>
  </conditionalFormatting>
  <conditionalFormatting sqref="G6:G10">
    <cfRule type="containsErrors" dxfId="115" priority="47">
      <formula>ISERROR(G6)</formula>
    </cfRule>
  </conditionalFormatting>
  <conditionalFormatting sqref="G5">
    <cfRule type="containsErrors" dxfId="114" priority="46">
      <formula>ISERROR(G5)</formula>
    </cfRule>
  </conditionalFormatting>
  <conditionalFormatting sqref="G13">
    <cfRule type="containsErrors" dxfId="113" priority="45">
      <formula>ISERROR(G13)</formula>
    </cfRule>
  </conditionalFormatting>
  <conditionalFormatting sqref="A5:A10">
    <cfRule type="containsErrors" dxfId="112" priority="44">
      <formula>ISERROR(A5)</formula>
    </cfRule>
  </conditionalFormatting>
  <conditionalFormatting sqref="G24">
    <cfRule type="containsErrors" dxfId="111" priority="52">
      <formula>ISERROR(G24)</formula>
    </cfRule>
  </conditionalFormatting>
  <conditionalFormatting sqref="A23">
    <cfRule type="containsErrors" dxfId="110" priority="64">
      <formula>ISERROR(A23)</formula>
    </cfRule>
  </conditionalFormatting>
  <conditionalFormatting sqref="F155:H159">
    <cfRule type="cellIs" dxfId="109" priority="49" operator="equal">
      <formula>0</formula>
    </cfRule>
  </conditionalFormatting>
  <conditionalFormatting sqref="G117">
    <cfRule type="cellIs" dxfId="108" priority="43" operator="equal">
      <formula>0</formula>
    </cfRule>
  </conditionalFormatting>
  <conditionalFormatting sqref="G118 G122">
    <cfRule type="cellIs" dxfId="107" priority="42" operator="equal">
      <formula>0</formula>
    </cfRule>
  </conditionalFormatting>
  <conditionalFormatting sqref="G119">
    <cfRule type="cellIs" dxfId="106" priority="41" operator="equal">
      <formula>0</formula>
    </cfRule>
  </conditionalFormatting>
  <conditionalFormatting sqref="G120">
    <cfRule type="cellIs" dxfId="105" priority="40" operator="equal">
      <formula>0</formula>
    </cfRule>
  </conditionalFormatting>
  <conditionalFormatting sqref="G121">
    <cfRule type="cellIs" dxfId="104" priority="39" operator="equal">
      <formula>0</formula>
    </cfRule>
  </conditionalFormatting>
  <conditionalFormatting sqref="G123">
    <cfRule type="cellIs" dxfId="103" priority="38" operator="equal">
      <formula>0</formula>
    </cfRule>
  </conditionalFormatting>
  <conditionalFormatting sqref="G124 G128">
    <cfRule type="cellIs" dxfId="102" priority="37" operator="equal">
      <formula>0</formula>
    </cfRule>
  </conditionalFormatting>
  <conditionalFormatting sqref="G125">
    <cfRule type="cellIs" dxfId="101" priority="36" operator="equal">
      <formula>0</formula>
    </cfRule>
  </conditionalFormatting>
  <conditionalFormatting sqref="G126">
    <cfRule type="cellIs" dxfId="100" priority="35" operator="equal">
      <formula>0</formula>
    </cfRule>
  </conditionalFormatting>
  <conditionalFormatting sqref="G127">
    <cfRule type="cellIs" dxfId="99" priority="34" operator="equal">
      <formula>0</formula>
    </cfRule>
  </conditionalFormatting>
  <conditionalFormatting sqref="G129">
    <cfRule type="cellIs" dxfId="98" priority="33" operator="equal">
      <formula>0</formula>
    </cfRule>
  </conditionalFormatting>
  <conditionalFormatting sqref="G130 G134">
    <cfRule type="cellIs" dxfId="97" priority="32" operator="equal">
      <formula>0</formula>
    </cfRule>
  </conditionalFormatting>
  <conditionalFormatting sqref="G131">
    <cfRule type="cellIs" dxfId="96" priority="31" operator="equal">
      <formula>0</formula>
    </cfRule>
  </conditionalFormatting>
  <conditionalFormatting sqref="G132">
    <cfRule type="cellIs" dxfId="95" priority="30" operator="equal">
      <formula>0</formula>
    </cfRule>
  </conditionalFormatting>
  <conditionalFormatting sqref="G133">
    <cfRule type="cellIs" dxfId="94" priority="29" operator="equal">
      <formula>0</formula>
    </cfRule>
  </conditionalFormatting>
  <conditionalFormatting sqref="G135">
    <cfRule type="cellIs" dxfId="93" priority="28" operator="equal">
      <formula>0</formula>
    </cfRule>
  </conditionalFormatting>
  <conditionalFormatting sqref="G136 G140">
    <cfRule type="cellIs" dxfId="92" priority="27" operator="equal">
      <formula>0</formula>
    </cfRule>
  </conditionalFormatting>
  <conditionalFormatting sqref="G137">
    <cfRule type="cellIs" dxfId="91" priority="26" operator="equal">
      <formula>0</formula>
    </cfRule>
  </conditionalFormatting>
  <conditionalFormatting sqref="G138">
    <cfRule type="cellIs" dxfId="90" priority="25" operator="equal">
      <formula>0</formula>
    </cfRule>
  </conditionalFormatting>
  <conditionalFormatting sqref="G139">
    <cfRule type="cellIs" dxfId="89" priority="24" operator="equal">
      <formula>0</formula>
    </cfRule>
  </conditionalFormatting>
  <conditionalFormatting sqref="G141">
    <cfRule type="cellIs" dxfId="88" priority="23" operator="equal">
      <formula>0</formula>
    </cfRule>
  </conditionalFormatting>
  <conditionalFormatting sqref="G142 G146">
    <cfRule type="cellIs" dxfId="87" priority="22" operator="equal">
      <formula>0</formula>
    </cfRule>
  </conditionalFormatting>
  <conditionalFormatting sqref="G145">
    <cfRule type="cellIs" dxfId="86" priority="19" operator="equal">
      <formula>0</formula>
    </cfRule>
  </conditionalFormatting>
  <conditionalFormatting sqref="G147">
    <cfRule type="cellIs" dxfId="85" priority="18" operator="equal">
      <formula>0</formula>
    </cfRule>
  </conditionalFormatting>
  <conditionalFormatting sqref="G148 G152">
    <cfRule type="cellIs" dxfId="84" priority="17" operator="equal">
      <formula>0</formula>
    </cfRule>
  </conditionalFormatting>
  <conditionalFormatting sqref="G149">
    <cfRule type="cellIs" dxfId="83" priority="16" operator="equal">
      <formula>0</formula>
    </cfRule>
  </conditionalFormatting>
  <conditionalFormatting sqref="G150">
    <cfRule type="cellIs" dxfId="82" priority="15" operator="equal">
      <formula>0</formula>
    </cfRule>
  </conditionalFormatting>
  <conditionalFormatting sqref="G151">
    <cfRule type="cellIs" dxfId="81" priority="14" operator="equal">
      <formula>0</formula>
    </cfRule>
  </conditionalFormatting>
  <conditionalFormatting sqref="A24">
    <cfRule type="containsErrors" dxfId="80" priority="13">
      <formula>ISERROR(A24)</formula>
    </cfRule>
  </conditionalFormatting>
  <conditionalFormatting sqref="F165">
    <cfRule type="cellIs" dxfId="79" priority="7" operator="equal">
      <formula>0</formula>
    </cfRule>
  </conditionalFormatting>
  <conditionalFormatting sqref="F171">
    <cfRule type="cellIs" dxfId="78" priority="2" operator="equal">
      <formula>0</formula>
    </cfRule>
  </conditionalFormatting>
  <conditionalFormatting sqref="F177">
    <cfRule type="cellIs" dxfId="77" priority="1" operator="equal">
      <formula>0</formula>
    </cfRule>
  </conditionalFormatting>
  <pageMargins left="0" right="0" top="0" bottom="0" header="0" footer="0"/>
  <pageSetup paperSize="9" scale="33" fitToHeight="0" orientation="landscape" verticalDpi="0" r:id="rId1"/>
  <rowBreaks count="5" manualBreakCount="5">
    <brk id="24" max="16383" man="1"/>
    <brk id="115" max="16383" man="1"/>
    <brk id="159" max="16383" man="1"/>
    <brk id="185" max="16383" man="1"/>
    <brk id="209" max="16383" man="1"/>
  </row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1FEA0-973D-434D-9C8C-18D6ABCC7B17}">
  <sheetPr codeName="Verantwoordelijkheden"/>
  <dimension ref="A1:G520"/>
  <sheetViews>
    <sheetView showRowColHeaders="0" zoomScale="49" zoomScaleNormal="49" workbookViewId="0">
      <pane ySplit="1" topLeftCell="A2" activePane="bottomLeft" state="frozen"/>
      <selection pane="bottomLeft" sqref="A1:D1"/>
    </sheetView>
  </sheetViews>
  <sheetFormatPr defaultRowHeight="15"/>
  <cols>
    <col min="1" max="1" width="20.5703125" style="3" bestFit="1" customWidth="1"/>
    <col min="2" max="2" width="13.28515625" style="8" customWidth="1"/>
    <col min="3" max="3" width="106.85546875" bestFit="1" customWidth="1"/>
    <col min="4" max="4" width="141.140625" bestFit="1" customWidth="1"/>
    <col min="5" max="5" width="76.42578125" style="242" customWidth="1"/>
    <col min="6" max="6" width="89.85546875" style="242" customWidth="1"/>
  </cols>
  <sheetData>
    <row r="1" spans="1:7" ht="23.25">
      <c r="A1" s="66" t="s">
        <v>469</v>
      </c>
      <c r="B1" s="7" t="s">
        <v>865</v>
      </c>
      <c r="C1" s="4" t="s">
        <v>470</v>
      </c>
      <c r="D1" s="4" t="s">
        <v>471</v>
      </c>
      <c r="E1" s="243" t="s">
        <v>1621</v>
      </c>
      <c r="F1" s="243" t="s">
        <v>1622</v>
      </c>
      <c r="G1" s="2"/>
    </row>
    <row r="2" spans="1:7" ht="18.75">
      <c r="A2" s="82" t="s">
        <v>502</v>
      </c>
      <c r="B2" s="83"/>
      <c r="C2" s="84" t="s">
        <v>839</v>
      </c>
      <c r="D2" s="85"/>
      <c r="E2" s="84" t="s">
        <v>1623</v>
      </c>
      <c r="F2" s="84" t="s">
        <v>1624</v>
      </c>
      <c r="G2" s="6"/>
    </row>
    <row r="3" spans="1:7" ht="18.75">
      <c r="A3" s="82" t="s">
        <v>502</v>
      </c>
      <c r="B3" s="83"/>
      <c r="C3" s="84" t="s">
        <v>677</v>
      </c>
      <c r="D3" s="86" t="s">
        <v>797</v>
      </c>
      <c r="E3" s="84" t="s">
        <v>1625</v>
      </c>
      <c r="F3" s="86" t="s">
        <v>1626</v>
      </c>
      <c r="G3" s="6"/>
    </row>
    <row r="4" spans="1:7" ht="18.75">
      <c r="A4" s="82" t="s">
        <v>502</v>
      </c>
      <c r="B4" s="83"/>
      <c r="C4" s="84" t="s">
        <v>678</v>
      </c>
      <c r="D4" s="84"/>
      <c r="E4" s="84" t="s">
        <v>1627</v>
      </c>
      <c r="F4" s="84" t="s">
        <v>1628</v>
      </c>
      <c r="G4" s="6"/>
    </row>
    <row r="5" spans="1:7" ht="18.75">
      <c r="A5" s="82" t="s">
        <v>502</v>
      </c>
      <c r="B5" s="83"/>
      <c r="C5" s="84" t="s">
        <v>679</v>
      </c>
      <c r="D5" s="84"/>
      <c r="E5" s="84" t="s">
        <v>1629</v>
      </c>
      <c r="F5" s="84" t="s">
        <v>1630</v>
      </c>
      <c r="G5" s="6"/>
    </row>
    <row r="6" spans="1:7" ht="18.75">
      <c r="A6" s="82" t="s">
        <v>502</v>
      </c>
      <c r="B6" s="83"/>
      <c r="C6" s="84" t="s">
        <v>680</v>
      </c>
      <c r="D6" s="84" t="s">
        <v>798</v>
      </c>
      <c r="E6" s="84" t="s">
        <v>1631</v>
      </c>
      <c r="F6" s="84" t="s">
        <v>1632</v>
      </c>
      <c r="G6" s="6"/>
    </row>
    <row r="7" spans="1:7" ht="18.75">
      <c r="A7" s="82" t="s">
        <v>502</v>
      </c>
      <c r="B7" s="83"/>
      <c r="C7" s="84" t="s">
        <v>681</v>
      </c>
      <c r="D7" s="84" t="s">
        <v>799</v>
      </c>
      <c r="E7" s="84" t="s">
        <v>1633</v>
      </c>
      <c r="F7" s="84" t="s">
        <v>1634</v>
      </c>
      <c r="G7" s="6"/>
    </row>
    <row r="8" spans="1:7" ht="18.75">
      <c r="A8" s="82" t="s">
        <v>502</v>
      </c>
      <c r="B8" s="83"/>
      <c r="C8" s="84" t="s">
        <v>682</v>
      </c>
      <c r="D8" s="84" t="s">
        <v>800</v>
      </c>
      <c r="E8" s="84" t="s">
        <v>1635</v>
      </c>
      <c r="F8" s="84" t="s">
        <v>1636</v>
      </c>
      <c r="G8" s="6"/>
    </row>
    <row r="9" spans="1:7" ht="18.75">
      <c r="A9" s="82" t="s">
        <v>502</v>
      </c>
      <c r="B9" s="83"/>
      <c r="C9" s="84" t="s">
        <v>683</v>
      </c>
      <c r="D9" s="84" t="s">
        <v>801</v>
      </c>
      <c r="E9" s="84" t="s">
        <v>1637</v>
      </c>
      <c r="F9" s="84" t="s">
        <v>1638</v>
      </c>
      <c r="G9" s="6"/>
    </row>
    <row r="10" spans="1:7" ht="18.75">
      <c r="A10" s="82" t="s">
        <v>502</v>
      </c>
      <c r="B10" s="83"/>
      <c r="C10" s="84" t="s">
        <v>922</v>
      </c>
      <c r="D10" s="84" t="s">
        <v>802</v>
      </c>
      <c r="E10" s="84" t="s">
        <v>1639</v>
      </c>
      <c r="F10" s="84" t="s">
        <v>1640</v>
      </c>
      <c r="G10" s="6"/>
    </row>
    <row r="11" spans="1:7" ht="18.75">
      <c r="A11" s="82" t="s">
        <v>502</v>
      </c>
      <c r="B11" s="83"/>
      <c r="C11" s="84" t="s">
        <v>563</v>
      </c>
      <c r="D11" s="84" t="s">
        <v>472</v>
      </c>
      <c r="E11" s="84" t="s">
        <v>1641</v>
      </c>
      <c r="F11" s="84" t="s">
        <v>1642</v>
      </c>
      <c r="G11" s="6"/>
    </row>
    <row r="12" spans="1:7" ht="37.5">
      <c r="A12" s="82" t="s">
        <v>502</v>
      </c>
      <c r="B12" s="83"/>
      <c r="C12" s="84" t="s">
        <v>684</v>
      </c>
      <c r="D12" s="84" t="s">
        <v>803</v>
      </c>
      <c r="E12" s="84" t="s">
        <v>1643</v>
      </c>
      <c r="F12" s="84" t="s">
        <v>1644</v>
      </c>
      <c r="G12" s="6"/>
    </row>
    <row r="13" spans="1:7" ht="37.5">
      <c r="A13" s="87" t="s">
        <v>502</v>
      </c>
      <c r="B13" s="88" t="s">
        <v>1011</v>
      </c>
      <c r="C13" s="89" t="s">
        <v>678</v>
      </c>
      <c r="D13" s="89" t="s">
        <v>1012</v>
      </c>
      <c r="E13" s="84" t="s">
        <v>1645</v>
      </c>
      <c r="F13" s="84" t="s">
        <v>1646</v>
      </c>
      <c r="G13" s="6"/>
    </row>
    <row r="14" spans="1:7" s="1" customFormat="1" ht="18.75">
      <c r="A14" s="87" t="s">
        <v>502</v>
      </c>
      <c r="B14" s="88" t="s">
        <v>1013</v>
      </c>
      <c r="C14" s="89" t="s">
        <v>677</v>
      </c>
      <c r="D14" s="89" t="s">
        <v>797</v>
      </c>
      <c r="E14" s="84" t="s">
        <v>1647</v>
      </c>
      <c r="F14" s="84" t="s">
        <v>1648</v>
      </c>
      <c r="G14" s="6"/>
    </row>
    <row r="15" spans="1:7" s="1" customFormat="1" ht="56.25">
      <c r="A15" s="87" t="s">
        <v>502</v>
      </c>
      <c r="B15" s="87" t="s">
        <v>1014</v>
      </c>
      <c r="C15" s="90" t="s">
        <v>1015</v>
      </c>
      <c r="D15" s="90" t="s">
        <v>1016</v>
      </c>
      <c r="E15" s="84" t="s">
        <v>1649</v>
      </c>
      <c r="F15" s="84" t="s">
        <v>1650</v>
      </c>
      <c r="G15" s="6"/>
    </row>
    <row r="16" spans="1:7" s="1" customFormat="1" ht="56.25">
      <c r="A16" s="87" t="s">
        <v>502</v>
      </c>
      <c r="B16" s="87" t="s">
        <v>1017</v>
      </c>
      <c r="C16" s="90" t="s">
        <v>1018</v>
      </c>
      <c r="D16" s="90" t="s">
        <v>1019</v>
      </c>
      <c r="E16" s="84" t="s">
        <v>1651</v>
      </c>
      <c r="F16" s="84" t="s">
        <v>1652</v>
      </c>
      <c r="G16" s="6"/>
    </row>
    <row r="17" spans="1:7" s="1" customFormat="1" ht="37.5">
      <c r="A17" s="87" t="s">
        <v>502</v>
      </c>
      <c r="B17" s="88" t="s">
        <v>1020</v>
      </c>
      <c r="C17" s="89" t="s">
        <v>1021</v>
      </c>
      <c r="D17" s="90" t="s">
        <v>1022</v>
      </c>
      <c r="E17" s="86" t="s">
        <v>1653</v>
      </c>
      <c r="F17" s="86" t="s">
        <v>1654</v>
      </c>
      <c r="G17" s="6"/>
    </row>
    <row r="18" spans="1:7" s="1" customFormat="1" ht="37.5">
      <c r="A18" s="87" t="s">
        <v>502</v>
      </c>
      <c r="B18" s="87" t="s">
        <v>1020</v>
      </c>
      <c r="C18" s="91" t="s">
        <v>1023</v>
      </c>
      <c r="D18" s="91" t="s">
        <v>1024</v>
      </c>
      <c r="E18" s="86" t="s">
        <v>1655</v>
      </c>
      <c r="F18" s="86" t="s">
        <v>1656</v>
      </c>
      <c r="G18" s="6"/>
    </row>
    <row r="19" spans="1:7" s="1" customFormat="1" ht="18.75">
      <c r="A19" s="87" t="s">
        <v>502</v>
      </c>
      <c r="B19" s="87" t="s">
        <v>1020</v>
      </c>
      <c r="C19" s="91" t="s">
        <v>1025</v>
      </c>
      <c r="D19" s="91" t="s">
        <v>1026</v>
      </c>
      <c r="E19" s="86" t="s">
        <v>1657</v>
      </c>
      <c r="F19" s="86" t="s">
        <v>1658</v>
      </c>
      <c r="G19" s="6"/>
    </row>
    <row r="20" spans="1:7" s="1" customFormat="1" ht="56.25">
      <c r="A20" s="87" t="s">
        <v>502</v>
      </c>
      <c r="B20" s="88" t="s">
        <v>1027</v>
      </c>
      <c r="C20" s="92" t="s">
        <v>683</v>
      </c>
      <c r="D20" s="92" t="s">
        <v>801</v>
      </c>
      <c r="E20" s="86" t="s">
        <v>1659</v>
      </c>
      <c r="F20" s="86" t="s">
        <v>1660</v>
      </c>
      <c r="G20" s="6"/>
    </row>
    <row r="21" spans="1:7" s="1" customFormat="1" ht="37.5">
      <c r="A21" s="87" t="s">
        <v>502</v>
      </c>
      <c r="B21" s="88" t="s">
        <v>1027</v>
      </c>
      <c r="C21" s="92" t="s">
        <v>639</v>
      </c>
      <c r="D21" s="92" t="s">
        <v>787</v>
      </c>
      <c r="E21" s="86" t="s">
        <v>1661</v>
      </c>
      <c r="F21" s="86" t="s">
        <v>1662</v>
      </c>
      <c r="G21" s="6"/>
    </row>
    <row r="22" spans="1:7" ht="37.5">
      <c r="A22" s="87" t="s">
        <v>502</v>
      </c>
      <c r="B22" s="87" t="s">
        <v>1028</v>
      </c>
      <c r="C22" s="91" t="s">
        <v>1029</v>
      </c>
      <c r="D22" s="91" t="s">
        <v>1030</v>
      </c>
      <c r="E22" s="86" t="s">
        <v>1663</v>
      </c>
      <c r="F22" s="86" t="s">
        <v>1664</v>
      </c>
      <c r="G22" s="6"/>
    </row>
    <row r="23" spans="1:7" ht="37.5">
      <c r="A23" s="87" t="s">
        <v>502</v>
      </c>
      <c r="B23" s="87" t="s">
        <v>1028</v>
      </c>
      <c r="C23" s="91" t="s">
        <v>1031</v>
      </c>
      <c r="D23" s="91" t="s">
        <v>1032</v>
      </c>
      <c r="E23" s="86" t="s">
        <v>1665</v>
      </c>
      <c r="F23" s="86" t="s">
        <v>1666</v>
      </c>
      <c r="G23" s="6"/>
    </row>
    <row r="24" spans="1:7" ht="37.5">
      <c r="A24" s="87" t="s">
        <v>502</v>
      </c>
      <c r="B24" s="87" t="s">
        <v>1028</v>
      </c>
      <c r="C24" s="91" t="s">
        <v>1033</v>
      </c>
      <c r="D24" s="91" t="s">
        <v>1034</v>
      </c>
      <c r="E24" s="86" t="s">
        <v>1667</v>
      </c>
      <c r="F24" s="86" t="s">
        <v>1668</v>
      </c>
      <c r="G24" s="6"/>
    </row>
    <row r="25" spans="1:7" s="1" customFormat="1" ht="56.25">
      <c r="A25" s="87" t="s">
        <v>502</v>
      </c>
      <c r="B25" s="87" t="s">
        <v>1035</v>
      </c>
      <c r="C25" s="91" t="s">
        <v>1036</v>
      </c>
      <c r="D25" s="91" t="s">
        <v>1037</v>
      </c>
      <c r="E25" s="86" t="s">
        <v>1669</v>
      </c>
      <c r="F25" s="86" t="s">
        <v>1670</v>
      </c>
      <c r="G25" s="6"/>
    </row>
    <row r="26" spans="1:7" ht="37.5">
      <c r="A26" s="87" t="s">
        <v>502</v>
      </c>
      <c r="B26" s="87" t="s">
        <v>1035</v>
      </c>
      <c r="C26" s="91" t="s">
        <v>1038</v>
      </c>
      <c r="D26" s="91" t="s">
        <v>1039</v>
      </c>
      <c r="E26" s="86" t="s">
        <v>1671</v>
      </c>
      <c r="F26" s="86" t="s">
        <v>1656</v>
      </c>
      <c r="G26" s="6"/>
    </row>
    <row r="27" spans="1:7" ht="37.5">
      <c r="A27" s="87" t="s">
        <v>502</v>
      </c>
      <c r="B27" s="87" t="s">
        <v>1035</v>
      </c>
      <c r="C27" s="91" t="s">
        <v>1040</v>
      </c>
      <c r="D27" s="91" t="s">
        <v>1041</v>
      </c>
      <c r="E27" s="86" t="s">
        <v>1672</v>
      </c>
      <c r="F27" s="86" t="s">
        <v>1673</v>
      </c>
      <c r="G27" s="6"/>
    </row>
    <row r="28" spans="1:7" ht="37.5">
      <c r="A28" s="87" t="s">
        <v>502</v>
      </c>
      <c r="B28" s="87" t="s">
        <v>1042</v>
      </c>
      <c r="C28" s="87" t="s">
        <v>1043</v>
      </c>
      <c r="D28" s="93" t="s">
        <v>1044</v>
      </c>
      <c r="E28" s="84" t="s">
        <v>1674</v>
      </c>
      <c r="F28" s="84" t="s">
        <v>1675</v>
      </c>
      <c r="G28" s="6"/>
    </row>
    <row r="29" spans="1:7" ht="18.75">
      <c r="A29" s="87" t="s">
        <v>502</v>
      </c>
      <c r="B29" s="88" t="s">
        <v>1045</v>
      </c>
      <c r="C29" s="92" t="s">
        <v>681</v>
      </c>
      <c r="D29" s="92" t="s">
        <v>799</v>
      </c>
      <c r="E29" s="86" t="s">
        <v>1676</v>
      </c>
      <c r="F29" s="86" t="s">
        <v>1677</v>
      </c>
      <c r="G29" s="6"/>
    </row>
    <row r="30" spans="1:7" ht="18.75">
      <c r="A30" s="87" t="s">
        <v>502</v>
      </c>
      <c r="B30" s="88" t="s">
        <v>1046</v>
      </c>
      <c r="C30" s="92" t="s">
        <v>1047</v>
      </c>
      <c r="D30" s="92" t="s">
        <v>802</v>
      </c>
      <c r="E30" s="86" t="s">
        <v>1678</v>
      </c>
      <c r="F30" s="86" t="s">
        <v>1679</v>
      </c>
      <c r="G30" s="6"/>
    </row>
    <row r="31" spans="1:7" ht="37.5">
      <c r="A31" s="87" t="s">
        <v>502</v>
      </c>
      <c r="B31" s="87" t="s">
        <v>1048</v>
      </c>
      <c r="C31" s="94" t="s">
        <v>1049</v>
      </c>
      <c r="D31" s="91" t="s">
        <v>1044</v>
      </c>
      <c r="E31" s="86" t="s">
        <v>1680</v>
      </c>
      <c r="F31" s="86" t="s">
        <v>1681</v>
      </c>
      <c r="G31" s="6"/>
    </row>
    <row r="32" spans="1:7" ht="18.75">
      <c r="A32" s="94" t="s">
        <v>1050</v>
      </c>
      <c r="B32" s="94" t="s">
        <v>1051</v>
      </c>
      <c r="C32" s="91" t="s">
        <v>1052</v>
      </c>
      <c r="D32" s="91" t="s">
        <v>1053</v>
      </c>
      <c r="E32" s="86" t="s">
        <v>1682</v>
      </c>
      <c r="F32" s="86" t="s">
        <v>1683</v>
      </c>
      <c r="G32" s="6"/>
    </row>
    <row r="33" spans="1:7" ht="18.75">
      <c r="A33" s="87" t="s">
        <v>1050</v>
      </c>
      <c r="B33" s="87" t="s">
        <v>1054</v>
      </c>
      <c r="C33" s="91" t="s">
        <v>1055</v>
      </c>
      <c r="D33" s="91" t="s">
        <v>1056</v>
      </c>
      <c r="E33" s="86" t="s">
        <v>1684</v>
      </c>
      <c r="F33" s="86" t="s">
        <v>1685</v>
      </c>
      <c r="G33" s="6"/>
    </row>
    <row r="34" spans="1:7" ht="37.5">
      <c r="A34" s="87" t="s">
        <v>1050</v>
      </c>
      <c r="B34" s="87" t="s">
        <v>1057</v>
      </c>
      <c r="C34" s="91" t="s">
        <v>1058</v>
      </c>
      <c r="D34" s="91" t="s">
        <v>1059</v>
      </c>
      <c r="E34" s="86" t="s">
        <v>1686</v>
      </c>
      <c r="F34" s="86" t="s">
        <v>1687</v>
      </c>
      <c r="G34" s="6"/>
    </row>
    <row r="35" spans="1:7" ht="18.75">
      <c r="A35" s="87" t="s">
        <v>1050</v>
      </c>
      <c r="B35" s="87" t="s">
        <v>1060</v>
      </c>
      <c r="C35" s="91" t="s">
        <v>1061</v>
      </c>
      <c r="D35" s="91" t="s">
        <v>1062</v>
      </c>
      <c r="E35" s="86" t="s">
        <v>1688</v>
      </c>
      <c r="F35" s="86" t="s">
        <v>1689</v>
      </c>
      <c r="G35" s="6"/>
    </row>
    <row r="36" spans="1:7" ht="18.75">
      <c r="A36" s="87" t="s">
        <v>1050</v>
      </c>
      <c r="B36" s="87" t="s">
        <v>1014</v>
      </c>
      <c r="C36" s="91" t="s">
        <v>1063</v>
      </c>
      <c r="D36" s="91" t="s">
        <v>1064</v>
      </c>
      <c r="E36" s="86" t="s">
        <v>1690</v>
      </c>
      <c r="F36" s="86" t="s">
        <v>1691</v>
      </c>
      <c r="G36" s="6"/>
    </row>
    <row r="37" spans="1:7" ht="18.75">
      <c r="A37" s="87" t="s">
        <v>1050</v>
      </c>
      <c r="B37" s="87" t="s">
        <v>1065</v>
      </c>
      <c r="C37" s="91" t="s">
        <v>1066</v>
      </c>
      <c r="D37" s="91" t="s">
        <v>1067</v>
      </c>
      <c r="E37" s="86" t="s">
        <v>1692</v>
      </c>
      <c r="F37" s="86" t="s">
        <v>1693</v>
      </c>
      <c r="G37" s="6"/>
    </row>
    <row r="38" spans="1:7" ht="18.75">
      <c r="A38" s="87" t="s">
        <v>1050</v>
      </c>
      <c r="B38" s="87" t="s">
        <v>1065</v>
      </c>
      <c r="C38" s="87" t="s">
        <v>1068</v>
      </c>
      <c r="D38" s="91" t="s">
        <v>1069</v>
      </c>
      <c r="E38" s="86" t="s">
        <v>1694</v>
      </c>
      <c r="F38" s="86" t="s">
        <v>1695</v>
      </c>
      <c r="G38" s="6"/>
    </row>
    <row r="39" spans="1:7" ht="18.75">
      <c r="A39" s="87" t="s">
        <v>1050</v>
      </c>
      <c r="B39" s="87" t="s">
        <v>1065</v>
      </c>
      <c r="C39" s="91" t="s">
        <v>1070</v>
      </c>
      <c r="D39" s="91" t="s">
        <v>1071</v>
      </c>
      <c r="E39" s="86" t="s">
        <v>1696</v>
      </c>
      <c r="F39" s="86" t="s">
        <v>1697</v>
      </c>
      <c r="G39" s="6"/>
    </row>
    <row r="40" spans="1:7" ht="37.5">
      <c r="A40" s="87" t="s">
        <v>1050</v>
      </c>
      <c r="B40" s="87" t="s">
        <v>1072</v>
      </c>
      <c r="C40" s="91" t="s">
        <v>1073</v>
      </c>
      <c r="D40" s="91" t="s">
        <v>1019</v>
      </c>
      <c r="E40" s="86" t="s">
        <v>1698</v>
      </c>
      <c r="F40" s="86" t="s">
        <v>1699</v>
      </c>
      <c r="G40" s="6"/>
    </row>
    <row r="41" spans="1:7" ht="18.75">
      <c r="A41" s="87" t="s">
        <v>1050</v>
      </c>
      <c r="B41" s="87" t="s">
        <v>1074</v>
      </c>
      <c r="C41" s="91" t="s">
        <v>1075</v>
      </c>
      <c r="D41" s="93" t="s">
        <v>1076</v>
      </c>
      <c r="E41" s="86" t="s">
        <v>1700</v>
      </c>
      <c r="F41" s="86" t="s">
        <v>1701</v>
      </c>
      <c r="G41" s="6"/>
    </row>
    <row r="42" spans="1:7" ht="18.75">
      <c r="A42" s="94" t="s">
        <v>1050</v>
      </c>
      <c r="B42" s="94" t="s">
        <v>1077</v>
      </c>
      <c r="C42" s="94" t="s">
        <v>1078</v>
      </c>
      <c r="D42" s="94" t="s">
        <v>1079</v>
      </c>
      <c r="E42" s="86" t="s">
        <v>1702</v>
      </c>
      <c r="F42" s="86" t="s">
        <v>1703</v>
      </c>
      <c r="G42" s="6"/>
    </row>
    <row r="43" spans="1:7" s="3" customFormat="1" ht="37.5">
      <c r="A43" s="94" t="s">
        <v>1050</v>
      </c>
      <c r="B43" s="94" t="s">
        <v>1080</v>
      </c>
      <c r="C43" s="94" t="s">
        <v>1081</v>
      </c>
      <c r="D43" s="94" t="s">
        <v>472</v>
      </c>
      <c r="E43" s="244" t="s">
        <v>1704</v>
      </c>
      <c r="F43" s="244" t="s">
        <v>1705</v>
      </c>
      <c r="G43" s="6"/>
    </row>
    <row r="44" spans="1:7" ht="37.5">
      <c r="A44" s="82" t="s">
        <v>766</v>
      </c>
      <c r="B44" s="83"/>
      <c r="C44" s="86" t="s">
        <v>685</v>
      </c>
      <c r="D44" s="86" t="s">
        <v>804</v>
      </c>
      <c r="E44" s="97" t="s">
        <v>1706</v>
      </c>
      <c r="F44" s="245" t="s">
        <v>1707</v>
      </c>
      <c r="G44" s="6"/>
    </row>
    <row r="45" spans="1:7" ht="37.5">
      <c r="A45" s="82" t="s">
        <v>766</v>
      </c>
      <c r="B45" s="83"/>
      <c r="C45" s="86" t="s">
        <v>908</v>
      </c>
      <c r="D45" s="86" t="s">
        <v>805</v>
      </c>
      <c r="E45" s="97" t="s">
        <v>1708</v>
      </c>
      <c r="F45" s="245" t="s">
        <v>1709</v>
      </c>
      <c r="G45" s="6"/>
    </row>
    <row r="46" spans="1:7" ht="37.5">
      <c r="A46" s="82" t="s">
        <v>766</v>
      </c>
      <c r="B46" s="83"/>
      <c r="C46" s="86" t="s">
        <v>686</v>
      </c>
      <c r="D46" s="86" t="s">
        <v>687</v>
      </c>
      <c r="E46" s="97" t="s">
        <v>1710</v>
      </c>
      <c r="F46" s="245" t="s">
        <v>1711</v>
      </c>
      <c r="G46" s="6"/>
    </row>
    <row r="47" spans="1:7" ht="37.5">
      <c r="A47" s="82" t="s">
        <v>766</v>
      </c>
      <c r="B47" s="83"/>
      <c r="C47" s="86" t="s">
        <v>688</v>
      </c>
      <c r="D47" s="86" t="s">
        <v>806</v>
      </c>
      <c r="E47" s="97" t="s">
        <v>1712</v>
      </c>
      <c r="F47" s="245" t="s">
        <v>1713</v>
      </c>
      <c r="G47" s="6"/>
    </row>
    <row r="48" spans="1:7" ht="37.5">
      <c r="A48" s="82" t="s">
        <v>766</v>
      </c>
      <c r="B48" s="83"/>
      <c r="C48" s="86" t="s">
        <v>956</v>
      </c>
      <c r="D48" s="86" t="s">
        <v>958</v>
      </c>
      <c r="E48" s="84" t="s">
        <v>1714</v>
      </c>
      <c r="F48" s="84" t="s">
        <v>1715</v>
      </c>
      <c r="G48" s="6"/>
    </row>
    <row r="49" spans="1:7" ht="18.75">
      <c r="A49" s="82" t="s">
        <v>766</v>
      </c>
      <c r="B49" s="83"/>
      <c r="C49" s="86" t="s">
        <v>957</v>
      </c>
      <c r="D49" s="86" t="s">
        <v>807</v>
      </c>
      <c r="E49" s="84" t="s">
        <v>1716</v>
      </c>
      <c r="F49" s="84" t="s">
        <v>1717</v>
      </c>
      <c r="G49" s="6"/>
    </row>
    <row r="50" spans="1:7" ht="37.5">
      <c r="A50" s="82" t="s">
        <v>766</v>
      </c>
      <c r="B50" s="83"/>
      <c r="C50" s="86" t="s">
        <v>689</v>
      </c>
      <c r="D50" s="86" t="s">
        <v>907</v>
      </c>
      <c r="E50" s="84" t="s">
        <v>1718</v>
      </c>
      <c r="F50" s="84" t="s">
        <v>1719</v>
      </c>
      <c r="G50" s="6"/>
    </row>
    <row r="51" spans="1:7" ht="37.5">
      <c r="A51" s="87" t="s">
        <v>1082</v>
      </c>
      <c r="B51" s="88" t="s">
        <v>1083</v>
      </c>
      <c r="C51" s="92" t="s">
        <v>1084</v>
      </c>
      <c r="D51" s="92" t="s">
        <v>807</v>
      </c>
      <c r="E51" s="84" t="s">
        <v>1720</v>
      </c>
      <c r="F51" s="84" t="s">
        <v>1721</v>
      </c>
      <c r="G51" s="6"/>
    </row>
    <row r="52" spans="1:7" ht="18.75">
      <c r="A52" s="87" t="s">
        <v>1082</v>
      </c>
      <c r="B52" s="88" t="s">
        <v>1083</v>
      </c>
      <c r="C52" s="92" t="s">
        <v>689</v>
      </c>
      <c r="D52" s="92" t="s">
        <v>1044</v>
      </c>
      <c r="E52" s="84" t="s">
        <v>1722</v>
      </c>
      <c r="F52" s="84" t="s">
        <v>1723</v>
      </c>
      <c r="G52" s="6"/>
    </row>
    <row r="53" spans="1:7" ht="37.5">
      <c r="A53" s="87" t="s">
        <v>1082</v>
      </c>
      <c r="B53" s="88" t="s">
        <v>1085</v>
      </c>
      <c r="C53" s="92" t="s">
        <v>1086</v>
      </c>
      <c r="D53" s="92" t="s">
        <v>805</v>
      </c>
      <c r="E53" s="84" t="s">
        <v>1698</v>
      </c>
      <c r="F53" s="84" t="s">
        <v>1699</v>
      </c>
      <c r="G53" s="6"/>
    </row>
    <row r="54" spans="1:7" ht="37.5">
      <c r="A54" s="87" t="s">
        <v>1082</v>
      </c>
      <c r="B54" s="88" t="s">
        <v>1087</v>
      </c>
      <c r="C54" s="92" t="s">
        <v>688</v>
      </c>
      <c r="D54" s="92" t="s">
        <v>806</v>
      </c>
      <c r="E54" s="84" t="s">
        <v>1724</v>
      </c>
      <c r="F54" s="84" t="s">
        <v>1725</v>
      </c>
      <c r="G54" s="6"/>
    </row>
    <row r="55" spans="1:7" ht="37.5">
      <c r="A55" s="87" t="s">
        <v>1082</v>
      </c>
      <c r="B55" s="88" t="s">
        <v>1088</v>
      </c>
      <c r="C55" s="92" t="s">
        <v>748</v>
      </c>
      <c r="D55" s="92" t="s">
        <v>633</v>
      </c>
      <c r="E55" s="84" t="s">
        <v>1726</v>
      </c>
      <c r="F55" s="84" t="s">
        <v>1727</v>
      </c>
      <c r="G55" s="6"/>
    </row>
    <row r="56" spans="1:7" ht="18.75">
      <c r="A56" s="87" t="s">
        <v>1089</v>
      </c>
      <c r="B56" s="87" t="s">
        <v>1090</v>
      </c>
      <c r="C56" s="94" t="s">
        <v>1091</v>
      </c>
      <c r="D56" s="91" t="s">
        <v>1092</v>
      </c>
      <c r="E56" s="246" t="s">
        <v>1728</v>
      </c>
      <c r="F56" s="247" t="s">
        <v>1729</v>
      </c>
      <c r="G56" s="6"/>
    </row>
    <row r="57" spans="1:7" ht="18.75">
      <c r="A57" s="87" t="s">
        <v>1089</v>
      </c>
      <c r="B57" s="87" t="s">
        <v>1093</v>
      </c>
      <c r="C57" s="91" t="s">
        <v>1094</v>
      </c>
      <c r="D57" s="91" t="s">
        <v>1095</v>
      </c>
      <c r="E57" s="246" t="s">
        <v>1730</v>
      </c>
      <c r="F57" s="247" t="s">
        <v>1731</v>
      </c>
      <c r="G57" s="6"/>
    </row>
    <row r="58" spans="1:7" ht="18.75">
      <c r="A58" s="87" t="s">
        <v>1089</v>
      </c>
      <c r="B58" s="87" t="s">
        <v>1093</v>
      </c>
      <c r="C58" s="91" t="s">
        <v>1096</v>
      </c>
      <c r="D58" s="91" t="s">
        <v>1097</v>
      </c>
      <c r="E58" s="246" t="s">
        <v>1732</v>
      </c>
      <c r="F58" s="247" t="s">
        <v>1733</v>
      </c>
      <c r="G58" s="6"/>
    </row>
    <row r="59" spans="1:7" ht="18.75">
      <c r="A59" s="87" t="s">
        <v>1089</v>
      </c>
      <c r="B59" s="87" t="s">
        <v>1093</v>
      </c>
      <c r="C59" s="91" t="s">
        <v>1098</v>
      </c>
      <c r="D59" s="91" t="s">
        <v>1044</v>
      </c>
      <c r="E59" s="246" t="s">
        <v>1734</v>
      </c>
      <c r="F59" s="247" t="s">
        <v>1735</v>
      </c>
      <c r="G59" s="6"/>
    </row>
    <row r="60" spans="1:7" ht="37.5">
      <c r="A60" s="87" t="s">
        <v>1089</v>
      </c>
      <c r="B60" s="87" t="s">
        <v>1099</v>
      </c>
      <c r="C60" s="94" t="s">
        <v>1100</v>
      </c>
      <c r="D60" s="91" t="s">
        <v>1044</v>
      </c>
      <c r="E60" s="246" t="s">
        <v>1736</v>
      </c>
      <c r="F60" s="86" t="s">
        <v>1737</v>
      </c>
      <c r="G60" s="6"/>
    </row>
    <row r="61" spans="1:7" ht="18.75">
      <c r="A61" s="87" t="s">
        <v>1089</v>
      </c>
      <c r="B61" s="88" t="s">
        <v>1101</v>
      </c>
      <c r="C61" s="92" t="s">
        <v>729</v>
      </c>
      <c r="D61" s="92" t="s">
        <v>830</v>
      </c>
      <c r="E61" s="246" t="s">
        <v>1738</v>
      </c>
      <c r="F61" s="247" t="s">
        <v>1739</v>
      </c>
      <c r="G61" s="6"/>
    </row>
    <row r="62" spans="1:7" ht="18.75">
      <c r="A62" s="87" t="s">
        <v>1089</v>
      </c>
      <c r="B62" s="88" t="s">
        <v>1102</v>
      </c>
      <c r="C62" s="95" t="s">
        <v>582</v>
      </c>
      <c r="D62" s="96" t="s">
        <v>583</v>
      </c>
      <c r="E62" s="246" t="s">
        <v>1740</v>
      </c>
      <c r="F62" s="247" t="s">
        <v>1741</v>
      </c>
      <c r="G62" s="6"/>
    </row>
    <row r="63" spans="1:7" ht="37.5">
      <c r="A63" s="87" t="s">
        <v>1089</v>
      </c>
      <c r="B63" s="87" t="s">
        <v>1103</v>
      </c>
      <c r="C63" s="94" t="s">
        <v>1104</v>
      </c>
      <c r="D63" s="91" t="s">
        <v>1105</v>
      </c>
      <c r="E63" s="246" t="s">
        <v>1742</v>
      </c>
      <c r="F63" s="247" t="s">
        <v>1743</v>
      </c>
      <c r="G63" s="6"/>
    </row>
    <row r="64" spans="1:7" ht="18.75">
      <c r="A64" s="87" t="s">
        <v>1089</v>
      </c>
      <c r="B64" s="87" t="s">
        <v>1103</v>
      </c>
      <c r="C64" s="87" t="s">
        <v>1106</v>
      </c>
      <c r="D64" s="93" t="s">
        <v>1107</v>
      </c>
      <c r="E64" s="246" t="s">
        <v>1744</v>
      </c>
      <c r="F64" s="247" t="s">
        <v>1745</v>
      </c>
      <c r="G64" s="6"/>
    </row>
    <row r="65" spans="1:7" ht="37.5">
      <c r="A65" s="87" t="s">
        <v>1089</v>
      </c>
      <c r="B65" s="87" t="s">
        <v>1103</v>
      </c>
      <c r="C65" s="94" t="s">
        <v>1108</v>
      </c>
      <c r="D65" s="91" t="s">
        <v>1044</v>
      </c>
      <c r="E65" s="247" t="s">
        <v>1746</v>
      </c>
      <c r="F65" s="247" t="s">
        <v>1747</v>
      </c>
      <c r="G65" s="1"/>
    </row>
    <row r="66" spans="1:7" ht="18.75">
      <c r="A66" s="87" t="s">
        <v>1089</v>
      </c>
      <c r="B66" s="87" t="s">
        <v>1103</v>
      </c>
      <c r="C66" s="94" t="s">
        <v>1109</v>
      </c>
      <c r="D66" s="94" t="s">
        <v>1110</v>
      </c>
      <c r="E66" s="247" t="s">
        <v>1748</v>
      </c>
      <c r="F66" s="247" t="s">
        <v>1749</v>
      </c>
      <c r="G66" s="1"/>
    </row>
    <row r="67" spans="1:7" ht="18.75">
      <c r="A67" s="82" t="str">
        <f>Functietitels!A20</f>
        <v xml:space="preserve">Engin Emp Prod Sup </v>
      </c>
      <c r="B67" s="83"/>
      <c r="C67" s="86" t="s">
        <v>727</v>
      </c>
      <c r="D67" s="86" t="s">
        <v>828</v>
      </c>
      <c r="E67" s="247" t="s">
        <v>1750</v>
      </c>
      <c r="F67" s="247" t="s">
        <v>1749</v>
      </c>
      <c r="G67" s="6"/>
    </row>
    <row r="68" spans="1:7" s="3" customFormat="1" ht="18.75">
      <c r="A68" s="82" t="str">
        <f>A67</f>
        <v xml:space="preserve">Engin Emp Prod Sup </v>
      </c>
      <c r="B68" s="83"/>
      <c r="C68" s="86" t="s">
        <v>954</v>
      </c>
      <c r="D68" s="86" t="s">
        <v>955</v>
      </c>
      <c r="E68" s="247" t="s">
        <v>1751</v>
      </c>
      <c r="F68" s="247" t="s">
        <v>1752</v>
      </c>
      <c r="G68" s="6"/>
    </row>
    <row r="69" spans="1:7" s="3" customFormat="1" ht="18.75">
      <c r="A69" s="82" t="str">
        <f>A68</f>
        <v xml:space="preserve">Engin Emp Prod Sup </v>
      </c>
      <c r="B69" s="83"/>
      <c r="C69" s="86" t="s">
        <v>728</v>
      </c>
      <c r="D69" s="86" t="s">
        <v>829</v>
      </c>
      <c r="E69" s="247" t="s">
        <v>1753</v>
      </c>
      <c r="F69" s="247" t="s">
        <v>1754</v>
      </c>
      <c r="G69" s="6"/>
    </row>
    <row r="70" spans="1:7" s="3" customFormat="1" ht="18.75">
      <c r="A70" s="82" t="str">
        <f>A69</f>
        <v xml:space="preserve">Engin Emp Prod Sup </v>
      </c>
      <c r="B70" s="83"/>
      <c r="C70" s="86" t="s">
        <v>1564</v>
      </c>
      <c r="D70" s="86" t="s">
        <v>687</v>
      </c>
      <c r="E70" s="247" t="s">
        <v>1755</v>
      </c>
      <c r="F70" s="247" t="s">
        <v>1756</v>
      </c>
      <c r="G70" s="6"/>
    </row>
    <row r="71" spans="1:7" s="3" customFormat="1" ht="18.75">
      <c r="A71" s="82" t="str">
        <f>A70</f>
        <v xml:space="preserve">Engin Emp Prod Sup </v>
      </c>
      <c r="B71" s="83"/>
      <c r="C71" s="86" t="s">
        <v>729</v>
      </c>
      <c r="D71" s="86" t="s">
        <v>830</v>
      </c>
      <c r="E71" s="247" t="s">
        <v>1730</v>
      </c>
      <c r="F71" s="247" t="s">
        <v>1757</v>
      </c>
      <c r="G71" s="6"/>
    </row>
    <row r="72" spans="1:7" s="3" customFormat="1" ht="37.5">
      <c r="A72" s="82" t="s">
        <v>500</v>
      </c>
      <c r="B72" s="83"/>
      <c r="C72" s="86" t="s">
        <v>634</v>
      </c>
      <c r="D72" s="86" t="s">
        <v>785</v>
      </c>
      <c r="E72" s="244" t="s">
        <v>1704</v>
      </c>
      <c r="F72" s="244" t="s">
        <v>1705</v>
      </c>
      <c r="G72" s="6"/>
    </row>
    <row r="73" spans="1:7" s="3" customFormat="1" ht="18.75">
      <c r="A73" s="82" t="s">
        <v>500</v>
      </c>
      <c r="B73" s="83"/>
      <c r="C73" s="86" t="s">
        <v>635</v>
      </c>
      <c r="D73" s="86" t="s">
        <v>786</v>
      </c>
      <c r="E73" s="97" t="s">
        <v>1706</v>
      </c>
      <c r="F73" s="245" t="s">
        <v>1707</v>
      </c>
      <c r="G73" s="6"/>
    </row>
    <row r="74" spans="1:7" s="3" customFormat="1" ht="37.5">
      <c r="A74" s="82" t="s">
        <v>500</v>
      </c>
      <c r="B74" s="83"/>
      <c r="C74" s="86" t="s">
        <v>636</v>
      </c>
      <c r="D74" s="86" t="s">
        <v>637</v>
      </c>
      <c r="E74" s="97" t="s">
        <v>1708</v>
      </c>
      <c r="F74" s="245" t="s">
        <v>1758</v>
      </c>
      <c r="G74" s="6"/>
    </row>
    <row r="75" spans="1:7" s="3" customFormat="1" ht="18.75">
      <c r="A75" s="82" t="s">
        <v>500</v>
      </c>
      <c r="B75" s="83"/>
      <c r="C75" s="86" t="s">
        <v>638</v>
      </c>
      <c r="D75" s="86" t="s">
        <v>749</v>
      </c>
      <c r="E75" s="97" t="s">
        <v>1710</v>
      </c>
      <c r="F75" s="245" t="s">
        <v>1711</v>
      </c>
      <c r="G75" s="6"/>
    </row>
    <row r="76" spans="1:7" s="3" customFormat="1" ht="37.5">
      <c r="A76" s="82" t="s">
        <v>500</v>
      </c>
      <c r="B76" s="83"/>
      <c r="C76" s="86" t="s">
        <v>639</v>
      </c>
      <c r="D76" s="86" t="s">
        <v>787</v>
      </c>
      <c r="E76" s="97" t="s">
        <v>1712</v>
      </c>
      <c r="F76" s="245" t="s">
        <v>1713</v>
      </c>
      <c r="G76" s="6"/>
    </row>
    <row r="77" spans="1:7" s="3" customFormat="1" ht="18.75">
      <c r="A77" s="82" t="s">
        <v>500</v>
      </c>
      <c r="B77" s="83"/>
      <c r="C77" s="86" t="s">
        <v>640</v>
      </c>
      <c r="D77" s="86" t="s">
        <v>788</v>
      </c>
      <c r="E77" s="84" t="s">
        <v>1759</v>
      </c>
      <c r="F77" s="84" t="s">
        <v>1760</v>
      </c>
      <c r="G77" s="6"/>
    </row>
    <row r="78" spans="1:7" s="3" customFormat="1" ht="93.75">
      <c r="A78" s="82" t="s">
        <v>500</v>
      </c>
      <c r="B78" s="83"/>
      <c r="C78" s="86" t="s">
        <v>642</v>
      </c>
      <c r="D78" s="86" t="s">
        <v>789</v>
      </c>
      <c r="E78" s="84" t="s">
        <v>1761</v>
      </c>
      <c r="F78" s="84" t="s">
        <v>1762</v>
      </c>
      <c r="G78" s="6"/>
    </row>
    <row r="79" spans="1:7" s="3" customFormat="1" ht="37.5">
      <c r="A79" s="82" t="s">
        <v>500</v>
      </c>
      <c r="B79" s="83"/>
      <c r="C79" s="86" t="s">
        <v>643</v>
      </c>
      <c r="D79" s="86" t="s">
        <v>790</v>
      </c>
      <c r="E79" s="84" t="s">
        <v>1763</v>
      </c>
      <c r="F79" s="84" t="s">
        <v>1764</v>
      </c>
      <c r="G79" s="6"/>
    </row>
    <row r="80" spans="1:7" s="3" customFormat="1" ht="18.75">
      <c r="A80" s="82" t="s">
        <v>500</v>
      </c>
      <c r="B80" s="83"/>
      <c r="C80" s="86" t="s">
        <v>646</v>
      </c>
      <c r="D80" s="86" t="s">
        <v>791</v>
      </c>
      <c r="E80" s="84" t="s">
        <v>1765</v>
      </c>
      <c r="F80" s="84" t="s">
        <v>1766</v>
      </c>
      <c r="G80" s="6"/>
    </row>
    <row r="81" spans="1:7" s="3" customFormat="1" ht="37.5">
      <c r="A81" s="82" t="s">
        <v>500</v>
      </c>
      <c r="B81" s="83"/>
      <c r="C81" s="86" t="s">
        <v>647</v>
      </c>
      <c r="D81" s="86" t="s">
        <v>641</v>
      </c>
      <c r="E81" s="84" t="s">
        <v>1767</v>
      </c>
      <c r="F81" s="84" t="s">
        <v>1768</v>
      </c>
      <c r="G81" s="6"/>
    </row>
    <row r="82" spans="1:7" s="3" customFormat="1" ht="18.75">
      <c r="A82" s="82" t="s">
        <v>500</v>
      </c>
      <c r="B82" s="83"/>
      <c r="C82" s="86" t="s">
        <v>648</v>
      </c>
      <c r="D82" s="86" t="s">
        <v>792</v>
      </c>
      <c r="E82" s="84" t="s">
        <v>1769</v>
      </c>
      <c r="F82" s="84" t="s">
        <v>1770</v>
      </c>
      <c r="G82" s="6"/>
    </row>
    <row r="83" spans="1:7" s="3" customFormat="1" ht="37.5">
      <c r="A83" s="82" t="s">
        <v>500</v>
      </c>
      <c r="B83" s="83"/>
      <c r="C83" s="86" t="s">
        <v>649</v>
      </c>
      <c r="D83" s="86" t="s">
        <v>793</v>
      </c>
      <c r="E83" s="84" t="s">
        <v>1771</v>
      </c>
      <c r="F83" s="84" t="s">
        <v>1772</v>
      </c>
      <c r="G83" s="6"/>
    </row>
    <row r="84" spans="1:7" s="3" customFormat="1" ht="37.5">
      <c r="A84" s="82" t="s">
        <v>500</v>
      </c>
      <c r="B84" s="83"/>
      <c r="C84" s="86" t="s">
        <v>650</v>
      </c>
      <c r="D84" s="86" t="s">
        <v>794</v>
      </c>
      <c r="E84" s="84" t="s">
        <v>1773</v>
      </c>
      <c r="F84" s="84" t="s">
        <v>1774</v>
      </c>
      <c r="G84" s="6"/>
    </row>
    <row r="85" spans="1:7" s="3" customFormat="1" ht="18.75">
      <c r="A85" s="82" t="s">
        <v>500</v>
      </c>
      <c r="B85" s="83"/>
      <c r="C85" s="86" t="s">
        <v>651</v>
      </c>
      <c r="D85" s="86" t="s">
        <v>652</v>
      </c>
      <c r="E85" s="84" t="s">
        <v>1775</v>
      </c>
      <c r="F85" s="84" t="s">
        <v>1776</v>
      </c>
      <c r="G85" s="6"/>
    </row>
    <row r="86" spans="1:7" s="3" customFormat="1" ht="18.75">
      <c r="A86" s="82" t="s">
        <v>500</v>
      </c>
      <c r="B86" s="83"/>
      <c r="C86" s="86" t="s">
        <v>654</v>
      </c>
      <c r="D86" s="86" t="s">
        <v>796</v>
      </c>
      <c r="E86" s="84" t="s">
        <v>1777</v>
      </c>
      <c r="F86" s="84" t="s">
        <v>1778</v>
      </c>
      <c r="G86" s="6"/>
    </row>
    <row r="87" spans="1:7" s="3" customFormat="1" ht="18.75">
      <c r="A87" s="82" t="s">
        <v>500</v>
      </c>
      <c r="B87" s="83"/>
      <c r="C87" s="97" t="s">
        <v>989</v>
      </c>
      <c r="D87" s="98" t="s">
        <v>564</v>
      </c>
      <c r="E87" s="84" t="s">
        <v>1779</v>
      </c>
      <c r="F87" s="84" t="s">
        <v>1780</v>
      </c>
      <c r="G87" s="6"/>
    </row>
    <row r="88" spans="1:7" s="3" customFormat="1" ht="37.5">
      <c r="A88" s="82" t="s">
        <v>500</v>
      </c>
      <c r="B88" s="83"/>
      <c r="C88" s="97" t="s">
        <v>993</v>
      </c>
      <c r="D88" s="98" t="s">
        <v>992</v>
      </c>
      <c r="E88" s="84" t="s">
        <v>1781</v>
      </c>
      <c r="F88" s="84" t="s">
        <v>1782</v>
      </c>
      <c r="G88" s="6"/>
    </row>
    <row r="89" spans="1:7" s="3" customFormat="1" ht="18.75">
      <c r="A89" s="82" t="s">
        <v>500</v>
      </c>
      <c r="B89" s="83"/>
      <c r="C89" s="97" t="s">
        <v>565</v>
      </c>
      <c r="D89" s="98" t="s">
        <v>771</v>
      </c>
      <c r="E89" s="84" t="s">
        <v>1783</v>
      </c>
      <c r="F89" s="84" t="s">
        <v>1784</v>
      </c>
      <c r="G89" s="6"/>
    </row>
    <row r="90" spans="1:7" s="3" customFormat="1" ht="37.5">
      <c r="A90" s="82" t="s">
        <v>500</v>
      </c>
      <c r="B90" s="83"/>
      <c r="C90" s="97" t="s">
        <v>990</v>
      </c>
      <c r="D90" s="98" t="s">
        <v>991</v>
      </c>
      <c r="E90" s="84" t="s">
        <v>1785</v>
      </c>
      <c r="F90" s="84" t="s">
        <v>1786</v>
      </c>
      <c r="G90" s="6"/>
    </row>
    <row r="91" spans="1:7" s="3" customFormat="1" ht="37.5">
      <c r="A91" s="87" t="s">
        <v>1111</v>
      </c>
      <c r="B91" s="87" t="s">
        <v>1112</v>
      </c>
      <c r="C91" s="91" t="s">
        <v>1113</v>
      </c>
      <c r="D91" s="93" t="s">
        <v>1114</v>
      </c>
      <c r="E91" s="84" t="s">
        <v>1787</v>
      </c>
      <c r="F91" s="84" t="s">
        <v>1788</v>
      </c>
      <c r="G91" s="1"/>
    </row>
    <row r="92" spans="1:7" s="3" customFormat="1" ht="18.75">
      <c r="A92" s="87" t="s">
        <v>1111</v>
      </c>
      <c r="B92" s="87" t="s">
        <v>1054</v>
      </c>
      <c r="C92" s="91" t="s">
        <v>1115</v>
      </c>
      <c r="D92" s="91" t="s">
        <v>1116</v>
      </c>
      <c r="E92" s="84" t="s">
        <v>1789</v>
      </c>
      <c r="F92" s="84" t="s">
        <v>1790</v>
      </c>
      <c r="G92" s="1"/>
    </row>
    <row r="93" spans="1:7" s="3" customFormat="1" ht="56.25">
      <c r="A93" s="94" t="s">
        <v>1111</v>
      </c>
      <c r="B93" s="94" t="s">
        <v>1117</v>
      </c>
      <c r="C93" s="94" t="s">
        <v>1118</v>
      </c>
      <c r="D93" s="94" t="s">
        <v>1119</v>
      </c>
      <c r="E93" s="84" t="s">
        <v>1791</v>
      </c>
      <c r="F93" s="84" t="s">
        <v>1792</v>
      </c>
      <c r="G93" s="1"/>
    </row>
    <row r="94" spans="1:7" s="3" customFormat="1" ht="18.75">
      <c r="A94" s="87" t="s">
        <v>1111</v>
      </c>
      <c r="B94" s="87" t="s">
        <v>1120</v>
      </c>
      <c r="C94" s="87" t="s">
        <v>1121</v>
      </c>
      <c r="D94" s="93" t="s">
        <v>1122</v>
      </c>
      <c r="E94" s="84" t="s">
        <v>1793</v>
      </c>
      <c r="F94" s="84" t="s">
        <v>1794</v>
      </c>
      <c r="G94" s="1"/>
    </row>
    <row r="95" spans="1:7" s="3" customFormat="1" ht="18.75">
      <c r="A95" s="87" t="s">
        <v>1111</v>
      </c>
      <c r="B95" s="87" t="s">
        <v>1028</v>
      </c>
      <c r="C95" s="91" t="s">
        <v>1123</v>
      </c>
      <c r="D95" s="91" t="s">
        <v>1124</v>
      </c>
      <c r="E95" s="84" t="s">
        <v>1795</v>
      </c>
      <c r="F95" s="84" t="s">
        <v>1796</v>
      </c>
      <c r="G95" s="1"/>
    </row>
    <row r="96" spans="1:7" s="3" customFormat="1" ht="37.5">
      <c r="A96" s="87" t="s">
        <v>1111</v>
      </c>
      <c r="B96" s="87" t="s">
        <v>1028</v>
      </c>
      <c r="C96" s="91" t="s">
        <v>1125</v>
      </c>
      <c r="D96" s="91" t="s">
        <v>1126</v>
      </c>
      <c r="E96" s="84" t="s">
        <v>1797</v>
      </c>
      <c r="F96" s="84" t="s">
        <v>1796</v>
      </c>
      <c r="G96" s="1"/>
    </row>
    <row r="97" spans="1:7" s="3" customFormat="1" ht="37.5">
      <c r="A97" s="94" t="s">
        <v>1111</v>
      </c>
      <c r="B97" s="94" t="s">
        <v>1127</v>
      </c>
      <c r="C97" s="92" t="s">
        <v>1128</v>
      </c>
      <c r="D97" s="92" t="s">
        <v>1129</v>
      </c>
      <c r="E97" s="86" t="s">
        <v>1798</v>
      </c>
      <c r="F97" s="86" t="s">
        <v>1799</v>
      </c>
      <c r="G97" s="1"/>
    </row>
    <row r="98" spans="1:7" s="3" customFormat="1" ht="75">
      <c r="A98" s="94" t="s">
        <v>1111</v>
      </c>
      <c r="B98" s="94" t="s">
        <v>1127</v>
      </c>
      <c r="C98" s="92" t="s">
        <v>651</v>
      </c>
      <c r="D98" s="92" t="s">
        <v>1130</v>
      </c>
      <c r="E98" s="86" t="s">
        <v>1800</v>
      </c>
      <c r="F98" s="86" t="s">
        <v>1801</v>
      </c>
      <c r="G98" s="1"/>
    </row>
    <row r="99" spans="1:7" s="3" customFormat="1" ht="75">
      <c r="A99" s="87" t="s">
        <v>1111</v>
      </c>
      <c r="B99" s="87" t="s">
        <v>1131</v>
      </c>
      <c r="C99" s="91" t="s">
        <v>1132</v>
      </c>
      <c r="D99" s="91" t="s">
        <v>1133</v>
      </c>
      <c r="E99" s="86" t="s">
        <v>1802</v>
      </c>
      <c r="F99" s="86" t="s">
        <v>1803</v>
      </c>
      <c r="G99" s="1"/>
    </row>
    <row r="100" spans="1:7" s="3" customFormat="1" ht="37.5">
      <c r="A100" s="87" t="s">
        <v>1111</v>
      </c>
      <c r="B100" s="88" t="s">
        <v>1134</v>
      </c>
      <c r="C100" s="92" t="s">
        <v>643</v>
      </c>
      <c r="D100" s="92" t="s">
        <v>790</v>
      </c>
      <c r="E100" s="86" t="s">
        <v>1804</v>
      </c>
      <c r="F100" s="86" t="s">
        <v>1805</v>
      </c>
      <c r="G100" s="1"/>
    </row>
    <row r="101" spans="1:7" s="3" customFormat="1" ht="56.25">
      <c r="A101" s="87" t="s">
        <v>1111</v>
      </c>
      <c r="B101" s="88" t="s">
        <v>1046</v>
      </c>
      <c r="C101" s="91" t="s">
        <v>1135</v>
      </c>
      <c r="D101" s="93" t="s">
        <v>1136</v>
      </c>
      <c r="E101" s="86" t="s">
        <v>1806</v>
      </c>
      <c r="F101" s="86" t="s">
        <v>1807</v>
      </c>
      <c r="G101" s="1"/>
    </row>
    <row r="102" spans="1:7" s="3" customFormat="1" ht="37.5">
      <c r="A102" s="87" t="s">
        <v>1111</v>
      </c>
      <c r="B102" s="88" t="s">
        <v>1046</v>
      </c>
      <c r="C102" s="87" t="s">
        <v>1137</v>
      </c>
      <c r="D102" s="93" t="s">
        <v>1138</v>
      </c>
      <c r="E102" s="86" t="s">
        <v>1808</v>
      </c>
      <c r="F102" s="86" t="s">
        <v>1809</v>
      </c>
      <c r="G102" s="1"/>
    </row>
    <row r="103" spans="1:7" s="3" customFormat="1" ht="18.75">
      <c r="A103" s="87" t="s">
        <v>1111</v>
      </c>
      <c r="B103" s="88" t="s">
        <v>1046</v>
      </c>
      <c r="C103" s="91" t="s">
        <v>1139</v>
      </c>
      <c r="D103" s="91" t="s">
        <v>1140</v>
      </c>
      <c r="E103" s="86" t="s">
        <v>1810</v>
      </c>
      <c r="F103" s="86" t="s">
        <v>1811</v>
      </c>
      <c r="G103" s="1"/>
    </row>
    <row r="104" spans="1:7" s="3" customFormat="1" ht="37.5">
      <c r="A104" s="87" t="s">
        <v>1111</v>
      </c>
      <c r="B104" s="88" t="s">
        <v>1046</v>
      </c>
      <c r="C104" s="92" t="s">
        <v>638</v>
      </c>
      <c r="D104" s="92" t="s">
        <v>749</v>
      </c>
      <c r="E104" s="86" t="s">
        <v>1812</v>
      </c>
      <c r="F104" s="86" t="s">
        <v>1813</v>
      </c>
      <c r="G104" s="1"/>
    </row>
    <row r="105" spans="1:7" s="3" customFormat="1" ht="56.25">
      <c r="A105" s="87" t="s">
        <v>1111</v>
      </c>
      <c r="B105" s="88" t="s">
        <v>1141</v>
      </c>
      <c r="C105" s="91" t="s">
        <v>1142</v>
      </c>
      <c r="D105" s="91" t="s">
        <v>1143</v>
      </c>
      <c r="E105" s="86" t="s">
        <v>1814</v>
      </c>
      <c r="F105" s="86" t="s">
        <v>1815</v>
      </c>
      <c r="G105" s="1"/>
    </row>
    <row r="106" spans="1:7" s="3" customFormat="1" ht="37.5">
      <c r="A106" s="87" t="s">
        <v>1111</v>
      </c>
      <c r="B106" s="87" t="s">
        <v>1144</v>
      </c>
      <c r="C106" s="92" t="s">
        <v>646</v>
      </c>
      <c r="D106" s="92" t="s">
        <v>791</v>
      </c>
      <c r="E106" s="86" t="s">
        <v>1816</v>
      </c>
      <c r="F106" s="86" t="s">
        <v>1817</v>
      </c>
      <c r="G106" s="1"/>
    </row>
    <row r="107" spans="1:7" s="3" customFormat="1" ht="18.75">
      <c r="A107" s="87" t="s">
        <v>1111</v>
      </c>
      <c r="B107" s="88" t="s">
        <v>1145</v>
      </c>
      <c r="C107" s="92" t="s">
        <v>1146</v>
      </c>
      <c r="D107" s="92" t="s">
        <v>1147</v>
      </c>
      <c r="E107" s="86" t="s">
        <v>1818</v>
      </c>
      <c r="F107" s="86" t="s">
        <v>1819</v>
      </c>
      <c r="G107" s="1"/>
    </row>
    <row r="108" spans="1:7" s="3" customFormat="1" ht="18.75">
      <c r="A108" s="87" t="s">
        <v>1111</v>
      </c>
      <c r="B108" s="88" t="s">
        <v>1148</v>
      </c>
      <c r="C108" s="88" t="s">
        <v>1149</v>
      </c>
      <c r="D108" s="96" t="s">
        <v>1067</v>
      </c>
      <c r="E108" s="86" t="s">
        <v>1820</v>
      </c>
      <c r="F108" s="86" t="s">
        <v>1821</v>
      </c>
      <c r="G108" s="1"/>
    </row>
    <row r="109" spans="1:7" s="3" customFormat="1" ht="37.5">
      <c r="A109" s="87" t="s">
        <v>1111</v>
      </c>
      <c r="B109" s="87" t="s">
        <v>1148</v>
      </c>
      <c r="C109" s="91" t="s">
        <v>1150</v>
      </c>
      <c r="D109" s="91" t="s">
        <v>1044</v>
      </c>
      <c r="E109" s="86" t="s">
        <v>1822</v>
      </c>
      <c r="F109" s="86" t="s">
        <v>1823</v>
      </c>
      <c r="G109" s="1"/>
    </row>
    <row r="110" spans="1:7" s="3" customFormat="1" ht="18.75">
      <c r="A110" s="87" t="s">
        <v>1111</v>
      </c>
      <c r="B110" s="88" t="s">
        <v>1151</v>
      </c>
      <c r="C110" s="92" t="s">
        <v>839</v>
      </c>
      <c r="D110" s="92" t="s">
        <v>1044</v>
      </c>
      <c r="E110" s="86"/>
      <c r="F110" s="86"/>
      <c r="G110" s="1"/>
    </row>
    <row r="111" spans="1:7" s="3" customFormat="1" ht="37.5">
      <c r="A111" s="87" t="s">
        <v>1111</v>
      </c>
      <c r="B111" s="87" t="s">
        <v>1152</v>
      </c>
      <c r="C111" s="91" t="s">
        <v>1153</v>
      </c>
      <c r="D111" s="91" t="s">
        <v>1044</v>
      </c>
      <c r="E111" s="86" t="s">
        <v>1824</v>
      </c>
      <c r="F111" s="86" t="s">
        <v>1825</v>
      </c>
      <c r="G111" s="1"/>
    </row>
    <row r="112" spans="1:7" s="3" customFormat="1" ht="37.5">
      <c r="A112" s="87" t="s">
        <v>1111</v>
      </c>
      <c r="B112" s="87" t="s">
        <v>1152</v>
      </c>
      <c r="C112" s="91" t="s">
        <v>1154</v>
      </c>
      <c r="D112" s="93" t="s">
        <v>1155</v>
      </c>
      <c r="E112" s="86" t="s">
        <v>1826</v>
      </c>
      <c r="F112" s="86" t="s">
        <v>1827</v>
      </c>
      <c r="G112" s="1"/>
    </row>
    <row r="113" spans="1:7" s="3" customFormat="1" ht="18.75">
      <c r="A113" s="87" t="s">
        <v>1111</v>
      </c>
      <c r="B113" s="87" t="s">
        <v>1156</v>
      </c>
      <c r="C113" s="87" t="s">
        <v>1157</v>
      </c>
      <c r="D113" s="93" t="s">
        <v>1158</v>
      </c>
      <c r="E113" s="86" t="s">
        <v>1828</v>
      </c>
      <c r="F113" s="86" t="s">
        <v>1829</v>
      </c>
      <c r="G113" s="1"/>
    </row>
    <row r="114" spans="1:7" s="3" customFormat="1" ht="37.5">
      <c r="A114" s="87" t="s">
        <v>1111</v>
      </c>
      <c r="B114" s="87" t="s">
        <v>1144</v>
      </c>
      <c r="C114" s="91" t="s">
        <v>1159</v>
      </c>
      <c r="D114" s="91" t="s">
        <v>1160</v>
      </c>
      <c r="E114" s="86" t="s">
        <v>1830</v>
      </c>
      <c r="F114" s="86" t="s">
        <v>1831</v>
      </c>
      <c r="G114" s="1"/>
    </row>
    <row r="115" spans="1:7" s="3" customFormat="1" ht="18.75">
      <c r="A115" s="87" t="s">
        <v>1111</v>
      </c>
      <c r="B115" s="87" t="s">
        <v>1161</v>
      </c>
      <c r="C115" s="87" t="s">
        <v>1162</v>
      </c>
      <c r="D115" s="93" t="s">
        <v>1163</v>
      </c>
      <c r="E115" s="86" t="s">
        <v>1832</v>
      </c>
      <c r="F115" s="86" t="s">
        <v>1833</v>
      </c>
      <c r="G115" s="1"/>
    </row>
    <row r="116" spans="1:7" s="3" customFormat="1" ht="56.25">
      <c r="A116" s="87" t="s">
        <v>1111</v>
      </c>
      <c r="B116" s="87" t="s">
        <v>1164</v>
      </c>
      <c r="C116" s="92" t="s">
        <v>647</v>
      </c>
      <c r="D116" s="92" t="s">
        <v>641</v>
      </c>
      <c r="E116" s="86" t="s">
        <v>1834</v>
      </c>
      <c r="F116" s="86" t="s">
        <v>1835</v>
      </c>
      <c r="G116" s="1"/>
    </row>
    <row r="117" spans="1:7" s="3" customFormat="1" ht="37.5">
      <c r="A117" s="87" t="s">
        <v>1111</v>
      </c>
      <c r="B117" s="87" t="s">
        <v>1164</v>
      </c>
      <c r="C117" s="92" t="s">
        <v>650</v>
      </c>
      <c r="D117" s="92" t="s">
        <v>1165</v>
      </c>
      <c r="E117" s="86" t="s">
        <v>1836</v>
      </c>
      <c r="F117" s="86" t="s">
        <v>1837</v>
      </c>
      <c r="G117" s="1"/>
    </row>
    <row r="118" spans="1:7" s="3" customFormat="1" ht="37.5">
      <c r="A118" s="87" t="s">
        <v>1111</v>
      </c>
      <c r="B118" s="87" t="s">
        <v>1164</v>
      </c>
      <c r="C118" s="87" t="s">
        <v>1166</v>
      </c>
      <c r="D118" s="93" t="s">
        <v>1167</v>
      </c>
      <c r="E118" s="86" t="s">
        <v>1838</v>
      </c>
      <c r="F118" s="86" t="s">
        <v>1839</v>
      </c>
      <c r="G118" s="1"/>
    </row>
    <row r="119" spans="1:7" s="3" customFormat="1" ht="18.75">
      <c r="A119" s="87" t="s">
        <v>1111</v>
      </c>
      <c r="B119" s="87" t="s">
        <v>1168</v>
      </c>
      <c r="C119" s="87" t="s">
        <v>1169</v>
      </c>
      <c r="D119" s="93" t="s">
        <v>1170</v>
      </c>
      <c r="E119" s="86" t="s">
        <v>1840</v>
      </c>
      <c r="F119" s="86" t="s">
        <v>1841</v>
      </c>
      <c r="G119" s="1"/>
    </row>
    <row r="120" spans="1:7" s="3" customFormat="1" ht="18.75">
      <c r="A120" s="82" t="s">
        <v>492</v>
      </c>
      <c r="B120" s="99"/>
      <c r="C120" s="100" t="s">
        <v>504</v>
      </c>
      <c r="D120" s="101" t="s">
        <v>866</v>
      </c>
      <c r="E120" s="86" t="s">
        <v>1842</v>
      </c>
      <c r="F120" s="86" t="s">
        <v>1843</v>
      </c>
      <c r="G120" s="2"/>
    </row>
    <row r="121" spans="1:7" s="3" customFormat="1" ht="37.5">
      <c r="A121" s="82" t="s">
        <v>492</v>
      </c>
      <c r="B121" s="99"/>
      <c r="C121" s="100" t="s">
        <v>506</v>
      </c>
      <c r="D121" s="101" t="s">
        <v>867</v>
      </c>
      <c r="E121" s="84" t="s">
        <v>1844</v>
      </c>
      <c r="F121" s="84" t="s">
        <v>1845</v>
      </c>
      <c r="G121" s="2"/>
    </row>
    <row r="122" spans="1:7" s="3" customFormat="1" ht="37.5">
      <c r="A122" s="82" t="s">
        <v>492</v>
      </c>
      <c r="B122" s="99"/>
      <c r="C122" s="100" t="s">
        <v>998</v>
      </c>
      <c r="D122" s="101" t="s">
        <v>999</v>
      </c>
      <c r="E122" s="84" t="s">
        <v>1846</v>
      </c>
      <c r="F122" s="84" t="s">
        <v>1847</v>
      </c>
      <c r="G122" s="2"/>
    </row>
    <row r="123" spans="1:7" s="3" customFormat="1" ht="18.75">
      <c r="A123" s="82" t="s">
        <v>492</v>
      </c>
      <c r="B123" s="99"/>
      <c r="C123" s="100" t="s">
        <v>507</v>
      </c>
      <c r="D123" s="101" t="s">
        <v>868</v>
      </c>
      <c r="E123" s="84" t="s">
        <v>1848</v>
      </c>
      <c r="F123" s="84" t="s">
        <v>1849</v>
      </c>
      <c r="G123" s="2"/>
    </row>
    <row r="124" spans="1:7" s="3" customFormat="1" ht="18.75">
      <c r="A124" s="82" t="s">
        <v>492</v>
      </c>
      <c r="B124" s="99"/>
      <c r="C124" s="100" t="s">
        <v>1002</v>
      </c>
      <c r="D124" s="101" t="s">
        <v>1003</v>
      </c>
      <c r="E124" s="84" t="s">
        <v>1850</v>
      </c>
      <c r="F124" s="84" t="s">
        <v>1851</v>
      </c>
      <c r="G124" s="2"/>
    </row>
    <row r="125" spans="1:7" s="3" customFormat="1" ht="18.75">
      <c r="A125" s="82" t="s">
        <v>492</v>
      </c>
      <c r="B125" s="99"/>
      <c r="C125" s="100" t="s">
        <v>514</v>
      </c>
      <c r="D125" s="101" t="s">
        <v>513</v>
      </c>
      <c r="E125" s="84" t="s">
        <v>1852</v>
      </c>
      <c r="F125" s="84" t="s">
        <v>1853</v>
      </c>
      <c r="G125" s="2"/>
    </row>
    <row r="126" spans="1:7" s="3" customFormat="1" ht="18.75">
      <c r="A126" s="82" t="s">
        <v>492</v>
      </c>
      <c r="B126" s="99"/>
      <c r="C126" s="100" t="s">
        <v>1000</v>
      </c>
      <c r="D126" s="101" t="s">
        <v>1001</v>
      </c>
      <c r="E126" s="84" t="s">
        <v>1854</v>
      </c>
      <c r="F126" s="84" t="s">
        <v>1855</v>
      </c>
      <c r="G126" s="2"/>
    </row>
    <row r="127" spans="1:7" s="3" customFormat="1" ht="18.75">
      <c r="A127" s="82" t="s">
        <v>492</v>
      </c>
      <c r="B127" s="99"/>
      <c r="C127" s="100" t="s">
        <v>508</v>
      </c>
      <c r="D127" s="101" t="s">
        <v>869</v>
      </c>
      <c r="E127" s="84" t="s">
        <v>1856</v>
      </c>
      <c r="F127" s="84" t="s">
        <v>1857</v>
      </c>
      <c r="G127" s="2"/>
    </row>
    <row r="128" spans="1:7" s="3" customFormat="1" ht="18.75">
      <c r="A128" s="82" t="s">
        <v>492</v>
      </c>
      <c r="B128" s="99"/>
      <c r="C128" s="100" t="s">
        <v>509</v>
      </c>
      <c r="D128" s="101" t="s">
        <v>870</v>
      </c>
      <c r="E128" s="84" t="s">
        <v>1858</v>
      </c>
      <c r="F128" s="84" t="s">
        <v>1859</v>
      </c>
      <c r="G128" s="2"/>
    </row>
    <row r="129" spans="1:7" s="3" customFormat="1" ht="18.75">
      <c r="A129" s="82" t="s">
        <v>492</v>
      </c>
      <c r="B129" s="99"/>
      <c r="C129" s="101" t="s">
        <v>510</v>
      </c>
      <c r="D129" s="101" t="s">
        <v>871</v>
      </c>
      <c r="E129" s="84" t="s">
        <v>1860</v>
      </c>
      <c r="F129" s="84" t="s">
        <v>1861</v>
      </c>
      <c r="G129" s="2"/>
    </row>
    <row r="130" spans="1:7" s="3" customFormat="1" ht="18.75">
      <c r="A130" s="82" t="s">
        <v>492</v>
      </c>
      <c r="B130" s="99"/>
      <c r="C130" s="101" t="s">
        <v>511</v>
      </c>
      <c r="D130" s="101" t="s">
        <v>872</v>
      </c>
      <c r="E130" s="84" t="s">
        <v>1862</v>
      </c>
      <c r="F130" s="84" t="s">
        <v>1784</v>
      </c>
      <c r="G130" s="2"/>
    </row>
    <row r="131" spans="1:7" s="3" customFormat="1" ht="18.75">
      <c r="A131" s="82" t="s">
        <v>492</v>
      </c>
      <c r="B131" s="99"/>
      <c r="C131" s="101" t="s">
        <v>512</v>
      </c>
      <c r="D131" s="101" t="s">
        <v>872</v>
      </c>
      <c r="E131" s="84" t="s">
        <v>1863</v>
      </c>
      <c r="F131" s="84" t="s">
        <v>1864</v>
      </c>
      <c r="G131" s="2"/>
    </row>
    <row r="132" spans="1:7" s="3" customFormat="1" ht="18.75">
      <c r="A132" s="82" t="s">
        <v>492</v>
      </c>
      <c r="B132" s="99"/>
      <c r="C132" s="101" t="s">
        <v>1006</v>
      </c>
      <c r="D132" s="101" t="s">
        <v>1007</v>
      </c>
      <c r="E132" s="84" t="s">
        <v>1865</v>
      </c>
      <c r="F132" s="84" t="s">
        <v>1866</v>
      </c>
      <c r="G132" s="2"/>
    </row>
    <row r="133" spans="1:7" s="3" customFormat="1" ht="18.75">
      <c r="A133" s="82" t="s">
        <v>492</v>
      </c>
      <c r="B133" s="99"/>
      <c r="C133" s="101" t="s">
        <v>1004</v>
      </c>
      <c r="D133" s="101" t="s">
        <v>1005</v>
      </c>
      <c r="E133" s="84" t="s">
        <v>1867</v>
      </c>
      <c r="F133" s="84" t="s">
        <v>1868</v>
      </c>
      <c r="G133" s="2"/>
    </row>
    <row r="134" spans="1:7" s="3" customFormat="1" ht="18.75">
      <c r="A134" s="82" t="s">
        <v>492</v>
      </c>
      <c r="B134" s="99"/>
      <c r="C134" s="101" t="s">
        <v>1008</v>
      </c>
      <c r="D134" s="101" t="s">
        <v>1009</v>
      </c>
      <c r="E134" s="84" t="s">
        <v>1869</v>
      </c>
      <c r="F134" s="84" t="s">
        <v>1870</v>
      </c>
      <c r="G134" s="2"/>
    </row>
    <row r="135" spans="1:7" s="3" customFormat="1" ht="37.5">
      <c r="A135" s="82" t="s">
        <v>492</v>
      </c>
      <c r="B135" s="99"/>
      <c r="C135" s="101" t="s">
        <v>506</v>
      </c>
      <c r="D135" s="101" t="s">
        <v>1010</v>
      </c>
      <c r="E135" s="84" t="s">
        <v>1871</v>
      </c>
      <c r="F135" s="84" t="s">
        <v>1872</v>
      </c>
      <c r="G135" s="2"/>
    </row>
    <row r="136" spans="1:7" s="3" customFormat="1" ht="37.5">
      <c r="A136" s="82" t="s">
        <v>492</v>
      </c>
      <c r="B136" s="99"/>
      <c r="C136" s="97" t="s">
        <v>989</v>
      </c>
      <c r="D136" s="98" t="s">
        <v>564</v>
      </c>
      <c r="E136" s="84" t="s">
        <v>1873</v>
      </c>
      <c r="F136" s="84" t="s">
        <v>1874</v>
      </c>
      <c r="G136" s="2"/>
    </row>
    <row r="137" spans="1:7" s="3" customFormat="1" ht="37.5">
      <c r="A137" s="82" t="s">
        <v>492</v>
      </c>
      <c r="B137" s="99"/>
      <c r="C137" s="97" t="s">
        <v>993</v>
      </c>
      <c r="D137" s="98" t="s">
        <v>992</v>
      </c>
      <c r="E137" s="86" t="s">
        <v>1875</v>
      </c>
      <c r="F137" s="86" t="s">
        <v>1876</v>
      </c>
      <c r="G137" s="2"/>
    </row>
    <row r="138" spans="1:7" s="3" customFormat="1" ht="37.5">
      <c r="A138" s="82" t="s">
        <v>492</v>
      </c>
      <c r="B138" s="99"/>
      <c r="C138" s="97" t="s">
        <v>565</v>
      </c>
      <c r="D138" s="98" t="s">
        <v>771</v>
      </c>
      <c r="E138" s="86" t="s">
        <v>1877</v>
      </c>
      <c r="F138" s="86" t="s">
        <v>1876</v>
      </c>
      <c r="G138" s="2"/>
    </row>
    <row r="139" spans="1:7" s="3" customFormat="1" ht="37.5">
      <c r="A139" s="82" t="s">
        <v>492</v>
      </c>
      <c r="B139" s="99"/>
      <c r="C139" s="97" t="s">
        <v>990</v>
      </c>
      <c r="D139" s="98" t="s">
        <v>991</v>
      </c>
      <c r="E139" s="86" t="s">
        <v>1878</v>
      </c>
      <c r="F139" s="86" t="s">
        <v>1879</v>
      </c>
      <c r="G139" s="2"/>
    </row>
    <row r="140" spans="1:7" s="3" customFormat="1" ht="18.75">
      <c r="A140" s="87" t="s">
        <v>492</v>
      </c>
      <c r="B140" s="87" t="s">
        <v>1171</v>
      </c>
      <c r="C140" s="91" t="s">
        <v>1172</v>
      </c>
      <c r="D140" s="93" t="s">
        <v>1173</v>
      </c>
      <c r="E140" s="86" t="s">
        <v>1880</v>
      </c>
      <c r="F140" s="86" t="s">
        <v>1881</v>
      </c>
      <c r="G140" s="1"/>
    </row>
    <row r="141" spans="1:7" s="3" customFormat="1" ht="75">
      <c r="A141" s="94" t="s">
        <v>492</v>
      </c>
      <c r="B141" s="94" t="s">
        <v>1174</v>
      </c>
      <c r="C141" s="94" t="s">
        <v>1175</v>
      </c>
      <c r="D141" s="94" t="s">
        <v>1176</v>
      </c>
      <c r="E141" s="86" t="s">
        <v>1882</v>
      </c>
      <c r="F141" s="86" t="s">
        <v>1883</v>
      </c>
      <c r="G141" s="1"/>
    </row>
    <row r="142" spans="1:7" s="3" customFormat="1" ht="18.75">
      <c r="A142" s="87" t="s">
        <v>492</v>
      </c>
      <c r="B142" s="87" t="s">
        <v>1177</v>
      </c>
      <c r="C142" s="87" t="s">
        <v>1178</v>
      </c>
      <c r="D142" s="93" t="s">
        <v>1179</v>
      </c>
      <c r="E142" s="86" t="s">
        <v>1884</v>
      </c>
      <c r="F142" s="86" t="s">
        <v>1885</v>
      </c>
      <c r="G142" s="1"/>
    </row>
    <row r="143" spans="1:7" s="3" customFormat="1" ht="37.5">
      <c r="A143" s="87" t="s">
        <v>492</v>
      </c>
      <c r="B143" s="88" t="s">
        <v>1180</v>
      </c>
      <c r="C143" s="91" t="s">
        <v>1181</v>
      </c>
      <c r="D143" s="93" t="s">
        <v>1182</v>
      </c>
      <c r="E143" s="86" t="s">
        <v>1886</v>
      </c>
      <c r="F143" s="86" t="s">
        <v>1887</v>
      </c>
      <c r="G143" s="1"/>
    </row>
    <row r="144" spans="1:7" s="3" customFormat="1" ht="37.5">
      <c r="A144" s="87" t="s">
        <v>492</v>
      </c>
      <c r="B144" s="88" t="s">
        <v>1183</v>
      </c>
      <c r="C144" s="102" t="s">
        <v>506</v>
      </c>
      <c r="D144" s="96" t="s">
        <v>1010</v>
      </c>
      <c r="E144" s="86" t="s">
        <v>1888</v>
      </c>
      <c r="F144" s="86" t="s">
        <v>1889</v>
      </c>
      <c r="G144" s="1"/>
    </row>
    <row r="145" spans="1:7" s="3" customFormat="1" ht="18.75">
      <c r="A145" s="87" t="s">
        <v>492</v>
      </c>
      <c r="B145" s="88" t="s">
        <v>1184</v>
      </c>
      <c r="C145" s="88" t="s">
        <v>1185</v>
      </c>
      <c r="D145" s="96" t="s">
        <v>1186</v>
      </c>
      <c r="E145" s="86" t="s">
        <v>1890</v>
      </c>
      <c r="F145" s="86" t="s">
        <v>1891</v>
      </c>
      <c r="G145" s="1"/>
    </row>
    <row r="146" spans="1:7" s="3" customFormat="1" ht="37.5">
      <c r="A146" s="94" t="s">
        <v>492</v>
      </c>
      <c r="B146" s="94" t="s">
        <v>1184</v>
      </c>
      <c r="C146" s="94" t="s">
        <v>1187</v>
      </c>
      <c r="D146" s="94" t="s">
        <v>1188</v>
      </c>
      <c r="E146" s="86" t="s">
        <v>1892</v>
      </c>
      <c r="F146" s="86" t="s">
        <v>1893</v>
      </c>
      <c r="G146" s="1"/>
    </row>
    <row r="147" spans="1:7" s="3" customFormat="1" ht="37.5">
      <c r="A147" s="94" t="s">
        <v>492</v>
      </c>
      <c r="B147" s="94" t="s">
        <v>1184</v>
      </c>
      <c r="C147" s="94" t="s">
        <v>1189</v>
      </c>
      <c r="D147" s="94" t="s">
        <v>1190</v>
      </c>
      <c r="E147" s="86" t="s">
        <v>1894</v>
      </c>
      <c r="F147" s="86" t="s">
        <v>1895</v>
      </c>
      <c r="G147" s="1"/>
    </row>
    <row r="148" spans="1:7" s="3" customFormat="1" ht="18.75">
      <c r="A148" s="87" t="s">
        <v>492</v>
      </c>
      <c r="B148" s="88" t="s">
        <v>1191</v>
      </c>
      <c r="C148" s="102" t="s">
        <v>508</v>
      </c>
      <c r="D148" s="96" t="s">
        <v>1192</v>
      </c>
      <c r="E148" s="97" t="s">
        <v>1706</v>
      </c>
      <c r="F148" s="245" t="s">
        <v>1707</v>
      </c>
      <c r="G148" s="1"/>
    </row>
    <row r="149" spans="1:7" s="3" customFormat="1" ht="37.5">
      <c r="A149" s="87" t="s">
        <v>492</v>
      </c>
      <c r="B149" s="87" t="s">
        <v>1193</v>
      </c>
      <c r="C149" s="91" t="s">
        <v>1194</v>
      </c>
      <c r="D149" s="93" t="s">
        <v>1195</v>
      </c>
      <c r="E149" s="97" t="s">
        <v>1708</v>
      </c>
      <c r="F149" s="245" t="s">
        <v>1758</v>
      </c>
      <c r="G149" s="1"/>
    </row>
    <row r="150" spans="1:7" s="3" customFormat="1" ht="18.75">
      <c r="A150" s="87" t="s">
        <v>492</v>
      </c>
      <c r="B150" s="87" t="s">
        <v>1093</v>
      </c>
      <c r="C150" s="102" t="s">
        <v>509</v>
      </c>
      <c r="D150" s="96" t="s">
        <v>1196</v>
      </c>
      <c r="E150" s="97" t="s">
        <v>1710</v>
      </c>
      <c r="F150" s="245" t="s">
        <v>1711</v>
      </c>
      <c r="G150" s="1"/>
    </row>
    <row r="151" spans="1:7" s="3" customFormat="1" ht="37.5">
      <c r="A151" s="87" t="s">
        <v>492</v>
      </c>
      <c r="B151" s="87" t="s">
        <v>1093</v>
      </c>
      <c r="C151" s="91" t="s">
        <v>1197</v>
      </c>
      <c r="D151" s="93" t="s">
        <v>1198</v>
      </c>
      <c r="E151" s="97" t="s">
        <v>1712</v>
      </c>
      <c r="F151" s="245" t="s">
        <v>1713</v>
      </c>
      <c r="G151" s="1"/>
    </row>
    <row r="152" spans="1:7" s="3" customFormat="1" ht="37.5">
      <c r="A152" s="94" t="s">
        <v>492</v>
      </c>
      <c r="B152" s="94" t="s">
        <v>1077</v>
      </c>
      <c r="C152" s="94" t="s">
        <v>1199</v>
      </c>
      <c r="D152" s="94" t="s">
        <v>1200</v>
      </c>
      <c r="E152" s="86" t="s">
        <v>1896</v>
      </c>
      <c r="F152" s="86" t="s">
        <v>1897</v>
      </c>
      <c r="G152" s="1"/>
    </row>
    <row r="153" spans="1:7" s="3" customFormat="1" ht="18.75">
      <c r="A153" s="94" t="s">
        <v>492</v>
      </c>
      <c r="B153" s="94" t="s">
        <v>1077</v>
      </c>
      <c r="C153" s="94" t="s">
        <v>1201</v>
      </c>
      <c r="D153" s="94" t="s">
        <v>1202</v>
      </c>
      <c r="E153" s="86" t="s">
        <v>1898</v>
      </c>
      <c r="F153" s="86" t="s">
        <v>1899</v>
      </c>
      <c r="G153" s="1"/>
    </row>
    <row r="154" spans="1:7" s="3" customFormat="1" ht="37.5">
      <c r="A154" s="94" t="s">
        <v>492</v>
      </c>
      <c r="B154" s="94" t="s">
        <v>1077</v>
      </c>
      <c r="C154" s="94" t="s">
        <v>1203</v>
      </c>
      <c r="D154" s="94" t="s">
        <v>1204</v>
      </c>
      <c r="E154" s="86" t="s">
        <v>1880</v>
      </c>
      <c r="F154" s="86" t="s">
        <v>1900</v>
      </c>
      <c r="G154" s="1"/>
    </row>
    <row r="155" spans="1:7" s="3" customFormat="1" ht="18.75">
      <c r="A155" s="87" t="s">
        <v>492</v>
      </c>
      <c r="B155" s="87" t="s">
        <v>1205</v>
      </c>
      <c r="C155" s="87" t="s">
        <v>1206</v>
      </c>
      <c r="D155" s="93" t="s">
        <v>1207</v>
      </c>
      <c r="E155" s="86" t="s">
        <v>1901</v>
      </c>
      <c r="F155" s="86" t="s">
        <v>1879</v>
      </c>
      <c r="G155" s="1"/>
    </row>
    <row r="156" spans="1:7" s="3" customFormat="1" ht="18.75">
      <c r="A156" s="94" t="s">
        <v>492</v>
      </c>
      <c r="B156" s="94" t="s">
        <v>1208</v>
      </c>
      <c r="C156" s="94" t="s">
        <v>1209</v>
      </c>
      <c r="D156" s="96" t="s">
        <v>1210</v>
      </c>
      <c r="E156" s="86" t="s">
        <v>1902</v>
      </c>
      <c r="F156" s="86" t="s">
        <v>1903</v>
      </c>
      <c r="G156" s="1"/>
    </row>
    <row r="157" spans="1:7" s="3" customFormat="1" ht="18.75">
      <c r="A157" s="87" t="s">
        <v>492</v>
      </c>
      <c r="B157" s="87" t="s">
        <v>1211</v>
      </c>
      <c r="C157" s="91" t="s">
        <v>1212</v>
      </c>
      <c r="D157" s="93" t="s">
        <v>1213</v>
      </c>
      <c r="E157" s="86" t="s">
        <v>1882</v>
      </c>
      <c r="F157" s="86" t="s">
        <v>1883</v>
      </c>
      <c r="G157" s="1"/>
    </row>
    <row r="158" spans="1:7" s="3" customFormat="1" ht="18.75">
      <c r="A158" s="94" t="s">
        <v>492</v>
      </c>
      <c r="B158" s="94" t="s">
        <v>1080</v>
      </c>
      <c r="C158" s="94" t="s">
        <v>1214</v>
      </c>
      <c r="D158" s="94" t="s">
        <v>1215</v>
      </c>
      <c r="E158" s="86" t="s">
        <v>1904</v>
      </c>
      <c r="F158" s="86" t="s">
        <v>1905</v>
      </c>
      <c r="G158" s="1"/>
    </row>
    <row r="159" spans="1:7" s="3" customFormat="1" ht="18.75">
      <c r="A159" s="94" t="s">
        <v>492</v>
      </c>
      <c r="B159" s="94" t="s">
        <v>1080</v>
      </c>
      <c r="C159" s="94" t="s">
        <v>1216</v>
      </c>
      <c r="D159" s="94" t="s">
        <v>1217</v>
      </c>
      <c r="E159" s="86" t="s">
        <v>1906</v>
      </c>
      <c r="F159" s="86" t="s">
        <v>1893</v>
      </c>
      <c r="G159" s="1"/>
    </row>
    <row r="160" spans="1:7" s="3" customFormat="1" ht="18.75">
      <c r="A160" s="87" t="s">
        <v>492</v>
      </c>
      <c r="B160" s="88" t="s">
        <v>1080</v>
      </c>
      <c r="C160" s="102" t="s">
        <v>514</v>
      </c>
      <c r="D160" s="96" t="s">
        <v>1218</v>
      </c>
      <c r="E160" s="86" t="s">
        <v>1907</v>
      </c>
      <c r="F160" s="86" t="s">
        <v>1908</v>
      </c>
      <c r="G160" s="1"/>
    </row>
    <row r="161" spans="1:7" s="3" customFormat="1" ht="18.75">
      <c r="A161" s="94" t="s">
        <v>492</v>
      </c>
      <c r="B161" s="94" t="s">
        <v>1219</v>
      </c>
      <c r="C161" s="94" t="s">
        <v>1220</v>
      </c>
      <c r="D161" s="94" t="s">
        <v>1221</v>
      </c>
      <c r="E161" s="97" t="s">
        <v>1706</v>
      </c>
      <c r="F161" s="245" t="s">
        <v>1707</v>
      </c>
      <c r="G161" s="1"/>
    </row>
    <row r="162" spans="1:7" s="3" customFormat="1" ht="37.5">
      <c r="A162" s="87" t="s">
        <v>492</v>
      </c>
      <c r="B162" s="87" t="s">
        <v>1222</v>
      </c>
      <c r="C162" s="91" t="s">
        <v>1223</v>
      </c>
      <c r="D162" s="93" t="s">
        <v>1224</v>
      </c>
      <c r="E162" s="97" t="s">
        <v>1708</v>
      </c>
      <c r="F162" s="245" t="s">
        <v>1758</v>
      </c>
      <c r="G162" s="1"/>
    </row>
    <row r="163" spans="1:7" s="3" customFormat="1" ht="18.75">
      <c r="A163" s="87" t="s">
        <v>492</v>
      </c>
      <c r="B163" s="88" t="s">
        <v>1225</v>
      </c>
      <c r="C163" s="91" t="s">
        <v>1226</v>
      </c>
      <c r="D163" s="93" t="s">
        <v>1227</v>
      </c>
      <c r="E163" s="97" t="s">
        <v>1710</v>
      </c>
      <c r="F163" s="245" t="s">
        <v>1711</v>
      </c>
      <c r="G163" s="1"/>
    </row>
    <row r="164" spans="1:7" s="3" customFormat="1" ht="37.5">
      <c r="A164" s="87" t="s">
        <v>492</v>
      </c>
      <c r="B164" s="87" t="s">
        <v>1228</v>
      </c>
      <c r="C164" s="94" t="s">
        <v>1229</v>
      </c>
      <c r="D164" s="94" t="s">
        <v>1230</v>
      </c>
      <c r="E164" s="97" t="s">
        <v>1712</v>
      </c>
      <c r="F164" s="245" t="s">
        <v>1713</v>
      </c>
      <c r="G164" s="1"/>
    </row>
    <row r="165" spans="1:7" s="3" customFormat="1" ht="37.5">
      <c r="A165" s="94" t="s">
        <v>492</v>
      </c>
      <c r="B165" s="94" t="s">
        <v>1231</v>
      </c>
      <c r="C165" s="94" t="s">
        <v>1232</v>
      </c>
      <c r="D165" s="94" t="s">
        <v>1233</v>
      </c>
      <c r="E165" s="86" t="s">
        <v>1909</v>
      </c>
      <c r="F165" s="86" t="s">
        <v>1910</v>
      </c>
      <c r="G165" s="1"/>
    </row>
    <row r="166" spans="1:7" s="3" customFormat="1" ht="37.5">
      <c r="A166" s="94" t="s">
        <v>492</v>
      </c>
      <c r="B166" s="94" t="s">
        <v>1174</v>
      </c>
      <c r="C166" s="94" t="s">
        <v>1234</v>
      </c>
      <c r="D166" s="94" t="s">
        <v>1235</v>
      </c>
      <c r="E166" s="86" t="s">
        <v>1911</v>
      </c>
      <c r="F166" s="86" t="s">
        <v>1912</v>
      </c>
      <c r="G166" s="1"/>
    </row>
    <row r="167" spans="1:7" s="3" customFormat="1" ht="18.75">
      <c r="A167" s="87" t="s">
        <v>492</v>
      </c>
      <c r="B167" s="87" t="s">
        <v>1236</v>
      </c>
      <c r="C167" s="91" t="s">
        <v>1237</v>
      </c>
      <c r="D167" s="93" t="s">
        <v>1238</v>
      </c>
      <c r="E167" s="86" t="s">
        <v>1913</v>
      </c>
      <c r="F167" s="86" t="s">
        <v>1914</v>
      </c>
      <c r="G167" s="1"/>
    </row>
    <row r="168" spans="1:7" s="3" customFormat="1" ht="18.75">
      <c r="A168" s="87" t="s">
        <v>492</v>
      </c>
      <c r="B168" s="87" t="s">
        <v>1080</v>
      </c>
      <c r="C168" s="91" t="s">
        <v>1239</v>
      </c>
      <c r="D168" s="93" t="s">
        <v>1240</v>
      </c>
      <c r="E168" s="84" t="s">
        <v>1915</v>
      </c>
      <c r="F168" s="86" t="s">
        <v>1916</v>
      </c>
      <c r="G168" s="1"/>
    </row>
    <row r="169" spans="1:7" s="3" customFormat="1" ht="18.75">
      <c r="A169" s="87" t="s">
        <v>501</v>
      </c>
      <c r="B169" s="87" t="s">
        <v>1174</v>
      </c>
      <c r="C169" s="91" t="s">
        <v>1241</v>
      </c>
      <c r="D169" s="93" t="s">
        <v>1242</v>
      </c>
      <c r="E169" s="84" t="s">
        <v>1917</v>
      </c>
      <c r="F169" s="86" t="s">
        <v>1918</v>
      </c>
      <c r="G169" s="1"/>
    </row>
    <row r="170" spans="1:7" s="3" customFormat="1" ht="18.75">
      <c r="A170" s="87" t="s">
        <v>501</v>
      </c>
      <c r="B170" s="87" t="s">
        <v>1174</v>
      </c>
      <c r="C170" s="87" t="s">
        <v>1243</v>
      </c>
      <c r="D170" s="93" t="s">
        <v>1244</v>
      </c>
      <c r="E170" s="84" t="s">
        <v>1919</v>
      </c>
      <c r="F170" s="86" t="s">
        <v>1920</v>
      </c>
      <c r="G170" s="1"/>
    </row>
    <row r="171" spans="1:7" s="3" customFormat="1" ht="18.75">
      <c r="A171" s="94" t="s">
        <v>501</v>
      </c>
      <c r="B171" s="94" t="s">
        <v>1020</v>
      </c>
      <c r="C171" s="94" t="s">
        <v>1245</v>
      </c>
      <c r="D171" s="94" t="s">
        <v>1246</v>
      </c>
      <c r="E171" s="86" t="s">
        <v>1921</v>
      </c>
      <c r="F171" s="86" t="s">
        <v>1922</v>
      </c>
      <c r="G171" s="1"/>
    </row>
    <row r="172" spans="1:7" s="3" customFormat="1" ht="18.75">
      <c r="A172" s="87" t="s">
        <v>501</v>
      </c>
      <c r="B172" s="88" t="s">
        <v>1141</v>
      </c>
      <c r="C172" s="91" t="s">
        <v>1247</v>
      </c>
      <c r="D172" s="91" t="s">
        <v>1248</v>
      </c>
      <c r="E172" s="86" t="s">
        <v>1923</v>
      </c>
      <c r="F172" s="86" t="s">
        <v>1924</v>
      </c>
      <c r="G172" s="1"/>
    </row>
    <row r="173" spans="1:7" s="3" customFormat="1" ht="18.75">
      <c r="A173" s="87" t="s">
        <v>501</v>
      </c>
      <c r="B173" s="88" t="s">
        <v>1141</v>
      </c>
      <c r="C173" s="92" t="s">
        <v>653</v>
      </c>
      <c r="D173" s="92" t="s">
        <v>1249</v>
      </c>
      <c r="E173" s="86" t="s">
        <v>1925</v>
      </c>
      <c r="F173" s="86" t="s">
        <v>1926</v>
      </c>
      <c r="G173" s="1"/>
    </row>
    <row r="174" spans="1:7" s="3" customFormat="1" ht="37.5">
      <c r="A174" s="87" t="s">
        <v>501</v>
      </c>
      <c r="B174" s="87" t="s">
        <v>1250</v>
      </c>
      <c r="C174" s="87" t="s">
        <v>1251</v>
      </c>
      <c r="D174" s="92" t="s">
        <v>1252</v>
      </c>
      <c r="E174" s="86" t="s">
        <v>1927</v>
      </c>
      <c r="F174" s="86" t="s">
        <v>1928</v>
      </c>
      <c r="G174" s="1"/>
    </row>
    <row r="175" spans="1:7" s="3" customFormat="1" ht="37.5">
      <c r="A175" s="87" t="s">
        <v>501</v>
      </c>
      <c r="B175" s="87" t="s">
        <v>1250</v>
      </c>
      <c r="C175" s="87" t="s">
        <v>1253</v>
      </c>
      <c r="D175" s="93" t="s">
        <v>1254</v>
      </c>
      <c r="E175" s="244" t="s">
        <v>1704</v>
      </c>
      <c r="F175" s="244" t="s">
        <v>1705</v>
      </c>
      <c r="G175" s="1"/>
    </row>
    <row r="176" spans="1:7" s="3" customFormat="1" ht="18.75">
      <c r="A176" s="87" t="s">
        <v>501</v>
      </c>
      <c r="B176" s="88" t="s">
        <v>1250</v>
      </c>
      <c r="C176" s="92" t="s">
        <v>666</v>
      </c>
      <c r="D176" s="92" t="s">
        <v>1255</v>
      </c>
      <c r="E176" s="97" t="s">
        <v>1706</v>
      </c>
      <c r="F176" s="245" t="s">
        <v>1707</v>
      </c>
      <c r="G176" s="1"/>
    </row>
    <row r="177" spans="1:7" s="3" customFormat="1" ht="37.5">
      <c r="A177" s="87" t="s">
        <v>501</v>
      </c>
      <c r="B177" s="87" t="s">
        <v>1256</v>
      </c>
      <c r="C177" s="91" t="s">
        <v>1257</v>
      </c>
      <c r="D177" s="91" t="s">
        <v>1258</v>
      </c>
      <c r="E177" s="97" t="s">
        <v>1708</v>
      </c>
      <c r="F177" s="245" t="s">
        <v>1758</v>
      </c>
      <c r="G177" s="1"/>
    </row>
    <row r="178" spans="1:7" s="3" customFormat="1" ht="18.75">
      <c r="A178" s="87" t="s">
        <v>501</v>
      </c>
      <c r="B178" s="87" t="s">
        <v>1256</v>
      </c>
      <c r="C178" s="91" t="s">
        <v>1259</v>
      </c>
      <c r="D178" s="91" t="s">
        <v>877</v>
      </c>
      <c r="E178" s="97" t="s">
        <v>1710</v>
      </c>
      <c r="F178" s="245" t="s">
        <v>1711</v>
      </c>
      <c r="G178" s="1"/>
    </row>
    <row r="179" spans="1:7" s="3" customFormat="1" ht="37.5">
      <c r="A179" s="87" t="s">
        <v>501</v>
      </c>
      <c r="B179" s="87" t="s">
        <v>1256</v>
      </c>
      <c r="C179" s="91" t="s">
        <v>1260</v>
      </c>
      <c r="D179" s="91" t="s">
        <v>1261</v>
      </c>
      <c r="E179" s="97" t="s">
        <v>1712</v>
      </c>
      <c r="F179" s="245" t="s">
        <v>1713</v>
      </c>
      <c r="G179" s="1"/>
    </row>
    <row r="180" spans="1:7" s="3" customFormat="1" ht="18.75">
      <c r="A180" s="87" t="s">
        <v>501</v>
      </c>
      <c r="B180" s="87" t="s">
        <v>1256</v>
      </c>
      <c r="C180" s="87" t="s">
        <v>1262</v>
      </c>
      <c r="D180" s="93" t="s">
        <v>1263</v>
      </c>
      <c r="E180" s="84" t="s">
        <v>1929</v>
      </c>
      <c r="F180" s="84" t="s">
        <v>1930</v>
      </c>
      <c r="G180" s="1"/>
    </row>
    <row r="181" spans="1:7" s="3" customFormat="1" ht="37.5">
      <c r="A181" s="87" t="s">
        <v>501</v>
      </c>
      <c r="B181" s="87" t="s">
        <v>1256</v>
      </c>
      <c r="C181" s="91" t="s">
        <v>1264</v>
      </c>
      <c r="D181" s="91" t="s">
        <v>1265</v>
      </c>
      <c r="E181" s="84" t="s">
        <v>1931</v>
      </c>
      <c r="F181" s="84" t="s">
        <v>1932</v>
      </c>
      <c r="G181" s="1"/>
    </row>
    <row r="182" spans="1:7" s="3" customFormat="1" ht="18.75">
      <c r="A182" s="87" t="s">
        <v>501</v>
      </c>
      <c r="B182" s="87" t="s">
        <v>1266</v>
      </c>
      <c r="C182" s="87" t="s">
        <v>1267</v>
      </c>
      <c r="D182" s="93" t="s">
        <v>1268</v>
      </c>
      <c r="E182" s="84" t="s">
        <v>1933</v>
      </c>
      <c r="F182" s="84" t="s">
        <v>1934</v>
      </c>
      <c r="G182" s="1"/>
    </row>
    <row r="183" spans="1:7" s="3" customFormat="1" ht="18.75">
      <c r="A183" s="87" t="s">
        <v>501</v>
      </c>
      <c r="B183" s="87" t="s">
        <v>1269</v>
      </c>
      <c r="C183" s="87" t="s">
        <v>1270</v>
      </c>
      <c r="D183" s="93" t="s">
        <v>1271</v>
      </c>
      <c r="E183" s="84" t="s">
        <v>1935</v>
      </c>
      <c r="F183" s="84" t="s">
        <v>1936</v>
      </c>
      <c r="G183" s="1"/>
    </row>
    <row r="184" spans="1:7" s="3" customFormat="1" ht="56.25">
      <c r="A184" s="87" t="s">
        <v>501</v>
      </c>
      <c r="B184" s="87" t="s">
        <v>1269</v>
      </c>
      <c r="C184" s="87" t="s">
        <v>1272</v>
      </c>
      <c r="D184" s="93" t="s">
        <v>1273</v>
      </c>
      <c r="E184" s="84" t="s">
        <v>1937</v>
      </c>
      <c r="F184" s="84" t="s">
        <v>1938</v>
      </c>
      <c r="G184" s="1"/>
    </row>
    <row r="185" spans="1:7" s="3" customFormat="1" ht="18.75">
      <c r="A185" s="87" t="s">
        <v>501</v>
      </c>
      <c r="B185" s="87" t="s">
        <v>1274</v>
      </c>
      <c r="C185" s="87" t="s">
        <v>1275</v>
      </c>
      <c r="D185" s="93" t="s">
        <v>1276</v>
      </c>
      <c r="E185" s="247" t="s">
        <v>1939</v>
      </c>
      <c r="F185" s="247" t="s">
        <v>1940</v>
      </c>
      <c r="G185" s="1"/>
    </row>
    <row r="186" spans="1:7" s="3" customFormat="1" ht="18.75">
      <c r="A186" s="87" t="s">
        <v>501</v>
      </c>
      <c r="B186" s="87" t="s">
        <v>1277</v>
      </c>
      <c r="C186" s="87" t="s">
        <v>1278</v>
      </c>
      <c r="D186" s="92" t="s">
        <v>1279</v>
      </c>
      <c r="E186" s="86" t="s">
        <v>1941</v>
      </c>
      <c r="F186" s="247" t="s">
        <v>1942</v>
      </c>
      <c r="G186" s="1"/>
    </row>
    <row r="187" spans="1:7" s="3" customFormat="1" ht="37.5">
      <c r="A187" s="94" t="s">
        <v>501</v>
      </c>
      <c r="B187" s="94" t="s">
        <v>1280</v>
      </c>
      <c r="C187" s="91" t="s">
        <v>1281</v>
      </c>
      <c r="D187" s="93" t="s">
        <v>1282</v>
      </c>
      <c r="E187" s="86" t="s">
        <v>1943</v>
      </c>
      <c r="F187" s="247" t="s">
        <v>1944</v>
      </c>
      <c r="G187" s="1"/>
    </row>
    <row r="188" spans="1:7" s="3" customFormat="1" ht="37.5">
      <c r="A188" s="94" t="s">
        <v>501</v>
      </c>
      <c r="B188" s="94" t="s">
        <v>1280</v>
      </c>
      <c r="C188" s="94" t="s">
        <v>1283</v>
      </c>
      <c r="D188" s="94" t="s">
        <v>1284</v>
      </c>
      <c r="E188" s="86" t="s">
        <v>1945</v>
      </c>
      <c r="F188" s="247" t="s">
        <v>1946</v>
      </c>
      <c r="G188" s="1"/>
    </row>
    <row r="189" spans="1:7" s="3" customFormat="1" ht="37.5">
      <c r="A189" s="94" t="s">
        <v>501</v>
      </c>
      <c r="B189" s="94" t="s">
        <v>1280</v>
      </c>
      <c r="C189" s="94" t="s">
        <v>1285</v>
      </c>
      <c r="D189" s="94" t="s">
        <v>1286</v>
      </c>
      <c r="E189" s="86" t="s">
        <v>1947</v>
      </c>
      <c r="F189" s="247" t="s">
        <v>1948</v>
      </c>
      <c r="G189" s="1"/>
    </row>
    <row r="190" spans="1:7" s="3" customFormat="1" ht="18.75">
      <c r="A190" s="87" t="s">
        <v>501</v>
      </c>
      <c r="B190" s="88" t="s">
        <v>1287</v>
      </c>
      <c r="C190" s="92" t="s">
        <v>672</v>
      </c>
      <c r="D190" s="92" t="s">
        <v>1288</v>
      </c>
      <c r="E190" s="86" t="s">
        <v>1949</v>
      </c>
      <c r="F190" s="247" t="s">
        <v>1950</v>
      </c>
      <c r="G190" s="1"/>
    </row>
    <row r="191" spans="1:7" s="3" customFormat="1" ht="18.75">
      <c r="A191" s="87" t="s">
        <v>501</v>
      </c>
      <c r="B191" s="87" t="s">
        <v>1289</v>
      </c>
      <c r="C191" s="87" t="s">
        <v>1290</v>
      </c>
      <c r="D191" s="93" t="s">
        <v>1291</v>
      </c>
      <c r="E191" s="247" t="s">
        <v>1951</v>
      </c>
      <c r="F191" s="247" t="s">
        <v>1952</v>
      </c>
      <c r="G191" s="1"/>
    </row>
    <row r="192" spans="1:7" s="3" customFormat="1" ht="18.75">
      <c r="A192" s="87" t="s">
        <v>501</v>
      </c>
      <c r="B192" s="87" t="s">
        <v>1289</v>
      </c>
      <c r="C192" s="87" t="s">
        <v>1292</v>
      </c>
      <c r="D192" s="93" t="s">
        <v>1293</v>
      </c>
      <c r="E192" s="247" t="s">
        <v>1953</v>
      </c>
      <c r="F192" s="86" t="s">
        <v>1954</v>
      </c>
      <c r="G192" s="1"/>
    </row>
    <row r="193" spans="1:7" s="3" customFormat="1" ht="56.25">
      <c r="A193" s="87" t="s">
        <v>501</v>
      </c>
      <c r="B193" s="88" t="s">
        <v>1289</v>
      </c>
      <c r="C193" s="92" t="s">
        <v>644</v>
      </c>
      <c r="D193" s="92" t="s">
        <v>1294</v>
      </c>
      <c r="E193" s="86" t="s">
        <v>1955</v>
      </c>
      <c r="F193" s="247" t="s">
        <v>1956</v>
      </c>
      <c r="G193" s="1"/>
    </row>
    <row r="194" spans="1:7" s="3" customFormat="1" ht="37.5">
      <c r="A194" s="87" t="s">
        <v>501</v>
      </c>
      <c r="B194" s="88" t="s">
        <v>1289</v>
      </c>
      <c r="C194" s="91" t="s">
        <v>1295</v>
      </c>
      <c r="D194" s="93" t="s">
        <v>1067</v>
      </c>
      <c r="E194" s="244" t="s">
        <v>1704</v>
      </c>
      <c r="F194" s="244" t="s">
        <v>1705</v>
      </c>
      <c r="G194" s="1"/>
    </row>
    <row r="195" spans="1:7" s="3" customFormat="1" ht="37.5">
      <c r="A195" s="87" t="s">
        <v>501</v>
      </c>
      <c r="B195" s="87" t="s">
        <v>1296</v>
      </c>
      <c r="C195" s="92" t="s">
        <v>658</v>
      </c>
      <c r="D195" s="92" t="s">
        <v>1297</v>
      </c>
      <c r="E195" s="244" t="s">
        <v>1706</v>
      </c>
      <c r="F195" s="244" t="s">
        <v>1707</v>
      </c>
      <c r="G195" s="1"/>
    </row>
    <row r="196" spans="1:7" s="3" customFormat="1" ht="37.5">
      <c r="A196" s="87" t="s">
        <v>501</v>
      </c>
      <c r="B196" s="87" t="s">
        <v>1296</v>
      </c>
      <c r="C196" s="87" t="s">
        <v>1298</v>
      </c>
      <c r="D196" s="93" t="s">
        <v>1044</v>
      </c>
      <c r="E196" s="97" t="s">
        <v>1708</v>
      </c>
      <c r="F196" s="244" t="s">
        <v>1758</v>
      </c>
      <c r="G196" s="1"/>
    </row>
    <row r="197" spans="1:7" s="3" customFormat="1" ht="18.75">
      <c r="A197" s="87" t="s">
        <v>501</v>
      </c>
      <c r="B197" s="88" t="s">
        <v>1299</v>
      </c>
      <c r="C197" s="92" t="s">
        <v>1300</v>
      </c>
      <c r="D197" s="92" t="s">
        <v>1301</v>
      </c>
      <c r="E197" s="244" t="s">
        <v>1710</v>
      </c>
      <c r="F197" s="244" t="s">
        <v>1711</v>
      </c>
      <c r="G197" s="1"/>
    </row>
    <row r="198" spans="1:7" s="3" customFormat="1" ht="37.5">
      <c r="A198" s="87" t="s">
        <v>501</v>
      </c>
      <c r="B198" s="88" t="s">
        <v>1299</v>
      </c>
      <c r="C198" s="92" t="s">
        <v>662</v>
      </c>
      <c r="D198" s="92" t="s">
        <v>1302</v>
      </c>
      <c r="E198" s="244" t="s">
        <v>1712</v>
      </c>
      <c r="F198" s="244" t="s">
        <v>1713</v>
      </c>
      <c r="G198" s="1"/>
    </row>
    <row r="199" spans="1:7" s="3" customFormat="1" ht="37.5">
      <c r="A199" s="87" t="s">
        <v>501</v>
      </c>
      <c r="B199" s="88" t="s">
        <v>1299</v>
      </c>
      <c r="C199" s="91" t="s">
        <v>1303</v>
      </c>
      <c r="D199" s="91" t="s">
        <v>1304</v>
      </c>
      <c r="E199" s="86" t="s">
        <v>1875</v>
      </c>
      <c r="F199" s="86" t="s">
        <v>1876</v>
      </c>
      <c r="G199" s="1"/>
    </row>
    <row r="200" spans="1:7" s="3" customFormat="1" ht="37.5">
      <c r="A200" s="87" t="s">
        <v>501</v>
      </c>
      <c r="B200" s="88" t="s">
        <v>1299</v>
      </c>
      <c r="C200" s="92" t="s">
        <v>668</v>
      </c>
      <c r="D200" s="92" t="s">
        <v>1305</v>
      </c>
      <c r="E200" s="86" t="s">
        <v>1877</v>
      </c>
      <c r="F200" s="86" t="s">
        <v>1876</v>
      </c>
      <c r="G200" s="1"/>
    </row>
    <row r="201" spans="1:7" s="3" customFormat="1" ht="37.5">
      <c r="A201" s="87" t="s">
        <v>501</v>
      </c>
      <c r="B201" s="87" t="s">
        <v>1306</v>
      </c>
      <c r="C201" s="87" t="s">
        <v>1307</v>
      </c>
      <c r="D201" s="93" t="s">
        <v>1308</v>
      </c>
      <c r="E201" s="86" t="s">
        <v>1878</v>
      </c>
      <c r="F201" s="86" t="s">
        <v>1879</v>
      </c>
      <c r="G201" s="1"/>
    </row>
    <row r="202" spans="1:7" s="3" customFormat="1" ht="18.75">
      <c r="A202" s="87" t="s">
        <v>501</v>
      </c>
      <c r="B202" s="87" t="s">
        <v>1306</v>
      </c>
      <c r="C202" s="87" t="s">
        <v>1309</v>
      </c>
      <c r="D202" s="93" t="s">
        <v>1310</v>
      </c>
      <c r="E202" s="86" t="s">
        <v>1880</v>
      </c>
      <c r="F202" s="86" t="s">
        <v>1957</v>
      </c>
      <c r="G202" s="1"/>
    </row>
    <row r="203" spans="1:7" s="3" customFormat="1" ht="37.5">
      <c r="A203" s="103" t="s">
        <v>501</v>
      </c>
      <c r="B203" s="88" t="s">
        <v>1311</v>
      </c>
      <c r="C203" s="92" t="s">
        <v>664</v>
      </c>
      <c r="D203" s="92" t="s">
        <v>1312</v>
      </c>
      <c r="E203" s="86" t="s">
        <v>1882</v>
      </c>
      <c r="F203" s="86" t="s">
        <v>1883</v>
      </c>
      <c r="G203" s="1"/>
    </row>
    <row r="204" spans="1:7" s="3" customFormat="1" ht="18.75">
      <c r="A204" s="103" t="s">
        <v>501</v>
      </c>
      <c r="B204" s="88" t="s">
        <v>1311</v>
      </c>
      <c r="C204" s="91" t="s">
        <v>1313</v>
      </c>
      <c r="D204" s="91" t="s">
        <v>1314</v>
      </c>
      <c r="E204" s="86" t="s">
        <v>1906</v>
      </c>
      <c r="F204" s="86" t="s">
        <v>1893</v>
      </c>
      <c r="G204" s="1"/>
    </row>
    <row r="205" spans="1:7" s="3" customFormat="1" ht="18.75">
      <c r="A205" s="103" t="s">
        <v>501</v>
      </c>
      <c r="B205" s="88" t="s">
        <v>1311</v>
      </c>
      <c r="C205" s="91" t="s">
        <v>1315</v>
      </c>
      <c r="D205" s="91" t="s">
        <v>1316</v>
      </c>
      <c r="E205" s="86" t="s">
        <v>1894</v>
      </c>
      <c r="F205" s="86" t="s">
        <v>1895</v>
      </c>
      <c r="G205" s="1"/>
    </row>
    <row r="206" spans="1:7" s="3" customFormat="1" ht="18.75">
      <c r="A206" s="103" t="s">
        <v>501</v>
      </c>
      <c r="B206" s="88" t="s">
        <v>1311</v>
      </c>
      <c r="C206" s="91" t="s">
        <v>1317</v>
      </c>
      <c r="D206" s="91" t="s">
        <v>1316</v>
      </c>
      <c r="E206" s="86" t="s">
        <v>1880</v>
      </c>
      <c r="F206" s="86" t="s">
        <v>1900</v>
      </c>
      <c r="G206" s="1"/>
    </row>
    <row r="207" spans="1:7" s="3" customFormat="1" ht="18.75">
      <c r="A207" s="103" t="s">
        <v>501</v>
      </c>
      <c r="B207" s="88" t="s">
        <v>1311</v>
      </c>
      <c r="C207" s="91" t="s">
        <v>1318</v>
      </c>
      <c r="D207" s="91" t="s">
        <v>1316</v>
      </c>
      <c r="E207" s="86" t="s">
        <v>1958</v>
      </c>
      <c r="F207" s="86" t="s">
        <v>1903</v>
      </c>
      <c r="G207" s="1"/>
    </row>
    <row r="208" spans="1:7" s="3" customFormat="1" ht="18.75">
      <c r="A208" s="104" t="s">
        <v>501</v>
      </c>
      <c r="B208" s="94" t="s">
        <v>1319</v>
      </c>
      <c r="C208" s="91" t="s">
        <v>1320</v>
      </c>
      <c r="D208" s="91" t="s">
        <v>1316</v>
      </c>
      <c r="E208" s="86" t="s">
        <v>1882</v>
      </c>
      <c r="F208" s="86" t="s">
        <v>1883</v>
      </c>
      <c r="G208" s="1"/>
    </row>
    <row r="209" spans="1:7" s="3" customFormat="1" ht="18.75">
      <c r="A209" s="103" t="s">
        <v>501</v>
      </c>
      <c r="B209" s="87" t="s">
        <v>1321</v>
      </c>
      <c r="C209" s="87" t="s">
        <v>1322</v>
      </c>
      <c r="D209" s="93" t="s">
        <v>1323</v>
      </c>
      <c r="E209" s="86" t="s">
        <v>1904</v>
      </c>
      <c r="F209" s="86" t="s">
        <v>1905</v>
      </c>
      <c r="G209" s="1"/>
    </row>
    <row r="210" spans="1:7" s="3" customFormat="1" ht="18.75">
      <c r="A210" s="103" t="s">
        <v>501</v>
      </c>
      <c r="B210" s="87" t="s">
        <v>1222</v>
      </c>
      <c r="C210" s="92" t="s">
        <v>660</v>
      </c>
      <c r="D210" s="92" t="s">
        <v>1324</v>
      </c>
      <c r="E210" s="86" t="s">
        <v>1906</v>
      </c>
      <c r="F210" s="86" t="s">
        <v>1893</v>
      </c>
      <c r="G210" s="1"/>
    </row>
    <row r="211" spans="1:7" s="3" customFormat="1" ht="37.5">
      <c r="A211" s="103" t="s">
        <v>501</v>
      </c>
      <c r="B211" s="87" t="s">
        <v>1222</v>
      </c>
      <c r="C211" s="92" t="s">
        <v>1325</v>
      </c>
      <c r="D211" s="92" t="s">
        <v>785</v>
      </c>
      <c r="E211" s="86" t="s">
        <v>1907</v>
      </c>
      <c r="F211" s="86" t="s">
        <v>1959</v>
      </c>
      <c r="G211" s="1"/>
    </row>
    <row r="212" spans="1:7" s="3" customFormat="1" ht="37.5">
      <c r="A212" s="103" t="s">
        <v>501</v>
      </c>
      <c r="B212" s="88" t="s">
        <v>1326</v>
      </c>
      <c r="C212" s="92" t="s">
        <v>670</v>
      </c>
      <c r="D212" s="92" t="s">
        <v>1327</v>
      </c>
      <c r="E212" s="86" t="s">
        <v>1960</v>
      </c>
      <c r="F212" s="86" t="s">
        <v>1961</v>
      </c>
      <c r="G212" s="1"/>
    </row>
    <row r="213" spans="1:7" s="3" customFormat="1" ht="18.75">
      <c r="A213" s="103" t="s">
        <v>501</v>
      </c>
      <c r="B213" s="88" t="s">
        <v>1326</v>
      </c>
      <c r="C213" s="87" t="s">
        <v>1328</v>
      </c>
      <c r="D213" s="93" t="s">
        <v>1329</v>
      </c>
      <c r="E213" s="86" t="s">
        <v>1962</v>
      </c>
      <c r="F213" s="86" t="s">
        <v>1961</v>
      </c>
      <c r="G213" s="1"/>
    </row>
    <row r="214" spans="1:7" s="3" customFormat="1" ht="37.5">
      <c r="A214" s="105" t="s">
        <v>501</v>
      </c>
      <c r="B214" s="83"/>
      <c r="C214" s="86" t="s">
        <v>655</v>
      </c>
      <c r="D214" s="86" t="s">
        <v>656</v>
      </c>
      <c r="E214" s="86" t="s">
        <v>1963</v>
      </c>
      <c r="F214" s="86" t="s">
        <v>1964</v>
      </c>
      <c r="G214" s="6"/>
    </row>
    <row r="215" spans="1:7" s="3" customFormat="1" ht="37.5">
      <c r="A215" s="105" t="s">
        <v>501</v>
      </c>
      <c r="B215" s="83"/>
      <c r="C215" s="86" t="s">
        <v>505</v>
      </c>
      <c r="D215" s="86" t="s">
        <v>657</v>
      </c>
      <c r="E215" s="86" t="s">
        <v>1965</v>
      </c>
      <c r="F215" s="86" t="s">
        <v>1966</v>
      </c>
      <c r="G215" s="6"/>
    </row>
    <row r="216" spans="1:7" s="3" customFormat="1" ht="37.5">
      <c r="A216" s="105" t="s">
        <v>501</v>
      </c>
      <c r="B216" s="83"/>
      <c r="C216" s="86" t="s">
        <v>658</v>
      </c>
      <c r="D216" s="86" t="s">
        <v>659</v>
      </c>
      <c r="E216" s="86" t="s">
        <v>1967</v>
      </c>
      <c r="F216" s="86" t="s">
        <v>1968</v>
      </c>
      <c r="G216" s="6"/>
    </row>
    <row r="217" spans="1:7" s="3" customFormat="1" ht="37.5">
      <c r="A217" s="82" t="s">
        <v>501</v>
      </c>
      <c r="B217" s="83"/>
      <c r="C217" s="86" t="s">
        <v>660</v>
      </c>
      <c r="D217" s="86" t="s">
        <v>661</v>
      </c>
      <c r="E217" s="86" t="s">
        <v>1960</v>
      </c>
      <c r="F217" s="86" t="s">
        <v>1961</v>
      </c>
      <c r="G217" s="6"/>
    </row>
    <row r="218" spans="1:7" s="3" customFormat="1" ht="37.5">
      <c r="A218" s="82" t="s">
        <v>501</v>
      </c>
      <c r="B218" s="83"/>
      <c r="C218" s="86" t="s">
        <v>662</v>
      </c>
      <c r="D218" s="86" t="s">
        <v>663</v>
      </c>
      <c r="E218" s="86" t="s">
        <v>1962</v>
      </c>
      <c r="F218" s="86" t="s">
        <v>1961</v>
      </c>
      <c r="G218" s="6"/>
    </row>
    <row r="219" spans="1:7" s="3" customFormat="1" ht="37.5">
      <c r="A219" s="82" t="s">
        <v>501</v>
      </c>
      <c r="B219" s="83"/>
      <c r="C219" s="86" t="s">
        <v>664</v>
      </c>
      <c r="D219" s="86" t="s">
        <v>665</v>
      </c>
      <c r="E219" s="86" t="s">
        <v>1969</v>
      </c>
      <c r="F219" s="86" t="s">
        <v>1961</v>
      </c>
      <c r="G219" s="6"/>
    </row>
    <row r="220" spans="1:7" s="3" customFormat="1" ht="18.75">
      <c r="A220" s="82" t="s">
        <v>501</v>
      </c>
      <c r="B220" s="83"/>
      <c r="C220" s="86" t="s">
        <v>666</v>
      </c>
      <c r="D220" s="86" t="s">
        <v>667</v>
      </c>
      <c r="E220" s="86" t="s">
        <v>1965</v>
      </c>
      <c r="F220" s="86" t="s">
        <v>1966</v>
      </c>
      <c r="G220" s="6"/>
    </row>
    <row r="221" spans="1:7" s="3" customFormat="1" ht="37.5">
      <c r="A221" s="82" t="s">
        <v>501</v>
      </c>
      <c r="B221" s="83"/>
      <c r="C221" s="86" t="s">
        <v>668</v>
      </c>
      <c r="D221" s="86" t="s">
        <v>669</v>
      </c>
      <c r="E221" s="86" t="s">
        <v>1967</v>
      </c>
      <c r="F221" s="86" t="s">
        <v>1968</v>
      </c>
      <c r="G221" s="6"/>
    </row>
    <row r="222" spans="1:7" s="3" customFormat="1" ht="37.5">
      <c r="A222" s="82" t="s">
        <v>501</v>
      </c>
      <c r="B222" s="83"/>
      <c r="C222" s="86" t="s">
        <v>670</v>
      </c>
      <c r="D222" s="86" t="s">
        <v>671</v>
      </c>
      <c r="E222" s="86" t="s">
        <v>1880</v>
      </c>
      <c r="F222" s="86" t="s">
        <v>1900</v>
      </c>
      <c r="G222" s="6"/>
    </row>
    <row r="223" spans="1:7" s="3" customFormat="1" ht="56.25">
      <c r="A223" s="82" t="s">
        <v>501</v>
      </c>
      <c r="B223" s="83"/>
      <c r="C223" s="86" t="s">
        <v>644</v>
      </c>
      <c r="D223" s="86" t="s">
        <v>645</v>
      </c>
      <c r="E223" s="86" t="s">
        <v>1958</v>
      </c>
      <c r="F223" s="86" t="s">
        <v>1903</v>
      </c>
      <c r="G223" s="6"/>
    </row>
    <row r="224" spans="1:7" s="3" customFormat="1" ht="18.75">
      <c r="A224" s="82" t="s">
        <v>501</v>
      </c>
      <c r="B224" s="83"/>
      <c r="C224" s="86" t="s">
        <v>672</v>
      </c>
      <c r="D224" s="86" t="s">
        <v>673</v>
      </c>
      <c r="E224" s="86" t="s">
        <v>1882</v>
      </c>
      <c r="F224" s="86" t="s">
        <v>1883</v>
      </c>
      <c r="G224" s="6"/>
    </row>
    <row r="225" spans="1:7" s="3" customFormat="1" ht="18.75">
      <c r="A225" s="82" t="s">
        <v>501</v>
      </c>
      <c r="B225" s="83"/>
      <c r="C225" s="86" t="s">
        <v>674</v>
      </c>
      <c r="D225" s="86" t="s">
        <v>675</v>
      </c>
      <c r="E225" s="86" t="s">
        <v>1904</v>
      </c>
      <c r="F225" s="86" t="s">
        <v>1905</v>
      </c>
      <c r="G225" s="6"/>
    </row>
    <row r="226" spans="1:7" s="3" customFormat="1" ht="18.75">
      <c r="A226" s="82" t="s">
        <v>501</v>
      </c>
      <c r="B226" s="83"/>
      <c r="C226" s="86" t="s">
        <v>997</v>
      </c>
      <c r="D226" s="86" t="s">
        <v>676</v>
      </c>
      <c r="E226" s="86" t="s">
        <v>1906</v>
      </c>
      <c r="F226" s="86" t="s">
        <v>1893</v>
      </c>
      <c r="G226" s="6"/>
    </row>
    <row r="227" spans="1:7" s="3" customFormat="1" ht="18.75">
      <c r="A227" s="82" t="s">
        <v>501</v>
      </c>
      <c r="B227" s="83"/>
      <c r="C227" s="86" t="s">
        <v>653</v>
      </c>
      <c r="D227" s="86" t="s">
        <v>795</v>
      </c>
      <c r="E227" s="86" t="s">
        <v>1907</v>
      </c>
      <c r="F227" s="86" t="s">
        <v>1970</v>
      </c>
      <c r="G227" s="6"/>
    </row>
    <row r="228" spans="1:7" s="3" customFormat="1" ht="37.5">
      <c r="A228" s="82" t="s">
        <v>495</v>
      </c>
      <c r="B228" s="83"/>
      <c r="C228" s="86" t="s">
        <v>690</v>
      </c>
      <c r="D228" s="86" t="s">
        <v>808</v>
      </c>
      <c r="E228" s="114" t="s">
        <v>1971</v>
      </c>
      <c r="F228" s="247" t="s">
        <v>1972</v>
      </c>
      <c r="G228" s="6"/>
    </row>
    <row r="229" spans="1:7" s="3" customFormat="1" ht="37.5">
      <c r="A229" s="82" t="s">
        <v>495</v>
      </c>
      <c r="B229" s="83"/>
      <c r="C229" s="86" t="s">
        <v>691</v>
      </c>
      <c r="D229" s="86" t="s">
        <v>809</v>
      </c>
      <c r="E229" s="114" t="s">
        <v>1973</v>
      </c>
      <c r="F229" s="247" t="s">
        <v>1974</v>
      </c>
      <c r="G229" s="6"/>
    </row>
    <row r="230" spans="1:7" s="3" customFormat="1" ht="37.5">
      <c r="A230" s="82" t="s">
        <v>495</v>
      </c>
      <c r="B230" s="83"/>
      <c r="C230" s="86" t="s">
        <v>692</v>
      </c>
      <c r="D230" s="86" t="s">
        <v>810</v>
      </c>
      <c r="E230" s="114" t="s">
        <v>1975</v>
      </c>
      <c r="F230" s="247" t="s">
        <v>1974</v>
      </c>
      <c r="G230" s="6"/>
    </row>
    <row r="231" spans="1:7" s="3" customFormat="1" ht="37.5">
      <c r="A231" s="82" t="s">
        <v>495</v>
      </c>
      <c r="B231" s="83"/>
      <c r="C231" s="86" t="s">
        <v>693</v>
      </c>
      <c r="D231" s="86" t="s">
        <v>811</v>
      </c>
      <c r="E231" s="114" t="s">
        <v>1976</v>
      </c>
      <c r="F231" s="247" t="s">
        <v>1977</v>
      </c>
      <c r="G231" s="6"/>
    </row>
    <row r="232" spans="1:7" s="3" customFormat="1" ht="37.5">
      <c r="A232" s="82" t="s">
        <v>495</v>
      </c>
      <c r="B232" s="83"/>
      <c r="C232" s="86" t="s">
        <v>694</v>
      </c>
      <c r="D232" s="86" t="s">
        <v>812</v>
      </c>
      <c r="E232" s="114" t="s">
        <v>1978</v>
      </c>
      <c r="F232" s="247" t="s">
        <v>1977</v>
      </c>
      <c r="G232" s="6"/>
    </row>
    <row r="233" spans="1:7" s="3" customFormat="1" ht="37.5">
      <c r="A233" s="82" t="s">
        <v>495</v>
      </c>
      <c r="B233" s="83"/>
      <c r="C233" s="86" t="s">
        <v>695</v>
      </c>
      <c r="D233" s="86" t="s">
        <v>813</v>
      </c>
      <c r="E233" s="114" t="s">
        <v>1979</v>
      </c>
      <c r="F233" s="247" t="s">
        <v>1980</v>
      </c>
      <c r="G233" s="6"/>
    </row>
    <row r="234" spans="1:7" s="3" customFormat="1" ht="18.75">
      <c r="A234" s="82" t="s">
        <v>495</v>
      </c>
      <c r="B234" s="83"/>
      <c r="C234" s="86" t="s">
        <v>696</v>
      </c>
      <c r="D234" s="86" t="s">
        <v>697</v>
      </c>
      <c r="E234" s="114" t="s">
        <v>1981</v>
      </c>
      <c r="F234" s="247" t="s">
        <v>1982</v>
      </c>
      <c r="G234" s="6"/>
    </row>
    <row r="235" spans="1:7" s="3" customFormat="1" ht="37.5">
      <c r="A235" s="82" t="s">
        <v>495</v>
      </c>
      <c r="B235" s="83"/>
      <c r="C235" s="86" t="s">
        <v>698</v>
      </c>
      <c r="D235" s="86" t="s">
        <v>814</v>
      </c>
      <c r="E235" s="114" t="s">
        <v>1983</v>
      </c>
      <c r="F235" s="247" t="s">
        <v>1984</v>
      </c>
      <c r="G235" s="6"/>
    </row>
    <row r="236" spans="1:7" s="3" customFormat="1" ht="18.75">
      <c r="A236" s="82" t="s">
        <v>495</v>
      </c>
      <c r="B236" s="83"/>
      <c r="C236" s="86" t="s">
        <v>699</v>
      </c>
      <c r="D236" s="86" t="s">
        <v>815</v>
      </c>
      <c r="E236" s="114" t="s">
        <v>1985</v>
      </c>
      <c r="F236" s="247" t="s">
        <v>838</v>
      </c>
      <c r="G236" s="6"/>
    </row>
    <row r="237" spans="1:7" s="3" customFormat="1" ht="18.75">
      <c r="A237" s="82" t="s">
        <v>495</v>
      </c>
      <c r="B237" s="83"/>
      <c r="C237" s="86" t="s">
        <v>700</v>
      </c>
      <c r="D237" s="86" t="s">
        <v>816</v>
      </c>
      <c r="E237" s="97" t="s">
        <v>1706</v>
      </c>
      <c r="F237" s="245" t="s">
        <v>1707</v>
      </c>
      <c r="G237" s="6"/>
    </row>
    <row r="238" spans="1:7" s="3" customFormat="1" ht="37.5">
      <c r="A238" s="87" t="s">
        <v>1330</v>
      </c>
      <c r="B238" s="88" t="s">
        <v>1331</v>
      </c>
      <c r="C238" s="91" t="s">
        <v>1332</v>
      </c>
      <c r="D238" s="93" t="s">
        <v>1333</v>
      </c>
      <c r="E238" s="97" t="s">
        <v>1708</v>
      </c>
      <c r="F238" s="245" t="s">
        <v>1986</v>
      </c>
      <c r="G238" s="1"/>
    </row>
    <row r="239" spans="1:7" s="3" customFormat="1" ht="37.5">
      <c r="A239" s="87" t="s">
        <v>1330</v>
      </c>
      <c r="B239" s="88" t="s">
        <v>1331</v>
      </c>
      <c r="C239" s="92" t="s">
        <v>1334</v>
      </c>
      <c r="D239" s="92" t="s">
        <v>808</v>
      </c>
      <c r="E239" s="97" t="s">
        <v>1710</v>
      </c>
      <c r="F239" s="245" t="s">
        <v>1711</v>
      </c>
      <c r="G239" s="1"/>
    </row>
    <row r="240" spans="1:7" s="3" customFormat="1" ht="37.5">
      <c r="A240" s="87" t="s">
        <v>1330</v>
      </c>
      <c r="B240" s="87" t="s">
        <v>1335</v>
      </c>
      <c r="C240" s="91" t="s">
        <v>1336</v>
      </c>
      <c r="D240" s="91" t="s">
        <v>1337</v>
      </c>
      <c r="E240" s="97" t="s">
        <v>1712</v>
      </c>
      <c r="F240" s="245" t="s">
        <v>1713</v>
      </c>
      <c r="G240" s="1"/>
    </row>
    <row r="241" spans="1:7" s="3" customFormat="1" ht="18.75">
      <c r="A241" s="87" t="s">
        <v>1330</v>
      </c>
      <c r="B241" s="87" t="s">
        <v>1338</v>
      </c>
      <c r="C241" s="91" t="s">
        <v>1339</v>
      </c>
      <c r="D241" s="91" t="s">
        <v>1044</v>
      </c>
      <c r="E241" s="116" t="s">
        <v>1987</v>
      </c>
      <c r="F241" s="247" t="s">
        <v>1988</v>
      </c>
      <c r="G241" s="1"/>
    </row>
    <row r="242" spans="1:7" s="3" customFormat="1" ht="75">
      <c r="A242" s="87" t="s">
        <v>1330</v>
      </c>
      <c r="B242" s="88" t="s">
        <v>1340</v>
      </c>
      <c r="C242" s="92" t="s">
        <v>691</v>
      </c>
      <c r="D242" s="92" t="s">
        <v>809</v>
      </c>
      <c r="E242" s="116" t="s">
        <v>1989</v>
      </c>
      <c r="F242" s="86" t="s">
        <v>1990</v>
      </c>
      <c r="G242" s="1"/>
    </row>
    <row r="243" spans="1:7" s="3" customFormat="1" ht="18.75">
      <c r="A243" s="87" t="s">
        <v>1330</v>
      </c>
      <c r="B243" s="87" t="s">
        <v>1341</v>
      </c>
      <c r="C243" s="91" t="s">
        <v>1342</v>
      </c>
      <c r="D243" s="91" t="s">
        <v>1343</v>
      </c>
      <c r="E243" s="116" t="s">
        <v>1991</v>
      </c>
      <c r="F243" s="247" t="s">
        <v>1992</v>
      </c>
      <c r="G243" s="1"/>
    </row>
    <row r="244" spans="1:7" s="3" customFormat="1" ht="37.5">
      <c r="A244" s="87" t="s">
        <v>1330</v>
      </c>
      <c r="B244" s="87" t="s">
        <v>1341</v>
      </c>
      <c r="C244" s="91" t="s">
        <v>1344</v>
      </c>
      <c r="D244" s="91" t="s">
        <v>1345</v>
      </c>
      <c r="E244" s="116" t="s">
        <v>1993</v>
      </c>
      <c r="F244" s="247" t="s">
        <v>1994</v>
      </c>
      <c r="G244" s="1"/>
    </row>
    <row r="245" spans="1:7" s="3" customFormat="1" ht="37.5">
      <c r="A245" s="87" t="s">
        <v>1330</v>
      </c>
      <c r="B245" s="87" t="s">
        <v>1346</v>
      </c>
      <c r="C245" s="91" t="s">
        <v>1347</v>
      </c>
      <c r="D245" s="93" t="s">
        <v>1348</v>
      </c>
      <c r="E245" s="116" t="s">
        <v>1995</v>
      </c>
      <c r="F245" s="247" t="s">
        <v>1996</v>
      </c>
      <c r="G245" s="1"/>
    </row>
    <row r="246" spans="1:7" s="3" customFormat="1" ht="18.75">
      <c r="A246" s="87" t="s">
        <v>1330</v>
      </c>
      <c r="B246" s="87" t="s">
        <v>1349</v>
      </c>
      <c r="C246" s="91" t="s">
        <v>1350</v>
      </c>
      <c r="D246" s="91" t="s">
        <v>1351</v>
      </c>
      <c r="E246" s="116" t="s">
        <v>1997</v>
      </c>
      <c r="F246" s="247" t="s">
        <v>1998</v>
      </c>
      <c r="G246" s="1"/>
    </row>
    <row r="247" spans="1:7" s="3" customFormat="1" ht="56.25">
      <c r="A247" s="87" t="s">
        <v>1330</v>
      </c>
      <c r="B247" s="87" t="s">
        <v>1335</v>
      </c>
      <c r="C247" s="91" t="s">
        <v>1352</v>
      </c>
      <c r="D247" s="93" t="s">
        <v>1353</v>
      </c>
      <c r="E247" s="116" t="s">
        <v>1999</v>
      </c>
      <c r="F247" s="247" t="s">
        <v>2000</v>
      </c>
      <c r="G247" s="1"/>
    </row>
    <row r="248" spans="1:7" s="3" customFormat="1" ht="37.5">
      <c r="A248" s="87" t="s">
        <v>1330</v>
      </c>
      <c r="B248" s="88" t="s">
        <v>1354</v>
      </c>
      <c r="C248" s="92" t="s">
        <v>698</v>
      </c>
      <c r="D248" s="92" t="s">
        <v>1355</v>
      </c>
      <c r="E248" s="116" t="s">
        <v>2001</v>
      </c>
      <c r="F248" s="247" t="s">
        <v>2000</v>
      </c>
      <c r="G248" s="1"/>
    </row>
    <row r="249" spans="1:7" s="3" customFormat="1" ht="37.5">
      <c r="A249" s="87" t="s">
        <v>1330</v>
      </c>
      <c r="B249" s="88" t="s">
        <v>1356</v>
      </c>
      <c r="C249" s="92" t="s">
        <v>695</v>
      </c>
      <c r="D249" s="92" t="s">
        <v>1357</v>
      </c>
      <c r="E249" s="116" t="s">
        <v>2002</v>
      </c>
      <c r="F249" s="247" t="s">
        <v>2003</v>
      </c>
      <c r="G249" s="1"/>
    </row>
    <row r="250" spans="1:7" s="3" customFormat="1" ht="37.5">
      <c r="A250" s="87" t="s">
        <v>1330</v>
      </c>
      <c r="B250" s="88" t="s">
        <v>1356</v>
      </c>
      <c r="C250" s="92" t="s">
        <v>696</v>
      </c>
      <c r="D250" s="92" t="s">
        <v>697</v>
      </c>
      <c r="E250" s="116" t="s">
        <v>2004</v>
      </c>
      <c r="F250" s="86" t="s">
        <v>2005</v>
      </c>
      <c r="G250" s="1"/>
    </row>
    <row r="251" spans="1:7" s="3" customFormat="1" ht="37.5">
      <c r="A251" s="82" t="s">
        <v>494</v>
      </c>
      <c r="B251" s="83"/>
      <c r="C251" s="86" t="s">
        <v>701</v>
      </c>
      <c r="D251" s="86" t="s">
        <v>817</v>
      </c>
      <c r="E251" s="116" t="s">
        <v>2006</v>
      </c>
      <c r="F251" s="247" t="s">
        <v>2007</v>
      </c>
      <c r="G251" s="6"/>
    </row>
    <row r="252" spans="1:7" s="3" customFormat="1" ht="18.75">
      <c r="A252" s="82" t="s">
        <v>494</v>
      </c>
      <c r="B252" s="83"/>
      <c r="C252" s="86" t="s">
        <v>702</v>
      </c>
      <c r="D252" s="86" t="s">
        <v>818</v>
      </c>
      <c r="E252" s="116" t="s">
        <v>2008</v>
      </c>
      <c r="F252" s="247" t="s">
        <v>2009</v>
      </c>
      <c r="G252" s="6"/>
    </row>
    <row r="253" spans="1:7" s="3" customFormat="1" ht="18.75">
      <c r="A253" s="82" t="s">
        <v>494</v>
      </c>
      <c r="B253" s="83"/>
      <c r="C253" s="86" t="s">
        <v>703</v>
      </c>
      <c r="D253" s="86" t="s">
        <v>819</v>
      </c>
      <c r="E253" s="116" t="s">
        <v>2010</v>
      </c>
      <c r="F253" s="247" t="s">
        <v>2011</v>
      </c>
      <c r="G253" s="6"/>
    </row>
    <row r="254" spans="1:7" s="3" customFormat="1" ht="18.75">
      <c r="A254" s="82" t="s">
        <v>494</v>
      </c>
      <c r="B254" s="83"/>
      <c r="C254" s="86" t="s">
        <v>704</v>
      </c>
      <c r="D254" s="86" t="s">
        <v>820</v>
      </c>
      <c r="E254" s="116" t="s">
        <v>2012</v>
      </c>
      <c r="F254" s="247" t="s">
        <v>2013</v>
      </c>
      <c r="G254" s="6"/>
    </row>
    <row r="255" spans="1:7" s="3" customFormat="1" ht="18.75">
      <c r="A255" s="82" t="s">
        <v>494</v>
      </c>
      <c r="B255" s="83"/>
      <c r="C255" s="86" t="s">
        <v>705</v>
      </c>
      <c r="D255" s="86" t="s">
        <v>821</v>
      </c>
      <c r="E255" s="116" t="s">
        <v>2014</v>
      </c>
      <c r="F255" s="247" t="s">
        <v>2013</v>
      </c>
      <c r="G255" s="6"/>
    </row>
    <row r="256" spans="1:7" s="3" customFormat="1" ht="18.75">
      <c r="A256" s="82" t="s">
        <v>494</v>
      </c>
      <c r="B256" s="83"/>
      <c r="C256" s="86" t="s">
        <v>706</v>
      </c>
      <c r="D256" s="86"/>
      <c r="E256" s="116" t="s">
        <v>2015</v>
      </c>
      <c r="F256" s="247" t="s">
        <v>2016</v>
      </c>
      <c r="G256" s="6"/>
    </row>
    <row r="257" spans="1:7" s="3" customFormat="1" ht="18.75">
      <c r="A257" s="82" t="s">
        <v>494</v>
      </c>
      <c r="B257" s="83"/>
      <c r="C257" s="106" t="s">
        <v>707</v>
      </c>
      <c r="D257" s="106"/>
      <c r="E257" s="86" t="s">
        <v>2017</v>
      </c>
      <c r="F257" s="86" t="s">
        <v>2018</v>
      </c>
      <c r="G257" s="6"/>
    </row>
    <row r="258" spans="1:7" s="3" customFormat="1" ht="56.25">
      <c r="A258" s="82" t="s">
        <v>494</v>
      </c>
      <c r="B258" s="83"/>
      <c r="C258" s="84" t="s">
        <v>708</v>
      </c>
      <c r="D258" s="86" t="s">
        <v>822</v>
      </c>
      <c r="E258" s="86" t="s">
        <v>2019</v>
      </c>
      <c r="F258" s="86" t="s">
        <v>2020</v>
      </c>
      <c r="G258" s="6"/>
    </row>
    <row r="259" spans="1:7" s="3" customFormat="1" ht="18.75">
      <c r="A259" s="82" t="s">
        <v>494</v>
      </c>
      <c r="B259" s="83"/>
      <c r="C259" s="84" t="s">
        <v>709</v>
      </c>
      <c r="D259" s="86"/>
      <c r="E259" s="86" t="s">
        <v>2021</v>
      </c>
      <c r="F259" s="86" t="s">
        <v>2022</v>
      </c>
      <c r="G259" s="6"/>
    </row>
    <row r="260" spans="1:7" s="3" customFormat="1" ht="18.75">
      <c r="A260" s="82" t="s">
        <v>494</v>
      </c>
      <c r="B260" s="83"/>
      <c r="C260" s="84" t="s">
        <v>710</v>
      </c>
      <c r="D260" s="86"/>
      <c r="E260" s="86" t="s">
        <v>2023</v>
      </c>
      <c r="F260" s="86" t="s">
        <v>2024</v>
      </c>
      <c r="G260" s="6"/>
    </row>
    <row r="261" spans="1:7" s="3" customFormat="1" ht="37.5">
      <c r="A261" s="87" t="s">
        <v>1358</v>
      </c>
      <c r="B261" s="87" t="s">
        <v>1359</v>
      </c>
      <c r="C261" s="90" t="s">
        <v>1360</v>
      </c>
      <c r="D261" s="93" t="s">
        <v>1361</v>
      </c>
      <c r="E261" s="86" t="s">
        <v>1915</v>
      </c>
      <c r="F261" s="86" t="s">
        <v>2025</v>
      </c>
      <c r="G261" s="1"/>
    </row>
    <row r="262" spans="1:7" s="3" customFormat="1" ht="18.75">
      <c r="A262" s="88" t="s">
        <v>1358</v>
      </c>
      <c r="B262" s="87" t="s">
        <v>1359</v>
      </c>
      <c r="C262" s="91" t="s">
        <v>1362</v>
      </c>
      <c r="D262" s="93" t="s">
        <v>1363</v>
      </c>
      <c r="E262" s="86" t="s">
        <v>2026</v>
      </c>
      <c r="F262" s="86" t="s">
        <v>2027</v>
      </c>
      <c r="G262" s="1"/>
    </row>
    <row r="263" spans="1:7" s="3" customFormat="1" ht="37.5">
      <c r="A263" s="94" t="s">
        <v>1358</v>
      </c>
      <c r="B263" s="94" t="s">
        <v>1341</v>
      </c>
      <c r="C263" s="94" t="s">
        <v>1364</v>
      </c>
      <c r="D263" s="94" t="s">
        <v>1365</v>
      </c>
      <c r="E263" s="86" t="s">
        <v>2028</v>
      </c>
      <c r="F263" s="86" t="s">
        <v>2029</v>
      </c>
      <c r="G263" s="1"/>
    </row>
    <row r="264" spans="1:7" s="3" customFormat="1" ht="37.5">
      <c r="A264" s="87" t="s">
        <v>1358</v>
      </c>
      <c r="B264" s="87" t="s">
        <v>1346</v>
      </c>
      <c r="C264" s="91" t="s">
        <v>1366</v>
      </c>
      <c r="D264" s="93" t="s">
        <v>1367</v>
      </c>
      <c r="E264" s="244" t="s">
        <v>1704</v>
      </c>
      <c r="F264" s="244" t="s">
        <v>1705</v>
      </c>
      <c r="G264" s="1"/>
    </row>
    <row r="265" spans="1:7" s="3" customFormat="1" ht="18.75">
      <c r="A265" s="94" t="s">
        <v>1358</v>
      </c>
      <c r="B265" s="94" t="s">
        <v>1368</v>
      </c>
      <c r="C265" s="94" t="s">
        <v>1369</v>
      </c>
      <c r="D265" s="94" t="s">
        <v>1370</v>
      </c>
      <c r="E265" s="97" t="s">
        <v>1706</v>
      </c>
      <c r="F265" s="245" t="s">
        <v>1707</v>
      </c>
      <c r="G265" s="1"/>
    </row>
    <row r="266" spans="1:7" s="3" customFormat="1" ht="37.5">
      <c r="A266" s="94" t="s">
        <v>1358</v>
      </c>
      <c r="B266" s="94" t="s">
        <v>1356</v>
      </c>
      <c r="C266" s="94" t="s">
        <v>1371</v>
      </c>
      <c r="D266" s="94" t="s">
        <v>1372</v>
      </c>
      <c r="E266" s="97" t="s">
        <v>1708</v>
      </c>
      <c r="F266" s="245" t="s">
        <v>1758</v>
      </c>
      <c r="G266" s="1"/>
    </row>
    <row r="267" spans="1:7" s="3" customFormat="1" ht="56.25">
      <c r="A267" s="87" t="s">
        <v>1358</v>
      </c>
      <c r="B267" s="88" t="s">
        <v>1356</v>
      </c>
      <c r="C267" s="92" t="s">
        <v>1373</v>
      </c>
      <c r="D267" s="92" t="s">
        <v>822</v>
      </c>
      <c r="E267" s="97" t="s">
        <v>1710</v>
      </c>
      <c r="F267" s="245" t="s">
        <v>1711</v>
      </c>
      <c r="G267" s="1"/>
    </row>
    <row r="268" spans="1:7" s="3" customFormat="1" ht="37.5">
      <c r="A268" s="82" t="s">
        <v>711</v>
      </c>
      <c r="B268" s="83"/>
      <c r="C268" s="86" t="s">
        <v>924</v>
      </c>
      <c r="D268" s="86" t="s">
        <v>923</v>
      </c>
      <c r="E268" s="97" t="s">
        <v>1712</v>
      </c>
      <c r="F268" s="245" t="s">
        <v>1713</v>
      </c>
      <c r="G268" s="6"/>
    </row>
    <row r="269" spans="1:7" s="3" customFormat="1" ht="37.5">
      <c r="A269" s="107" t="s">
        <v>711</v>
      </c>
      <c r="B269" s="108"/>
      <c r="C269" s="86" t="s">
        <v>925</v>
      </c>
      <c r="D269" s="86" t="s">
        <v>923</v>
      </c>
      <c r="E269" s="84" t="s">
        <v>2030</v>
      </c>
      <c r="F269" s="84" t="s">
        <v>2031</v>
      </c>
      <c r="G269" s="6"/>
    </row>
    <row r="270" spans="1:7" s="3" customFormat="1" ht="18.75">
      <c r="A270" s="107" t="s">
        <v>711</v>
      </c>
      <c r="B270" s="108"/>
      <c r="C270" s="86" t="s">
        <v>926</v>
      </c>
      <c r="D270" s="86" t="s">
        <v>927</v>
      </c>
      <c r="E270" s="84" t="s">
        <v>1641</v>
      </c>
      <c r="F270" s="84" t="s">
        <v>1642</v>
      </c>
      <c r="G270" s="6"/>
    </row>
    <row r="271" spans="1:7" s="3" customFormat="1" ht="18.75">
      <c r="A271" s="82" t="s">
        <v>711</v>
      </c>
      <c r="B271" s="83"/>
      <c r="C271" s="86" t="s">
        <v>712</v>
      </c>
      <c r="D271" s="86" t="s">
        <v>928</v>
      </c>
      <c r="E271" s="84" t="s">
        <v>2032</v>
      </c>
      <c r="F271" s="84" t="s">
        <v>2033</v>
      </c>
      <c r="G271" s="6"/>
    </row>
    <row r="272" spans="1:7" s="3" customFormat="1" ht="18.75">
      <c r="A272" s="82" t="s">
        <v>711</v>
      </c>
      <c r="B272" s="83"/>
      <c r="C272" s="86" t="s">
        <v>713</v>
      </c>
      <c r="D272" s="86" t="s">
        <v>823</v>
      </c>
      <c r="E272" s="84" t="s">
        <v>2034</v>
      </c>
      <c r="F272" s="84" t="s">
        <v>2033</v>
      </c>
      <c r="G272" s="6"/>
    </row>
    <row r="273" spans="1:7" s="3" customFormat="1" ht="18.75">
      <c r="A273" s="82" t="s">
        <v>711</v>
      </c>
      <c r="B273" s="83"/>
      <c r="C273" s="86" t="s">
        <v>715</v>
      </c>
      <c r="D273" s="86" t="s">
        <v>929</v>
      </c>
      <c r="E273" s="84" t="s">
        <v>2035</v>
      </c>
      <c r="F273" s="84" t="s">
        <v>2033</v>
      </c>
      <c r="G273" s="6"/>
    </row>
    <row r="274" spans="1:7" s="3" customFormat="1" ht="37.5">
      <c r="A274" s="82" t="s">
        <v>711</v>
      </c>
      <c r="B274" s="83"/>
      <c r="C274" s="86" t="s">
        <v>716</v>
      </c>
      <c r="D274" s="86" t="s">
        <v>930</v>
      </c>
      <c r="E274" s="84" t="s">
        <v>2036</v>
      </c>
      <c r="F274" s="84" t="s">
        <v>2037</v>
      </c>
      <c r="G274" s="6"/>
    </row>
    <row r="275" spans="1:7" s="3" customFormat="1" ht="37.5">
      <c r="A275" s="82" t="s">
        <v>711</v>
      </c>
      <c r="B275" s="83"/>
      <c r="C275" s="86" t="s">
        <v>931</v>
      </c>
      <c r="D275" s="86" t="s">
        <v>932</v>
      </c>
      <c r="E275" s="84" t="s">
        <v>2038</v>
      </c>
      <c r="F275" s="84" t="s">
        <v>2039</v>
      </c>
      <c r="G275" s="6"/>
    </row>
    <row r="276" spans="1:7" s="3" customFormat="1" ht="37.5">
      <c r="A276" s="82" t="s">
        <v>711</v>
      </c>
      <c r="B276" s="83"/>
      <c r="C276" s="86" t="s">
        <v>934</v>
      </c>
      <c r="D276" s="86" t="s">
        <v>933</v>
      </c>
      <c r="E276" s="84" t="s">
        <v>2040</v>
      </c>
      <c r="F276" s="84" t="s">
        <v>2041</v>
      </c>
      <c r="G276" s="6"/>
    </row>
    <row r="277" spans="1:7" s="3" customFormat="1" ht="37.5">
      <c r="A277" s="82" t="s">
        <v>711</v>
      </c>
      <c r="B277" s="83"/>
      <c r="C277" s="86" t="s">
        <v>717</v>
      </c>
      <c r="D277" s="86" t="s">
        <v>941</v>
      </c>
      <c r="E277" s="84" t="s">
        <v>2042</v>
      </c>
      <c r="F277" s="84" t="s">
        <v>2043</v>
      </c>
      <c r="G277" s="6"/>
    </row>
    <row r="278" spans="1:7" s="3" customFormat="1" ht="56.25">
      <c r="A278" s="82" t="s">
        <v>711</v>
      </c>
      <c r="B278" s="83"/>
      <c r="C278" s="86" t="s">
        <v>718</v>
      </c>
      <c r="D278" s="86" t="s">
        <v>824</v>
      </c>
      <c r="E278" s="84" t="s">
        <v>2044</v>
      </c>
      <c r="F278" s="84" t="s">
        <v>2045</v>
      </c>
      <c r="G278" s="6"/>
    </row>
    <row r="279" spans="1:7" s="3" customFormat="1" ht="18.75">
      <c r="A279" s="82" t="s">
        <v>711</v>
      </c>
      <c r="B279" s="83"/>
      <c r="C279" s="97" t="s">
        <v>989</v>
      </c>
      <c r="D279" s="98" t="s">
        <v>564</v>
      </c>
      <c r="E279" s="84" t="s">
        <v>2046</v>
      </c>
      <c r="F279" s="84" t="s">
        <v>1918</v>
      </c>
      <c r="G279" s="6"/>
    </row>
    <row r="280" spans="1:7" s="3" customFormat="1" ht="37.5">
      <c r="A280" s="82" t="s">
        <v>711</v>
      </c>
      <c r="B280" s="83"/>
      <c r="C280" s="97" t="s">
        <v>993</v>
      </c>
      <c r="D280" s="98" t="s">
        <v>992</v>
      </c>
      <c r="E280" s="84" t="s">
        <v>2047</v>
      </c>
      <c r="F280" s="84" t="s">
        <v>2048</v>
      </c>
      <c r="G280" s="6"/>
    </row>
    <row r="281" spans="1:7" s="3" customFormat="1" ht="37.5">
      <c r="A281" s="82" t="s">
        <v>711</v>
      </c>
      <c r="B281" s="83"/>
      <c r="C281" s="97" t="s">
        <v>565</v>
      </c>
      <c r="D281" s="98" t="s">
        <v>771</v>
      </c>
      <c r="E281" s="86" t="s">
        <v>2049</v>
      </c>
      <c r="F281" s="86" t="s">
        <v>2050</v>
      </c>
      <c r="G281" s="6"/>
    </row>
    <row r="282" spans="1:7" s="3" customFormat="1" ht="37.5">
      <c r="A282" s="82" t="s">
        <v>711</v>
      </c>
      <c r="B282" s="83"/>
      <c r="C282" s="97" t="s">
        <v>990</v>
      </c>
      <c r="D282" s="98" t="s">
        <v>991</v>
      </c>
      <c r="E282" s="86" t="s">
        <v>2051</v>
      </c>
      <c r="F282" s="86" t="s">
        <v>2052</v>
      </c>
      <c r="G282" s="6"/>
    </row>
    <row r="283" spans="1:7" s="3" customFormat="1" ht="37.5">
      <c r="A283" s="82" t="s">
        <v>719</v>
      </c>
      <c r="B283" s="83"/>
      <c r="C283" s="86" t="s">
        <v>935</v>
      </c>
      <c r="D283" s="86" t="s">
        <v>936</v>
      </c>
      <c r="E283" s="86" t="s">
        <v>2053</v>
      </c>
      <c r="F283" s="86" t="s">
        <v>2054</v>
      </c>
      <c r="G283" s="6"/>
    </row>
    <row r="284" spans="1:7" s="3" customFormat="1" ht="18.75">
      <c r="A284" s="82" t="s">
        <v>719</v>
      </c>
      <c r="B284" s="83"/>
      <c r="C284" s="86" t="s">
        <v>937</v>
      </c>
      <c r="D284" s="86" t="s">
        <v>938</v>
      </c>
      <c r="E284" s="86" t="s">
        <v>2055</v>
      </c>
      <c r="F284" s="86" t="s">
        <v>2056</v>
      </c>
      <c r="G284" s="6"/>
    </row>
    <row r="285" spans="1:7" s="3" customFormat="1" ht="18.75">
      <c r="A285" s="82" t="s">
        <v>719</v>
      </c>
      <c r="B285" s="83"/>
      <c r="C285" s="86" t="s">
        <v>712</v>
      </c>
      <c r="D285" s="86" t="s">
        <v>939</v>
      </c>
      <c r="E285" s="86" t="s">
        <v>2057</v>
      </c>
      <c r="F285" s="86" t="s">
        <v>2058</v>
      </c>
      <c r="G285" s="6"/>
    </row>
    <row r="286" spans="1:7" s="3" customFormat="1" ht="18.75">
      <c r="A286" s="82" t="s">
        <v>719</v>
      </c>
      <c r="B286" s="83"/>
      <c r="C286" s="86" t="s">
        <v>721</v>
      </c>
      <c r="D286" s="86" t="s">
        <v>927</v>
      </c>
      <c r="E286" s="86" t="s">
        <v>1882</v>
      </c>
      <c r="F286" s="86" t="s">
        <v>1883</v>
      </c>
      <c r="G286" s="6"/>
    </row>
    <row r="287" spans="1:7" s="3" customFormat="1" ht="18.75">
      <c r="A287" s="82" t="s">
        <v>719</v>
      </c>
      <c r="B287" s="83"/>
      <c r="C287" s="86" t="s">
        <v>722</v>
      </c>
      <c r="D287" s="86" t="s">
        <v>825</v>
      </c>
      <c r="E287" s="86" t="s">
        <v>1880</v>
      </c>
      <c r="F287" s="86" t="s">
        <v>1900</v>
      </c>
      <c r="G287" s="6"/>
    </row>
    <row r="288" spans="1:7" s="3" customFormat="1" ht="18.75">
      <c r="A288" s="82" t="s">
        <v>719</v>
      </c>
      <c r="B288" s="83"/>
      <c r="C288" s="86" t="s">
        <v>713</v>
      </c>
      <c r="D288" s="86" t="s">
        <v>823</v>
      </c>
      <c r="E288" s="97" t="s">
        <v>1706</v>
      </c>
      <c r="F288" s="245" t="s">
        <v>1707</v>
      </c>
      <c r="G288" s="6"/>
    </row>
    <row r="289" spans="1:7" s="3" customFormat="1" ht="37.5">
      <c r="A289" s="82" t="s">
        <v>719</v>
      </c>
      <c r="B289" s="83"/>
      <c r="C289" s="86" t="s">
        <v>723</v>
      </c>
      <c r="D289" s="86" t="s">
        <v>826</v>
      </c>
      <c r="E289" s="97" t="s">
        <v>1708</v>
      </c>
      <c r="F289" s="245" t="s">
        <v>1758</v>
      </c>
      <c r="G289" s="6"/>
    </row>
    <row r="290" spans="1:7" s="3" customFormat="1" ht="18.75">
      <c r="A290" s="82" t="s">
        <v>719</v>
      </c>
      <c r="B290" s="83"/>
      <c r="C290" s="86" t="s">
        <v>724</v>
      </c>
      <c r="D290" s="86" t="s">
        <v>941</v>
      </c>
      <c r="E290" s="97" t="s">
        <v>1710</v>
      </c>
      <c r="F290" s="245" t="s">
        <v>1711</v>
      </c>
      <c r="G290" s="6"/>
    </row>
    <row r="291" spans="1:7" s="3" customFormat="1" ht="37.5">
      <c r="A291" s="82" t="s">
        <v>719</v>
      </c>
      <c r="B291" s="83"/>
      <c r="C291" s="86" t="s">
        <v>725</v>
      </c>
      <c r="D291" s="86" t="s">
        <v>827</v>
      </c>
      <c r="E291" s="97" t="s">
        <v>1712</v>
      </c>
      <c r="F291" s="245" t="s">
        <v>1713</v>
      </c>
      <c r="G291" s="6"/>
    </row>
    <row r="292" spans="1:7" s="3" customFormat="1" ht="37.5">
      <c r="A292" s="82" t="s">
        <v>719</v>
      </c>
      <c r="B292" s="83"/>
      <c r="C292" s="97" t="s">
        <v>989</v>
      </c>
      <c r="D292" s="98" t="s">
        <v>564</v>
      </c>
      <c r="E292" s="84" t="s">
        <v>2059</v>
      </c>
      <c r="F292" s="84" t="s">
        <v>2060</v>
      </c>
      <c r="G292" s="6"/>
    </row>
    <row r="293" spans="1:7" s="3" customFormat="1" ht="37.5">
      <c r="A293" s="82" t="s">
        <v>719</v>
      </c>
      <c r="B293" s="83"/>
      <c r="C293" s="97" t="s">
        <v>993</v>
      </c>
      <c r="D293" s="98" t="s">
        <v>992</v>
      </c>
      <c r="E293" s="84" t="s">
        <v>2061</v>
      </c>
      <c r="F293" s="84" t="s">
        <v>2062</v>
      </c>
      <c r="G293" s="6"/>
    </row>
    <row r="294" spans="1:7" s="3" customFormat="1" ht="37.5">
      <c r="A294" s="82" t="s">
        <v>719</v>
      </c>
      <c r="B294" s="83"/>
      <c r="C294" s="97" t="s">
        <v>565</v>
      </c>
      <c r="D294" s="98" t="s">
        <v>771</v>
      </c>
      <c r="E294" s="84" t="s">
        <v>2051</v>
      </c>
      <c r="F294" s="84" t="s">
        <v>2063</v>
      </c>
      <c r="G294" s="6"/>
    </row>
    <row r="295" spans="1:7" s="3" customFormat="1" ht="37.5">
      <c r="A295" s="82" t="s">
        <v>719</v>
      </c>
      <c r="B295" s="83"/>
      <c r="C295" s="97" t="s">
        <v>990</v>
      </c>
      <c r="D295" s="98" t="s">
        <v>991</v>
      </c>
      <c r="E295" s="86" t="s">
        <v>2064</v>
      </c>
      <c r="F295" s="86" t="s">
        <v>2065</v>
      </c>
      <c r="G295" s="6"/>
    </row>
    <row r="296" spans="1:7" s="3" customFormat="1" ht="37.5">
      <c r="A296" s="109" t="s">
        <v>1374</v>
      </c>
      <c r="B296" s="109" t="s">
        <v>1375</v>
      </c>
      <c r="C296" s="110" t="s">
        <v>1376</v>
      </c>
      <c r="D296" s="110" t="s">
        <v>1377</v>
      </c>
      <c r="E296" s="86" t="s">
        <v>2066</v>
      </c>
      <c r="F296" s="86" t="s">
        <v>2067</v>
      </c>
      <c r="G296" s="1"/>
    </row>
    <row r="297" spans="1:7" s="3" customFormat="1" ht="18.75">
      <c r="A297" s="109" t="s">
        <v>1374</v>
      </c>
      <c r="B297" s="109" t="s">
        <v>1375</v>
      </c>
      <c r="C297" s="111" t="s">
        <v>648</v>
      </c>
      <c r="D297" s="111" t="s">
        <v>1378</v>
      </c>
      <c r="E297" s="86" t="s">
        <v>2068</v>
      </c>
      <c r="F297" s="86" t="s">
        <v>2065</v>
      </c>
      <c r="G297" s="1"/>
    </row>
    <row r="298" spans="1:7" s="3" customFormat="1" ht="18.75">
      <c r="A298" s="109" t="s">
        <v>1374</v>
      </c>
      <c r="B298" s="109" t="s">
        <v>1375</v>
      </c>
      <c r="C298" s="110" t="s">
        <v>1379</v>
      </c>
      <c r="D298" s="112" t="s">
        <v>1377</v>
      </c>
      <c r="E298" s="86" t="s">
        <v>2057</v>
      </c>
      <c r="F298" s="86" t="s">
        <v>2069</v>
      </c>
      <c r="G298" s="1"/>
    </row>
    <row r="299" spans="1:7" s="3" customFormat="1" ht="18.75">
      <c r="A299" s="109" t="s">
        <v>1374</v>
      </c>
      <c r="B299" s="109" t="s">
        <v>1375</v>
      </c>
      <c r="C299" s="110" t="s">
        <v>1380</v>
      </c>
      <c r="D299" s="112" t="s">
        <v>1381</v>
      </c>
      <c r="E299" s="86" t="s">
        <v>1882</v>
      </c>
      <c r="F299" s="86" t="s">
        <v>2070</v>
      </c>
      <c r="G299" s="1"/>
    </row>
    <row r="300" spans="1:7" s="3" customFormat="1" ht="18.75">
      <c r="A300" s="113" t="s">
        <v>496</v>
      </c>
      <c r="B300" s="83"/>
      <c r="C300" s="86" t="s">
        <v>873</v>
      </c>
      <c r="D300" s="86" t="s">
        <v>916</v>
      </c>
      <c r="E300" s="86" t="s">
        <v>1880</v>
      </c>
      <c r="F300" s="86" t="s">
        <v>2071</v>
      </c>
      <c r="G300" s="6"/>
    </row>
    <row r="301" spans="1:7" s="3" customFormat="1" ht="18.75">
      <c r="A301" s="113" t="s">
        <v>496</v>
      </c>
      <c r="B301" s="83"/>
      <c r="C301" s="86" t="s">
        <v>874</v>
      </c>
      <c r="D301" s="86" t="s">
        <v>917</v>
      </c>
      <c r="E301" s="86" t="s">
        <v>2072</v>
      </c>
      <c r="F301" s="86" t="s">
        <v>2073</v>
      </c>
      <c r="G301" s="6"/>
    </row>
    <row r="302" spans="1:7" ht="18.75">
      <c r="A302" s="113" t="s">
        <v>496</v>
      </c>
      <c r="B302" s="83"/>
      <c r="C302" s="86" t="s">
        <v>875</v>
      </c>
      <c r="D302" s="86" t="s">
        <v>918</v>
      </c>
      <c r="E302" s="86" t="s">
        <v>2074</v>
      </c>
      <c r="F302" s="86" t="s">
        <v>2075</v>
      </c>
      <c r="G302" s="6"/>
    </row>
    <row r="303" spans="1:7" ht="18.75">
      <c r="A303" s="113" t="s">
        <v>496</v>
      </c>
      <c r="B303" s="83"/>
      <c r="C303" s="86" t="s">
        <v>994</v>
      </c>
      <c r="D303" s="86" t="s">
        <v>995</v>
      </c>
      <c r="E303" s="97" t="s">
        <v>1706</v>
      </c>
      <c r="F303" s="245" t="s">
        <v>1707</v>
      </c>
      <c r="G303" s="6"/>
    </row>
    <row r="304" spans="1:7" ht="37.5">
      <c r="A304" s="113" t="s">
        <v>496</v>
      </c>
      <c r="B304" s="83"/>
      <c r="C304" s="86" t="s">
        <v>876</v>
      </c>
      <c r="D304" s="86" t="s">
        <v>877</v>
      </c>
      <c r="E304" s="97" t="s">
        <v>1708</v>
      </c>
      <c r="F304" s="245" t="s">
        <v>1758</v>
      </c>
      <c r="G304" s="6"/>
    </row>
    <row r="305" spans="1:7" ht="18.75">
      <c r="A305" s="113" t="s">
        <v>496</v>
      </c>
      <c r="B305" s="83"/>
      <c r="C305" s="86" t="s">
        <v>878</v>
      </c>
      <c r="D305" s="86" t="s">
        <v>879</v>
      </c>
      <c r="E305" s="97" t="s">
        <v>1710</v>
      </c>
      <c r="F305" s="245" t="s">
        <v>1711</v>
      </c>
      <c r="G305" s="6"/>
    </row>
    <row r="306" spans="1:7" ht="37.5">
      <c r="A306" s="113" t="s">
        <v>496</v>
      </c>
      <c r="B306" s="83"/>
      <c r="C306" s="86" t="s">
        <v>709</v>
      </c>
      <c r="D306" s="86" t="s">
        <v>880</v>
      </c>
      <c r="E306" s="97" t="s">
        <v>1712</v>
      </c>
      <c r="F306" s="245" t="s">
        <v>1713</v>
      </c>
      <c r="G306" s="6"/>
    </row>
    <row r="307" spans="1:7" ht="37.5">
      <c r="A307" s="113" t="s">
        <v>496</v>
      </c>
      <c r="B307" s="83"/>
      <c r="C307" s="86" t="s">
        <v>881</v>
      </c>
      <c r="D307" s="86" t="s">
        <v>919</v>
      </c>
      <c r="E307" s="84" t="s">
        <v>2059</v>
      </c>
      <c r="F307" s="84" t="s">
        <v>2060</v>
      </c>
      <c r="G307" s="6"/>
    </row>
    <row r="308" spans="1:7" ht="18.75">
      <c r="A308" s="113" t="s">
        <v>496</v>
      </c>
      <c r="B308" s="83"/>
      <c r="C308" s="86" t="s">
        <v>920</v>
      </c>
      <c r="D308" s="86" t="s">
        <v>882</v>
      </c>
      <c r="E308" s="84" t="s">
        <v>2046</v>
      </c>
      <c r="F308" s="84" t="s">
        <v>1918</v>
      </c>
      <c r="G308" s="6"/>
    </row>
    <row r="309" spans="1:7" ht="56.25">
      <c r="A309" s="113" t="s">
        <v>496</v>
      </c>
      <c r="B309" s="83"/>
      <c r="C309" s="86" t="s">
        <v>884</v>
      </c>
      <c r="D309" s="86" t="s">
        <v>883</v>
      </c>
      <c r="E309" s="84" t="s">
        <v>2076</v>
      </c>
      <c r="F309" s="84" t="s">
        <v>2077</v>
      </c>
      <c r="G309" s="6"/>
    </row>
    <row r="310" spans="1:7" ht="37.5">
      <c r="A310" s="113" t="s">
        <v>496</v>
      </c>
      <c r="B310" s="83"/>
      <c r="C310" s="97" t="s">
        <v>989</v>
      </c>
      <c r="D310" s="98" t="s">
        <v>564</v>
      </c>
      <c r="E310" s="86" t="s">
        <v>2078</v>
      </c>
      <c r="F310" s="86" t="s">
        <v>2079</v>
      </c>
      <c r="G310" s="6"/>
    </row>
    <row r="311" spans="1:7" ht="37.5">
      <c r="A311" s="113" t="s">
        <v>496</v>
      </c>
      <c r="B311" s="83"/>
      <c r="C311" s="97" t="s">
        <v>993</v>
      </c>
      <c r="D311" s="98" t="s">
        <v>992</v>
      </c>
      <c r="E311" s="86" t="s">
        <v>2080</v>
      </c>
      <c r="F311" s="86" t="s">
        <v>2081</v>
      </c>
      <c r="G311" s="6"/>
    </row>
    <row r="312" spans="1:7" ht="37.5">
      <c r="A312" s="113" t="s">
        <v>496</v>
      </c>
      <c r="B312" s="83"/>
      <c r="C312" s="97" t="s">
        <v>565</v>
      </c>
      <c r="D312" s="98" t="s">
        <v>771</v>
      </c>
      <c r="E312" s="86" t="s">
        <v>2082</v>
      </c>
      <c r="F312" s="86" t="s">
        <v>2083</v>
      </c>
      <c r="G312" s="6"/>
    </row>
    <row r="313" spans="1:7" ht="37.5">
      <c r="A313" s="113" t="s">
        <v>496</v>
      </c>
      <c r="B313" s="83"/>
      <c r="C313" s="97" t="s">
        <v>990</v>
      </c>
      <c r="D313" s="98" t="s">
        <v>991</v>
      </c>
      <c r="E313" s="86" t="s">
        <v>2084</v>
      </c>
      <c r="F313" s="86" t="s">
        <v>2085</v>
      </c>
      <c r="G313" s="6"/>
    </row>
    <row r="314" spans="1:7" ht="37.5">
      <c r="A314" s="87" t="s">
        <v>1382</v>
      </c>
      <c r="B314" s="87" t="s">
        <v>1174</v>
      </c>
      <c r="C314" s="87" t="s">
        <v>1383</v>
      </c>
      <c r="D314" s="93" t="s">
        <v>1384</v>
      </c>
      <c r="E314" s="86" t="s">
        <v>2086</v>
      </c>
      <c r="F314" s="86" t="s">
        <v>2087</v>
      </c>
    </row>
    <row r="315" spans="1:7" ht="18.75">
      <c r="A315" s="94" t="s">
        <v>1382</v>
      </c>
      <c r="B315" s="94" t="s">
        <v>1385</v>
      </c>
      <c r="C315" s="94" t="s">
        <v>1386</v>
      </c>
      <c r="D315" s="94" t="s">
        <v>1387</v>
      </c>
      <c r="E315" s="86" t="s">
        <v>2088</v>
      </c>
      <c r="F315" s="86" t="s">
        <v>1938</v>
      </c>
    </row>
    <row r="316" spans="1:7" ht="18.75">
      <c r="A316" s="87" t="s">
        <v>1382</v>
      </c>
      <c r="B316" s="87" t="s">
        <v>1388</v>
      </c>
      <c r="C316" s="91" t="s">
        <v>1389</v>
      </c>
      <c r="D316" s="93" t="s">
        <v>1390</v>
      </c>
      <c r="E316" s="86" t="s">
        <v>2089</v>
      </c>
      <c r="F316" s="86" t="s">
        <v>2090</v>
      </c>
    </row>
    <row r="317" spans="1:7" ht="18.75">
      <c r="A317" s="87" t="s">
        <v>1382</v>
      </c>
      <c r="B317" s="87" t="s">
        <v>1335</v>
      </c>
      <c r="C317" s="91" t="s">
        <v>1391</v>
      </c>
      <c r="D317" s="93" t="s">
        <v>1392</v>
      </c>
      <c r="E317" s="86" t="s">
        <v>2091</v>
      </c>
      <c r="F317" s="86" t="s">
        <v>1954</v>
      </c>
    </row>
    <row r="318" spans="1:7" ht="18.75">
      <c r="A318" s="87" t="s">
        <v>1382</v>
      </c>
      <c r="B318" s="87" t="s">
        <v>1228</v>
      </c>
      <c r="C318" s="91" t="s">
        <v>1393</v>
      </c>
      <c r="D318" s="93" t="s">
        <v>1394</v>
      </c>
      <c r="E318" s="86" t="s">
        <v>2092</v>
      </c>
      <c r="F318" s="86" t="s">
        <v>2093</v>
      </c>
    </row>
    <row r="319" spans="1:7" ht="37.5">
      <c r="A319" s="87" t="s">
        <v>1382</v>
      </c>
      <c r="B319" s="88" t="s">
        <v>1083</v>
      </c>
      <c r="C319" s="92" t="s">
        <v>685</v>
      </c>
      <c r="D319" s="92" t="s">
        <v>804</v>
      </c>
      <c r="E319" s="86" t="s">
        <v>2094</v>
      </c>
      <c r="F319" s="86" t="s">
        <v>1938</v>
      </c>
    </row>
    <row r="320" spans="1:7" ht="18.75">
      <c r="A320" s="87" t="s">
        <v>1382</v>
      </c>
      <c r="B320" s="87" t="s">
        <v>1093</v>
      </c>
      <c r="C320" s="91" t="s">
        <v>1395</v>
      </c>
      <c r="D320" s="93" t="s">
        <v>1396</v>
      </c>
      <c r="E320" s="86" t="s">
        <v>2095</v>
      </c>
      <c r="F320" s="86" t="s">
        <v>2096</v>
      </c>
    </row>
    <row r="321" spans="1:7" ht="37.5">
      <c r="A321" s="87" t="s">
        <v>1382</v>
      </c>
      <c r="B321" s="87" t="s">
        <v>1093</v>
      </c>
      <c r="C321" s="91" t="s">
        <v>1397</v>
      </c>
      <c r="D321" s="91" t="s">
        <v>1398</v>
      </c>
      <c r="E321" s="86" t="s">
        <v>2097</v>
      </c>
      <c r="F321" s="86" t="s">
        <v>1626</v>
      </c>
    </row>
    <row r="322" spans="1:7" ht="37.5">
      <c r="A322" s="87" t="s">
        <v>1382</v>
      </c>
      <c r="B322" s="87" t="s">
        <v>1048</v>
      </c>
      <c r="C322" s="91" t="s">
        <v>1399</v>
      </c>
      <c r="D322" s="91" t="s">
        <v>1044</v>
      </c>
      <c r="E322" s="84" t="s">
        <v>2098</v>
      </c>
      <c r="F322" s="84" t="s">
        <v>2007</v>
      </c>
    </row>
    <row r="323" spans="1:7" ht="18.75">
      <c r="A323" s="87" t="s">
        <v>1400</v>
      </c>
      <c r="B323" s="87" t="s">
        <v>1093</v>
      </c>
      <c r="C323" s="91" t="s">
        <v>1401</v>
      </c>
      <c r="D323" s="93" t="s">
        <v>1402</v>
      </c>
    </row>
    <row r="324" spans="1:7" ht="37.5">
      <c r="A324" s="82" t="str">
        <f>Functietitels!A30</f>
        <v>Prod Oper CU</v>
      </c>
      <c r="B324" s="83"/>
      <c r="C324" s="86" t="s">
        <v>924</v>
      </c>
      <c r="D324" s="86" t="s">
        <v>923</v>
      </c>
      <c r="G324" s="6"/>
    </row>
    <row r="325" spans="1:7" ht="37.5">
      <c r="A325" s="82" t="str">
        <f t="shared" ref="A325:A330" si="0">A324</f>
        <v>Prod Oper CU</v>
      </c>
      <c r="B325" s="83"/>
      <c r="C325" s="86" t="s">
        <v>925</v>
      </c>
      <c r="D325" s="86" t="s">
        <v>923</v>
      </c>
      <c r="G325" s="6"/>
    </row>
    <row r="326" spans="1:7" ht="18.75">
      <c r="A326" s="82" t="str">
        <f t="shared" si="0"/>
        <v>Prod Oper CU</v>
      </c>
      <c r="B326" s="83"/>
      <c r="C326" s="86" t="s">
        <v>926</v>
      </c>
      <c r="D326" s="86" t="s">
        <v>927</v>
      </c>
      <c r="G326" s="6"/>
    </row>
    <row r="327" spans="1:7" ht="18.75">
      <c r="A327" s="82" t="str">
        <f t="shared" si="0"/>
        <v>Prod Oper CU</v>
      </c>
      <c r="B327" s="83"/>
      <c r="C327" s="86" t="s">
        <v>712</v>
      </c>
      <c r="D327" s="86" t="s">
        <v>940</v>
      </c>
      <c r="G327" s="6"/>
    </row>
    <row r="328" spans="1:7" ht="18.75">
      <c r="A328" s="82" t="str">
        <f t="shared" si="0"/>
        <v>Prod Oper CU</v>
      </c>
      <c r="B328" s="83"/>
      <c r="C328" s="86" t="s">
        <v>713</v>
      </c>
      <c r="D328" s="86" t="s">
        <v>823</v>
      </c>
      <c r="G328" s="6"/>
    </row>
    <row r="329" spans="1:7" ht="18.75">
      <c r="A329" s="82" t="str">
        <f t="shared" si="0"/>
        <v>Prod Oper CU</v>
      </c>
      <c r="B329" s="83"/>
      <c r="C329" s="86" t="s">
        <v>724</v>
      </c>
      <c r="D329" s="86" t="s">
        <v>941</v>
      </c>
      <c r="G329" s="6"/>
    </row>
    <row r="330" spans="1:7" ht="18.75">
      <c r="A330" s="82" t="str">
        <f t="shared" si="0"/>
        <v>Prod Oper CU</v>
      </c>
      <c r="B330" s="83"/>
      <c r="C330" s="86" t="s">
        <v>718</v>
      </c>
      <c r="D330" s="86" t="s">
        <v>824</v>
      </c>
      <c r="G330" s="6"/>
    </row>
    <row r="331" spans="1:7" ht="18.75">
      <c r="A331" s="87" t="s">
        <v>1403</v>
      </c>
      <c r="B331" s="87" t="s">
        <v>1077</v>
      </c>
      <c r="C331" s="91" t="s">
        <v>1404</v>
      </c>
      <c r="D331" s="91" t="s">
        <v>1044</v>
      </c>
    </row>
    <row r="332" spans="1:7" ht="18.75">
      <c r="A332" s="82" t="str">
        <f>Functietitels!A37</f>
        <v>Prod Oper valve</v>
      </c>
      <c r="B332" s="83"/>
      <c r="C332" s="86" t="s">
        <v>712</v>
      </c>
      <c r="D332" s="86" t="s">
        <v>943</v>
      </c>
      <c r="G332" s="6"/>
    </row>
    <row r="333" spans="1:7" ht="18.75">
      <c r="A333" s="82" t="str">
        <f>A332</f>
        <v>Prod Oper valve</v>
      </c>
      <c r="B333" s="83"/>
      <c r="C333" s="86" t="s">
        <v>726</v>
      </c>
      <c r="D333" s="86" t="s">
        <v>825</v>
      </c>
      <c r="G333" s="6"/>
    </row>
    <row r="334" spans="1:7" ht="18.75">
      <c r="A334" s="82" t="str">
        <f>A333</f>
        <v>Prod Oper valve</v>
      </c>
      <c r="B334" s="83"/>
      <c r="C334" s="86" t="s">
        <v>713</v>
      </c>
      <c r="D334" s="86" t="s">
        <v>823</v>
      </c>
      <c r="G334" s="6"/>
    </row>
    <row r="335" spans="1:7" ht="18.75">
      <c r="A335" s="82" t="str">
        <f>A334</f>
        <v>Prod Oper valve</v>
      </c>
      <c r="B335" s="83"/>
      <c r="C335" s="86" t="s">
        <v>723</v>
      </c>
      <c r="D335" s="86" t="s">
        <v>826</v>
      </c>
      <c r="G335" s="6"/>
    </row>
    <row r="336" spans="1:7" ht="18.75">
      <c r="A336" s="82" t="str">
        <f>A335</f>
        <v>Prod Oper valve</v>
      </c>
      <c r="B336" s="83"/>
      <c r="C336" s="86" t="s">
        <v>724</v>
      </c>
      <c r="D336" s="86" t="s">
        <v>941</v>
      </c>
      <c r="G336" s="6"/>
    </row>
    <row r="337" spans="1:7" ht="18.75">
      <c r="A337" s="82" t="str">
        <f>A336</f>
        <v>Prod Oper valve</v>
      </c>
      <c r="B337" s="83"/>
      <c r="C337" s="86" t="s">
        <v>725</v>
      </c>
      <c r="D337" s="86" t="s">
        <v>942</v>
      </c>
      <c r="G337" s="6"/>
    </row>
    <row r="338" spans="1:7" ht="18.75">
      <c r="A338" s="87" t="s">
        <v>1405</v>
      </c>
      <c r="B338" s="87" t="s">
        <v>1077</v>
      </c>
      <c r="C338" s="91" t="s">
        <v>1404</v>
      </c>
      <c r="D338" s="91" t="s">
        <v>1044</v>
      </c>
    </row>
    <row r="339" spans="1:7" ht="18.75">
      <c r="A339" s="82" t="str">
        <f>Functietitels!A25</f>
        <v>Prod Suppl Oper</v>
      </c>
      <c r="B339" s="83"/>
      <c r="C339" s="86" t="s">
        <v>898</v>
      </c>
      <c r="D339" s="86" t="s">
        <v>899</v>
      </c>
      <c r="G339" s="6"/>
    </row>
    <row r="340" spans="1:7" ht="37.5">
      <c r="A340" s="82" t="str">
        <f>A339</f>
        <v>Prod Suppl Oper</v>
      </c>
      <c r="B340" s="83"/>
      <c r="C340" s="86" t="s">
        <v>900</v>
      </c>
      <c r="D340" s="86" t="s">
        <v>899</v>
      </c>
      <c r="G340" s="6"/>
    </row>
    <row r="341" spans="1:7" ht="37.5">
      <c r="A341" s="82" t="str">
        <f>A340</f>
        <v>Prod Suppl Oper</v>
      </c>
      <c r="B341" s="83"/>
      <c r="C341" s="86" t="s">
        <v>901</v>
      </c>
      <c r="D341" s="86" t="s">
        <v>902</v>
      </c>
      <c r="G341" s="6"/>
    </row>
    <row r="342" spans="1:7" ht="18.75">
      <c r="A342" s="82" t="str">
        <f>A341</f>
        <v>Prod Suppl Oper</v>
      </c>
      <c r="B342" s="83"/>
      <c r="C342" s="86" t="s">
        <v>903</v>
      </c>
      <c r="D342" s="86" t="s">
        <v>904</v>
      </c>
      <c r="G342" s="6"/>
    </row>
    <row r="343" spans="1:7" ht="18.75">
      <c r="A343" s="82" t="str">
        <f>A342</f>
        <v>Prod Suppl Oper</v>
      </c>
      <c r="B343" s="83"/>
      <c r="C343" s="86" t="s">
        <v>906</v>
      </c>
      <c r="D343" s="86" t="s">
        <v>905</v>
      </c>
      <c r="G343" s="6"/>
    </row>
    <row r="344" spans="1:7" ht="18.75">
      <c r="A344" s="87" t="s">
        <v>1406</v>
      </c>
      <c r="B344" s="88" t="s">
        <v>1340</v>
      </c>
      <c r="C344" s="95" t="s">
        <v>578</v>
      </c>
      <c r="D344" s="96" t="s">
        <v>781</v>
      </c>
    </row>
    <row r="345" spans="1:7" ht="18.75">
      <c r="A345" s="82" t="str">
        <f>Functietitels!A26</f>
        <v>Prod Suppl Oper/Assy</v>
      </c>
      <c r="B345" s="83"/>
      <c r="C345" s="86" t="s">
        <v>898</v>
      </c>
      <c r="D345" s="86" t="s">
        <v>899</v>
      </c>
      <c r="G345" s="6"/>
    </row>
    <row r="346" spans="1:7" ht="37.5">
      <c r="A346" s="82" t="str">
        <f t="shared" ref="A346:A355" si="1">A345</f>
        <v>Prod Suppl Oper/Assy</v>
      </c>
      <c r="B346" s="83"/>
      <c r="C346" s="86" t="s">
        <v>900</v>
      </c>
      <c r="D346" s="86" t="s">
        <v>899</v>
      </c>
      <c r="G346" s="6"/>
    </row>
    <row r="347" spans="1:7" ht="37.5">
      <c r="A347" s="82" t="str">
        <f t="shared" si="1"/>
        <v>Prod Suppl Oper/Assy</v>
      </c>
      <c r="B347" s="83"/>
      <c r="C347" s="86" t="s">
        <v>901</v>
      </c>
      <c r="D347" s="86" t="s">
        <v>902</v>
      </c>
      <c r="G347" s="6"/>
    </row>
    <row r="348" spans="1:7" ht="18.75">
      <c r="A348" s="82" t="str">
        <f t="shared" si="1"/>
        <v>Prod Suppl Oper/Assy</v>
      </c>
      <c r="B348" s="83"/>
      <c r="C348" s="86" t="s">
        <v>903</v>
      </c>
      <c r="D348" s="86" t="s">
        <v>904</v>
      </c>
      <c r="G348" s="6"/>
    </row>
    <row r="349" spans="1:7" ht="18.75">
      <c r="A349" s="82" t="str">
        <f t="shared" si="1"/>
        <v>Prod Suppl Oper/Assy</v>
      </c>
      <c r="B349" s="83"/>
      <c r="C349" s="86" t="s">
        <v>906</v>
      </c>
      <c r="D349" s="86" t="s">
        <v>905</v>
      </c>
      <c r="G349" s="6"/>
    </row>
    <row r="350" spans="1:7" ht="18.75">
      <c r="A350" s="82" t="str">
        <f t="shared" si="1"/>
        <v>Prod Suppl Oper/Assy</v>
      </c>
      <c r="B350" s="83"/>
      <c r="C350" s="86" t="s">
        <v>712</v>
      </c>
      <c r="D350" s="86" t="s">
        <v>943</v>
      </c>
      <c r="G350" s="6"/>
    </row>
    <row r="351" spans="1:7" ht="18.75">
      <c r="A351" s="82" t="str">
        <f t="shared" si="1"/>
        <v>Prod Suppl Oper/Assy</v>
      </c>
      <c r="B351" s="83"/>
      <c r="C351" s="86" t="s">
        <v>726</v>
      </c>
      <c r="D351" s="86" t="s">
        <v>825</v>
      </c>
      <c r="G351" s="6"/>
    </row>
    <row r="352" spans="1:7" ht="18.75">
      <c r="A352" s="82" t="str">
        <f t="shared" si="1"/>
        <v>Prod Suppl Oper/Assy</v>
      </c>
      <c r="B352" s="83"/>
      <c r="C352" s="86" t="s">
        <v>713</v>
      </c>
      <c r="D352" s="86" t="s">
        <v>823</v>
      </c>
      <c r="G352" s="6"/>
    </row>
    <row r="353" spans="1:7" ht="18.75">
      <c r="A353" s="82" t="str">
        <f t="shared" si="1"/>
        <v>Prod Suppl Oper/Assy</v>
      </c>
      <c r="B353" s="83"/>
      <c r="C353" s="86" t="s">
        <v>723</v>
      </c>
      <c r="D353" s="86" t="s">
        <v>826</v>
      </c>
      <c r="G353" s="6"/>
    </row>
    <row r="354" spans="1:7" ht="18.75">
      <c r="A354" s="82" t="str">
        <f t="shared" si="1"/>
        <v>Prod Suppl Oper/Assy</v>
      </c>
      <c r="B354" s="83"/>
      <c r="C354" s="86" t="s">
        <v>724</v>
      </c>
      <c r="D354" s="86" t="s">
        <v>941</v>
      </c>
      <c r="G354" s="6"/>
    </row>
    <row r="355" spans="1:7" ht="18.75">
      <c r="A355" s="82" t="str">
        <f t="shared" si="1"/>
        <v>Prod Suppl Oper/Assy</v>
      </c>
      <c r="B355" s="83"/>
      <c r="C355" s="86" t="s">
        <v>725</v>
      </c>
      <c r="D355" s="86" t="s">
        <v>942</v>
      </c>
      <c r="G355" s="6"/>
    </row>
    <row r="356" spans="1:7" ht="18.75">
      <c r="A356" s="82" t="s">
        <v>769</v>
      </c>
      <c r="B356" s="83"/>
      <c r="C356" s="114" t="s">
        <v>584</v>
      </c>
      <c r="D356" s="101" t="s">
        <v>959</v>
      </c>
      <c r="G356" s="6"/>
    </row>
    <row r="357" spans="1:7" ht="37.5">
      <c r="A357" s="82" t="s">
        <v>769</v>
      </c>
      <c r="B357" s="83"/>
      <c r="C357" s="114" t="s">
        <v>585</v>
      </c>
      <c r="D357" s="113" t="s">
        <v>834</v>
      </c>
      <c r="G357" s="6"/>
    </row>
    <row r="358" spans="1:7" ht="37.5">
      <c r="A358" s="82" t="s">
        <v>769</v>
      </c>
      <c r="B358" s="83"/>
      <c r="C358" s="114" t="s">
        <v>586</v>
      </c>
      <c r="D358" s="113" t="s">
        <v>834</v>
      </c>
      <c r="G358" s="6"/>
    </row>
    <row r="359" spans="1:7" ht="37.5">
      <c r="A359" s="82" t="s">
        <v>769</v>
      </c>
      <c r="B359" s="83"/>
      <c r="C359" s="114" t="s">
        <v>587</v>
      </c>
      <c r="D359" s="101" t="s">
        <v>835</v>
      </c>
      <c r="G359" s="6"/>
    </row>
    <row r="360" spans="1:7" ht="18.75">
      <c r="A360" s="82" t="s">
        <v>769</v>
      </c>
      <c r="B360" s="83"/>
      <c r="C360" s="114" t="s">
        <v>588</v>
      </c>
      <c r="D360" s="101" t="s">
        <v>835</v>
      </c>
      <c r="G360" s="6"/>
    </row>
    <row r="361" spans="1:7" ht="37.5">
      <c r="A361" s="82" t="s">
        <v>769</v>
      </c>
      <c r="B361" s="83"/>
      <c r="C361" s="114" t="s">
        <v>589</v>
      </c>
      <c r="D361" s="101" t="s">
        <v>960</v>
      </c>
      <c r="G361" s="6"/>
    </row>
    <row r="362" spans="1:7" ht="18.75">
      <c r="A362" s="82" t="s">
        <v>769</v>
      </c>
      <c r="B362" s="83"/>
      <c r="C362" s="114" t="s">
        <v>590</v>
      </c>
      <c r="D362" s="101" t="s">
        <v>836</v>
      </c>
      <c r="G362" s="6"/>
    </row>
    <row r="363" spans="1:7" ht="18.75">
      <c r="A363" s="82" t="s">
        <v>769</v>
      </c>
      <c r="B363" s="83"/>
      <c r="C363" s="114" t="s">
        <v>591</v>
      </c>
      <c r="D363" s="101" t="s">
        <v>837</v>
      </c>
      <c r="G363" s="6"/>
    </row>
    <row r="364" spans="1:7" ht="18.75">
      <c r="A364" s="82" t="s">
        <v>769</v>
      </c>
      <c r="B364" s="83"/>
      <c r="C364" s="114" t="s">
        <v>592</v>
      </c>
      <c r="D364" s="101" t="s">
        <v>838</v>
      </c>
      <c r="G364" s="6"/>
    </row>
    <row r="365" spans="1:7" ht="18.75">
      <c r="A365" s="87" t="s">
        <v>1407</v>
      </c>
      <c r="B365" s="88" t="s">
        <v>1408</v>
      </c>
      <c r="C365" s="115" t="s">
        <v>1409</v>
      </c>
      <c r="D365" s="94" t="s">
        <v>1410</v>
      </c>
    </row>
    <row r="366" spans="1:7" ht="37.5">
      <c r="A366" s="87" t="s">
        <v>1407</v>
      </c>
      <c r="B366" s="87" t="s">
        <v>1408</v>
      </c>
      <c r="C366" s="91" t="s">
        <v>1411</v>
      </c>
      <c r="D366" s="93" t="s">
        <v>1412</v>
      </c>
    </row>
    <row r="367" spans="1:7" ht="18.75">
      <c r="A367" s="87" t="s">
        <v>1407</v>
      </c>
      <c r="B367" s="87" t="s">
        <v>1408</v>
      </c>
      <c r="C367" s="115" t="s">
        <v>591</v>
      </c>
      <c r="D367" s="96" t="s">
        <v>837</v>
      </c>
    </row>
    <row r="368" spans="1:7" ht="18.75">
      <c r="A368" s="82" t="s">
        <v>499</v>
      </c>
      <c r="B368" s="99"/>
      <c r="C368" s="97" t="s">
        <v>989</v>
      </c>
      <c r="D368" s="98" t="s">
        <v>564</v>
      </c>
      <c r="G368" s="2"/>
    </row>
    <row r="369" spans="1:7" ht="37.5">
      <c r="A369" s="82" t="s">
        <v>499</v>
      </c>
      <c r="B369" s="99"/>
      <c r="C369" s="97" t="s">
        <v>993</v>
      </c>
      <c r="D369" s="98" t="s">
        <v>770</v>
      </c>
      <c r="G369" s="2"/>
    </row>
    <row r="370" spans="1:7" ht="18.75">
      <c r="A370" s="82" t="s">
        <v>499</v>
      </c>
      <c r="B370" s="99"/>
      <c r="C370" s="97" t="s">
        <v>565</v>
      </c>
      <c r="D370" s="98" t="s">
        <v>771</v>
      </c>
      <c r="G370" s="2"/>
    </row>
    <row r="371" spans="1:7" ht="37.5">
      <c r="A371" s="82" t="s">
        <v>499</v>
      </c>
      <c r="B371" s="99"/>
      <c r="C371" s="97" t="s">
        <v>990</v>
      </c>
      <c r="D371" s="98" t="s">
        <v>991</v>
      </c>
      <c r="G371" s="2"/>
    </row>
    <row r="372" spans="1:7" ht="18.75">
      <c r="A372" s="82" t="s">
        <v>499</v>
      </c>
      <c r="B372" s="99"/>
      <c r="C372" s="116" t="s">
        <v>566</v>
      </c>
      <c r="D372" s="113" t="s">
        <v>772</v>
      </c>
      <c r="G372" s="2"/>
    </row>
    <row r="373" spans="1:7" ht="18.75">
      <c r="A373" s="82" t="s">
        <v>499</v>
      </c>
      <c r="B373" s="99"/>
      <c r="C373" s="116" t="s">
        <v>567</v>
      </c>
      <c r="D373" s="113" t="s">
        <v>568</v>
      </c>
      <c r="G373" s="2"/>
    </row>
    <row r="374" spans="1:7" ht="18.75">
      <c r="A374" s="82" t="s">
        <v>499</v>
      </c>
      <c r="B374" s="99"/>
      <c r="C374" s="116" t="s">
        <v>569</v>
      </c>
      <c r="D374" s="113" t="s">
        <v>773</v>
      </c>
      <c r="G374" s="2"/>
    </row>
    <row r="375" spans="1:7" ht="18.75">
      <c r="A375" s="82" t="s">
        <v>499</v>
      </c>
      <c r="B375" s="99"/>
      <c r="C375" s="116" t="s">
        <v>570</v>
      </c>
      <c r="D375" s="113" t="s">
        <v>774</v>
      </c>
      <c r="G375" s="2"/>
    </row>
    <row r="376" spans="1:7" ht="18.75">
      <c r="A376" s="82" t="s">
        <v>499</v>
      </c>
      <c r="B376" s="99"/>
      <c r="C376" s="116" t="s">
        <v>571</v>
      </c>
      <c r="D376" s="113" t="s">
        <v>775</v>
      </c>
      <c r="G376" s="2"/>
    </row>
    <row r="377" spans="1:7" ht="18.75">
      <c r="A377" s="82" t="s">
        <v>499</v>
      </c>
      <c r="B377" s="99"/>
      <c r="C377" s="116" t="s">
        <v>572</v>
      </c>
      <c r="D377" s="113" t="s">
        <v>776</v>
      </c>
      <c r="G377" s="2"/>
    </row>
    <row r="378" spans="1:7" ht="37.5">
      <c r="A378" s="82" t="s">
        <v>499</v>
      </c>
      <c r="B378" s="99"/>
      <c r="C378" s="116" t="s">
        <v>573</v>
      </c>
      <c r="D378" s="113" t="s">
        <v>777</v>
      </c>
      <c r="G378" s="2"/>
    </row>
    <row r="379" spans="1:7" ht="18.75">
      <c r="A379" s="82" t="s">
        <v>499</v>
      </c>
      <c r="B379" s="99"/>
      <c r="C379" s="116" t="s">
        <v>574</v>
      </c>
      <c r="D379" s="113" t="s">
        <v>777</v>
      </c>
      <c r="G379" s="2"/>
    </row>
    <row r="380" spans="1:7" ht="18.75">
      <c r="A380" s="82" t="s">
        <v>499</v>
      </c>
      <c r="B380" s="99"/>
      <c r="C380" s="116" t="s">
        <v>575</v>
      </c>
      <c r="D380" s="113" t="s">
        <v>778</v>
      </c>
      <c r="G380" s="2"/>
    </row>
    <row r="381" spans="1:7" ht="18.75">
      <c r="A381" s="82" t="s">
        <v>499</v>
      </c>
      <c r="B381" s="99"/>
      <c r="C381" s="116" t="s">
        <v>576</v>
      </c>
      <c r="D381" s="113" t="s">
        <v>779</v>
      </c>
      <c r="G381" s="2"/>
    </row>
    <row r="382" spans="1:7" ht="37.5">
      <c r="A382" s="82" t="s">
        <v>499</v>
      </c>
      <c r="B382" s="83"/>
      <c r="C382" s="116" t="s">
        <v>577</v>
      </c>
      <c r="D382" s="113" t="s">
        <v>780</v>
      </c>
      <c r="G382" s="6"/>
    </row>
    <row r="383" spans="1:7" ht="18.75">
      <c r="A383" s="82" t="s">
        <v>499</v>
      </c>
      <c r="B383" s="83"/>
      <c r="C383" s="116" t="s">
        <v>578</v>
      </c>
      <c r="D383" s="113" t="s">
        <v>781</v>
      </c>
      <c r="G383" s="6"/>
    </row>
    <row r="384" spans="1:7" ht="18.75">
      <c r="A384" s="82" t="s">
        <v>499</v>
      </c>
      <c r="B384" s="83"/>
      <c r="C384" s="116" t="s">
        <v>579</v>
      </c>
      <c r="D384" s="113" t="s">
        <v>782</v>
      </c>
      <c r="G384" s="6"/>
    </row>
    <row r="385" spans="1:7" ht="18.75">
      <c r="A385" s="82" t="s">
        <v>499</v>
      </c>
      <c r="B385" s="83"/>
      <c r="C385" s="116" t="s">
        <v>580</v>
      </c>
      <c r="D385" s="113" t="s">
        <v>783</v>
      </c>
      <c r="G385" s="6"/>
    </row>
    <row r="386" spans="1:7" ht="18.75">
      <c r="A386" s="82" t="s">
        <v>499</v>
      </c>
      <c r="B386" s="83"/>
      <c r="C386" s="116" t="s">
        <v>581</v>
      </c>
      <c r="D386" s="113" t="s">
        <v>783</v>
      </c>
      <c r="G386" s="6"/>
    </row>
    <row r="387" spans="1:7" ht="18.75">
      <c r="A387" s="82" t="s">
        <v>499</v>
      </c>
      <c r="B387" s="83"/>
      <c r="C387" s="116" t="s">
        <v>582</v>
      </c>
      <c r="D387" s="113" t="s">
        <v>583</v>
      </c>
      <c r="G387" s="6"/>
    </row>
    <row r="388" spans="1:7" ht="18.75">
      <c r="A388" s="87" t="s">
        <v>499</v>
      </c>
      <c r="B388" s="87" t="s">
        <v>1335</v>
      </c>
      <c r="C388" s="91" t="s">
        <v>1413</v>
      </c>
      <c r="D388" s="91" t="s">
        <v>1044</v>
      </c>
    </row>
    <row r="389" spans="1:7" ht="18.75">
      <c r="A389" s="87" t="s">
        <v>499</v>
      </c>
      <c r="B389" s="87" t="s">
        <v>1338</v>
      </c>
      <c r="C389" s="94" t="s">
        <v>1414</v>
      </c>
      <c r="D389" s="91" t="s">
        <v>1044</v>
      </c>
    </row>
    <row r="390" spans="1:7" ht="37.5">
      <c r="A390" s="87" t="s">
        <v>499</v>
      </c>
      <c r="B390" s="88" t="s">
        <v>1408</v>
      </c>
      <c r="C390" s="95" t="s">
        <v>1415</v>
      </c>
      <c r="D390" s="96" t="s">
        <v>1416</v>
      </c>
    </row>
    <row r="391" spans="1:7" ht="18.75">
      <c r="A391" s="87" t="s">
        <v>499</v>
      </c>
      <c r="B391" s="87" t="s">
        <v>1408</v>
      </c>
      <c r="C391" s="91" t="s">
        <v>1417</v>
      </c>
      <c r="D391" s="91" t="s">
        <v>1418</v>
      </c>
    </row>
    <row r="392" spans="1:7" ht="18.75">
      <c r="A392" s="87" t="s">
        <v>499</v>
      </c>
      <c r="B392" s="87" t="s">
        <v>1408</v>
      </c>
      <c r="C392" s="94" t="s">
        <v>1419</v>
      </c>
      <c r="D392" s="94" t="s">
        <v>1420</v>
      </c>
    </row>
    <row r="393" spans="1:7" ht="18.75">
      <c r="A393" s="87" t="s">
        <v>499</v>
      </c>
      <c r="B393" s="87" t="s">
        <v>1408</v>
      </c>
      <c r="C393" s="94" t="s">
        <v>1421</v>
      </c>
      <c r="D393" s="94" t="s">
        <v>1422</v>
      </c>
    </row>
    <row r="394" spans="1:7" ht="18.75">
      <c r="A394" s="87" t="s">
        <v>499</v>
      </c>
      <c r="B394" s="87" t="s">
        <v>1408</v>
      </c>
      <c r="C394" s="94" t="s">
        <v>1423</v>
      </c>
      <c r="D394" s="94" t="s">
        <v>1424</v>
      </c>
    </row>
    <row r="395" spans="1:7" ht="18.75">
      <c r="A395" s="87" t="s">
        <v>499</v>
      </c>
      <c r="B395" s="87" t="s">
        <v>1408</v>
      </c>
      <c r="C395" s="94" t="s">
        <v>1425</v>
      </c>
      <c r="D395" s="94" t="s">
        <v>1426</v>
      </c>
    </row>
    <row r="396" spans="1:7" ht="18.75">
      <c r="A396" s="87" t="s">
        <v>499</v>
      </c>
      <c r="B396" s="87" t="s">
        <v>1408</v>
      </c>
      <c r="C396" s="94" t="s">
        <v>1427</v>
      </c>
      <c r="D396" s="94" t="s">
        <v>1428</v>
      </c>
    </row>
    <row r="397" spans="1:7" ht="37.5">
      <c r="A397" s="87" t="s">
        <v>499</v>
      </c>
      <c r="B397" s="87" t="s">
        <v>1408</v>
      </c>
      <c r="C397" s="115" t="s">
        <v>586</v>
      </c>
      <c r="D397" s="96" t="s">
        <v>834</v>
      </c>
    </row>
    <row r="398" spans="1:7" ht="37.5">
      <c r="A398" s="87" t="s">
        <v>499</v>
      </c>
      <c r="B398" s="87" t="s">
        <v>1408</v>
      </c>
      <c r="C398" s="115" t="s">
        <v>589</v>
      </c>
      <c r="D398" s="96" t="s">
        <v>1429</v>
      </c>
    </row>
    <row r="399" spans="1:7" ht="18.75">
      <c r="A399" s="87" t="s">
        <v>499</v>
      </c>
      <c r="B399" s="88" t="s">
        <v>1408</v>
      </c>
      <c r="C399" s="115" t="s">
        <v>590</v>
      </c>
      <c r="D399" s="96" t="s">
        <v>836</v>
      </c>
    </row>
    <row r="400" spans="1:7" ht="18.75">
      <c r="A400" s="87" t="s">
        <v>499</v>
      </c>
      <c r="B400" s="87" t="s">
        <v>1430</v>
      </c>
      <c r="C400" s="95" t="s">
        <v>570</v>
      </c>
      <c r="D400" s="96" t="s">
        <v>774</v>
      </c>
    </row>
    <row r="401" spans="1:7" ht="56.25">
      <c r="A401" s="87" t="s">
        <v>499</v>
      </c>
      <c r="B401" s="88" t="s">
        <v>1431</v>
      </c>
      <c r="C401" s="95" t="s">
        <v>567</v>
      </c>
      <c r="D401" s="96" t="s">
        <v>1432</v>
      </c>
    </row>
    <row r="402" spans="1:7" ht="18.75">
      <c r="A402" s="87" t="s">
        <v>499</v>
      </c>
      <c r="B402" s="88" t="s">
        <v>1431</v>
      </c>
      <c r="C402" s="95" t="s">
        <v>572</v>
      </c>
      <c r="D402" s="96" t="s">
        <v>776</v>
      </c>
    </row>
    <row r="403" spans="1:7" ht="18.75">
      <c r="A403" s="87" t="s">
        <v>499</v>
      </c>
      <c r="B403" s="87" t="s">
        <v>1048</v>
      </c>
      <c r="C403" s="91" t="s">
        <v>1433</v>
      </c>
      <c r="D403" s="93" t="s">
        <v>1434</v>
      </c>
    </row>
    <row r="404" spans="1:7" ht="37.5">
      <c r="A404" s="87" t="s">
        <v>499</v>
      </c>
      <c r="B404" s="87" t="s">
        <v>1048</v>
      </c>
      <c r="C404" s="95" t="s">
        <v>576</v>
      </c>
      <c r="D404" s="96" t="s">
        <v>779</v>
      </c>
    </row>
    <row r="405" spans="1:7" ht="18.75">
      <c r="A405" s="87" t="s">
        <v>499</v>
      </c>
      <c r="B405" s="88" t="s">
        <v>1435</v>
      </c>
      <c r="C405" s="95" t="s">
        <v>571</v>
      </c>
      <c r="D405" s="96" t="s">
        <v>775</v>
      </c>
    </row>
    <row r="406" spans="1:7" ht="18.75">
      <c r="A406" s="87" t="s">
        <v>499</v>
      </c>
      <c r="B406" s="88" t="s">
        <v>1436</v>
      </c>
      <c r="C406" s="95" t="s">
        <v>1437</v>
      </c>
      <c r="D406" s="96" t="s">
        <v>773</v>
      </c>
    </row>
    <row r="407" spans="1:7" ht="18.75">
      <c r="A407" s="87" t="s">
        <v>499</v>
      </c>
      <c r="B407" s="88" t="s">
        <v>1436</v>
      </c>
      <c r="C407" s="95" t="s">
        <v>575</v>
      </c>
      <c r="D407" s="96" t="s">
        <v>778</v>
      </c>
    </row>
    <row r="408" spans="1:7" ht="18.75">
      <c r="A408" s="82" t="s">
        <v>493</v>
      </c>
      <c r="B408" s="83"/>
      <c r="C408" s="86" t="s">
        <v>885</v>
      </c>
      <c r="D408" s="86" t="s">
        <v>886</v>
      </c>
      <c r="G408" s="6"/>
    </row>
    <row r="409" spans="1:7" ht="18.75">
      <c r="A409" s="82" t="s">
        <v>493</v>
      </c>
      <c r="B409" s="83"/>
      <c r="C409" s="86" t="s">
        <v>887</v>
      </c>
      <c r="D409" s="86" t="s">
        <v>888</v>
      </c>
      <c r="G409" s="6"/>
    </row>
    <row r="410" spans="1:7" ht="18.75">
      <c r="A410" s="82" t="s">
        <v>493</v>
      </c>
      <c r="B410" s="83"/>
      <c r="C410" s="86" t="s">
        <v>889</v>
      </c>
      <c r="D410" s="86" t="s">
        <v>890</v>
      </c>
      <c r="G410" s="6"/>
    </row>
    <row r="411" spans="1:7" ht="18.75">
      <c r="A411" s="82" t="s">
        <v>493</v>
      </c>
      <c r="B411" s="83"/>
      <c r="C411" s="86" t="s">
        <v>891</v>
      </c>
      <c r="D411" s="86" t="s">
        <v>892</v>
      </c>
      <c r="G411" s="6"/>
    </row>
    <row r="412" spans="1:7" ht="18.75">
      <c r="A412" s="82" t="s">
        <v>493</v>
      </c>
      <c r="B412" s="83"/>
      <c r="C412" s="86" t="s">
        <v>996</v>
      </c>
      <c r="D412" s="86" t="s">
        <v>893</v>
      </c>
      <c r="G412" s="6"/>
    </row>
    <row r="413" spans="1:7" ht="18.75">
      <c r="A413" s="82" t="s">
        <v>493</v>
      </c>
      <c r="B413" s="83"/>
      <c r="C413" s="86" t="s">
        <v>894</v>
      </c>
      <c r="D413" s="86" t="s">
        <v>895</v>
      </c>
      <c r="G413" s="6"/>
    </row>
    <row r="414" spans="1:7" ht="18.75">
      <c r="A414" s="82" t="s">
        <v>493</v>
      </c>
      <c r="B414" s="83"/>
      <c r="C414" s="86" t="s">
        <v>896</v>
      </c>
      <c r="D414" s="86" t="s">
        <v>897</v>
      </c>
      <c r="G414" s="6"/>
    </row>
    <row r="415" spans="1:7" ht="18.75">
      <c r="A415" s="82" t="s">
        <v>493</v>
      </c>
      <c r="B415" s="83"/>
      <c r="C415" s="97" t="s">
        <v>989</v>
      </c>
      <c r="D415" s="98" t="s">
        <v>564</v>
      </c>
      <c r="G415" s="6"/>
    </row>
    <row r="416" spans="1:7" ht="37.5">
      <c r="A416" s="82" t="s">
        <v>493</v>
      </c>
      <c r="B416" s="83"/>
      <c r="C416" s="97" t="s">
        <v>993</v>
      </c>
      <c r="D416" s="98" t="s">
        <v>992</v>
      </c>
      <c r="G416" s="6"/>
    </row>
    <row r="417" spans="1:7" ht="18.75">
      <c r="A417" s="82" t="s">
        <v>493</v>
      </c>
      <c r="B417" s="83"/>
      <c r="C417" s="97" t="s">
        <v>565</v>
      </c>
      <c r="D417" s="98" t="s">
        <v>771</v>
      </c>
      <c r="G417" s="6"/>
    </row>
    <row r="418" spans="1:7" ht="37.5">
      <c r="A418" s="82" t="s">
        <v>493</v>
      </c>
      <c r="B418" s="83"/>
      <c r="C418" s="97" t="s">
        <v>990</v>
      </c>
      <c r="D418" s="98" t="s">
        <v>991</v>
      </c>
      <c r="G418" s="6"/>
    </row>
    <row r="419" spans="1:7" ht="18.75">
      <c r="A419" s="87" t="s">
        <v>1438</v>
      </c>
      <c r="B419" s="87" t="s">
        <v>1341</v>
      </c>
      <c r="C419" s="91" t="s">
        <v>1439</v>
      </c>
      <c r="D419" s="91" t="s">
        <v>1440</v>
      </c>
    </row>
    <row r="420" spans="1:7" ht="18.75">
      <c r="A420" s="87" t="s">
        <v>1438</v>
      </c>
      <c r="B420" s="87" t="s">
        <v>1222</v>
      </c>
      <c r="C420" s="94" t="s">
        <v>1441</v>
      </c>
      <c r="D420" s="94" t="s">
        <v>1442</v>
      </c>
    </row>
    <row r="421" spans="1:7" ht="18.75">
      <c r="A421" s="87" t="s">
        <v>1438</v>
      </c>
      <c r="B421" s="87" t="s">
        <v>1074</v>
      </c>
      <c r="C421" s="91" t="s">
        <v>1443</v>
      </c>
      <c r="D421" s="93" t="s">
        <v>1444</v>
      </c>
    </row>
    <row r="422" spans="1:7" ht="18.75">
      <c r="A422" s="87" t="s">
        <v>1438</v>
      </c>
      <c r="B422" s="88" t="s">
        <v>1088</v>
      </c>
      <c r="C422" s="91" t="s">
        <v>1445</v>
      </c>
      <c r="D422" s="93" t="s">
        <v>1446</v>
      </c>
    </row>
    <row r="423" spans="1:7" ht="37.5">
      <c r="A423" s="87" t="s">
        <v>1438</v>
      </c>
      <c r="B423" s="88" t="s">
        <v>1088</v>
      </c>
      <c r="C423" s="94" t="s">
        <v>1447</v>
      </c>
      <c r="D423" s="94" t="s">
        <v>1448</v>
      </c>
    </row>
    <row r="424" spans="1:7" ht="37.5">
      <c r="A424" s="94" t="s">
        <v>1438</v>
      </c>
      <c r="B424" s="94" t="s">
        <v>1449</v>
      </c>
      <c r="C424" s="94" t="s">
        <v>1450</v>
      </c>
      <c r="D424" s="94" t="s">
        <v>1451</v>
      </c>
    </row>
    <row r="425" spans="1:7" ht="18.75">
      <c r="A425" s="82" t="s">
        <v>498</v>
      </c>
      <c r="B425" s="83"/>
      <c r="C425" s="86" t="s">
        <v>563</v>
      </c>
      <c r="D425" s="86" t="s">
        <v>472</v>
      </c>
      <c r="G425" s="6"/>
    </row>
    <row r="426" spans="1:7" ht="18.75">
      <c r="A426" s="82" t="s">
        <v>498</v>
      </c>
      <c r="B426" s="83"/>
      <c r="C426" s="86" t="s">
        <v>624</v>
      </c>
      <c r="D426" s="86" t="s">
        <v>625</v>
      </c>
      <c r="G426" s="6"/>
    </row>
    <row r="427" spans="1:7" ht="18.75">
      <c r="A427" s="82" t="s">
        <v>498</v>
      </c>
      <c r="B427" s="83"/>
      <c r="C427" s="86" t="s">
        <v>626</v>
      </c>
      <c r="D427" s="86" t="s">
        <v>625</v>
      </c>
      <c r="G427" s="6"/>
    </row>
    <row r="428" spans="1:7" ht="18.75">
      <c r="A428" s="82" t="s">
        <v>498</v>
      </c>
      <c r="B428" s="83"/>
      <c r="C428" s="86" t="s">
        <v>627</v>
      </c>
      <c r="D428" s="86" t="s">
        <v>625</v>
      </c>
      <c r="G428" s="6"/>
    </row>
    <row r="429" spans="1:7" ht="37.5">
      <c r="A429" s="82" t="s">
        <v>498</v>
      </c>
      <c r="B429" s="83"/>
      <c r="C429" s="86" t="s">
        <v>628</v>
      </c>
      <c r="D429" s="86" t="s">
        <v>629</v>
      </c>
      <c r="G429" s="6"/>
    </row>
    <row r="430" spans="1:7" ht="37.5">
      <c r="A430" s="82" t="s">
        <v>498</v>
      </c>
      <c r="B430" s="83"/>
      <c r="C430" s="86" t="s">
        <v>630</v>
      </c>
      <c r="D430" s="86" t="s">
        <v>784</v>
      </c>
      <c r="G430" s="6"/>
    </row>
    <row r="431" spans="1:7" ht="18.75">
      <c r="A431" s="82" t="s">
        <v>498</v>
      </c>
      <c r="B431" s="83"/>
      <c r="C431" s="86" t="s">
        <v>746</v>
      </c>
      <c r="D431" s="86" t="s">
        <v>631</v>
      </c>
      <c r="G431" s="6"/>
    </row>
    <row r="432" spans="1:7" ht="37.5">
      <c r="A432" s="117" t="s">
        <v>498</v>
      </c>
      <c r="B432" s="83"/>
      <c r="C432" s="84" t="s">
        <v>747</v>
      </c>
      <c r="D432" s="85" t="s">
        <v>632</v>
      </c>
      <c r="G432" s="6"/>
    </row>
    <row r="433" spans="1:7" ht="37.5">
      <c r="A433" s="117" t="s">
        <v>498</v>
      </c>
      <c r="B433" s="83"/>
      <c r="C433" s="84" t="s">
        <v>748</v>
      </c>
      <c r="D433" s="85" t="s">
        <v>633</v>
      </c>
      <c r="G433" s="6"/>
    </row>
    <row r="434" spans="1:7" ht="37.5">
      <c r="A434" s="118" t="s">
        <v>1452</v>
      </c>
      <c r="B434" s="88" t="s">
        <v>1161</v>
      </c>
      <c r="C434" s="89" t="s">
        <v>747</v>
      </c>
      <c r="D434" s="119" t="s">
        <v>632</v>
      </c>
    </row>
    <row r="435" spans="1:7" ht="18.75">
      <c r="A435" s="118" t="s">
        <v>1452</v>
      </c>
      <c r="B435" s="88" t="s">
        <v>1453</v>
      </c>
      <c r="C435" s="89" t="s">
        <v>624</v>
      </c>
      <c r="D435" s="119" t="s">
        <v>1454</v>
      </c>
    </row>
    <row r="436" spans="1:7" ht="37.5">
      <c r="A436" s="118" t="s">
        <v>1452</v>
      </c>
      <c r="B436" s="88" t="s">
        <v>1453</v>
      </c>
      <c r="C436" s="89" t="s">
        <v>630</v>
      </c>
      <c r="D436" s="92" t="s">
        <v>1455</v>
      </c>
    </row>
    <row r="437" spans="1:7" ht="37.5">
      <c r="A437" s="118" t="s">
        <v>1452</v>
      </c>
      <c r="B437" s="88" t="s">
        <v>1299</v>
      </c>
      <c r="C437" s="89" t="s">
        <v>686</v>
      </c>
      <c r="D437" s="92" t="s">
        <v>687</v>
      </c>
    </row>
    <row r="438" spans="1:7" ht="37.5">
      <c r="A438" s="118" t="s">
        <v>1452</v>
      </c>
      <c r="B438" s="88" t="s">
        <v>1299</v>
      </c>
      <c r="C438" s="89" t="s">
        <v>628</v>
      </c>
      <c r="D438" s="92" t="s">
        <v>629</v>
      </c>
    </row>
    <row r="439" spans="1:7" ht="18.75">
      <c r="A439" s="118" t="s">
        <v>1452</v>
      </c>
      <c r="B439" s="87" t="s">
        <v>1269</v>
      </c>
      <c r="C439" s="90" t="s">
        <v>1456</v>
      </c>
      <c r="D439" s="120" t="s">
        <v>1457</v>
      </c>
    </row>
    <row r="440" spans="1:7" ht="18.75">
      <c r="A440" s="118" t="s">
        <v>1452</v>
      </c>
      <c r="B440" s="87" t="s">
        <v>1453</v>
      </c>
      <c r="C440" s="90" t="s">
        <v>1458</v>
      </c>
      <c r="D440" s="120" t="s">
        <v>1459</v>
      </c>
    </row>
    <row r="441" spans="1:7" ht="18.75">
      <c r="A441" s="118" t="s">
        <v>1452</v>
      </c>
      <c r="B441" s="87" t="s">
        <v>1453</v>
      </c>
      <c r="C441" s="90" t="s">
        <v>1460</v>
      </c>
      <c r="D441" s="90" t="s">
        <v>1044</v>
      </c>
    </row>
    <row r="442" spans="1:7" ht="18.75">
      <c r="A442" s="118" t="s">
        <v>1452</v>
      </c>
      <c r="B442" s="87" t="s">
        <v>1461</v>
      </c>
      <c r="C442" s="90" t="s">
        <v>1462</v>
      </c>
      <c r="D442" s="90" t="s">
        <v>1463</v>
      </c>
    </row>
    <row r="443" spans="1:7" ht="18.75">
      <c r="A443" s="118" t="s">
        <v>1452</v>
      </c>
      <c r="B443" s="87" t="s">
        <v>1077</v>
      </c>
      <c r="C443" s="118" t="s">
        <v>1464</v>
      </c>
      <c r="D443" s="90" t="s">
        <v>1465</v>
      </c>
    </row>
    <row r="444" spans="1:7" ht="18.75">
      <c r="A444" s="118" t="s">
        <v>1452</v>
      </c>
      <c r="B444" s="88" t="s">
        <v>1046</v>
      </c>
      <c r="C444" s="90" t="s">
        <v>1466</v>
      </c>
      <c r="D444" s="120" t="s">
        <v>1467</v>
      </c>
    </row>
    <row r="445" spans="1:7" ht="18.75">
      <c r="A445" s="121" t="s">
        <v>1468</v>
      </c>
      <c r="B445" s="122" t="s">
        <v>1174</v>
      </c>
      <c r="C445" s="121" t="s">
        <v>1469</v>
      </c>
      <c r="D445" s="121" t="s">
        <v>1470</v>
      </c>
    </row>
    <row r="446" spans="1:7" ht="37.5">
      <c r="A446" s="121" t="s">
        <v>1468</v>
      </c>
      <c r="B446" s="122" t="s">
        <v>1174</v>
      </c>
      <c r="C446" s="121" t="s">
        <v>1471</v>
      </c>
      <c r="D446" s="121" t="s">
        <v>1472</v>
      </c>
    </row>
    <row r="447" spans="1:7" ht="18.75">
      <c r="A447" s="123" t="s">
        <v>1468</v>
      </c>
      <c r="B447" s="124" t="s">
        <v>1180</v>
      </c>
      <c r="C447" s="123" t="s">
        <v>1473</v>
      </c>
      <c r="D447" s="125" t="s">
        <v>1474</v>
      </c>
    </row>
    <row r="448" spans="1:7" ht="18.75">
      <c r="A448" s="123" t="s">
        <v>1468</v>
      </c>
      <c r="B448" s="126" t="s">
        <v>1475</v>
      </c>
      <c r="C448" s="123" t="s">
        <v>1476</v>
      </c>
      <c r="D448" s="125" t="s">
        <v>1477</v>
      </c>
    </row>
    <row r="449" spans="1:7" ht="18.75">
      <c r="A449" s="127" t="s">
        <v>1468</v>
      </c>
      <c r="B449" s="126" t="s">
        <v>1478</v>
      </c>
      <c r="C449" s="127" t="s">
        <v>1479</v>
      </c>
      <c r="D449" s="127" t="s">
        <v>1480</v>
      </c>
    </row>
    <row r="450" spans="1:7" ht="18.75">
      <c r="A450" s="123" t="s">
        <v>1468</v>
      </c>
      <c r="B450" s="124" t="s">
        <v>1184</v>
      </c>
      <c r="C450" s="123" t="s">
        <v>1481</v>
      </c>
      <c r="D450" s="125" t="s">
        <v>1482</v>
      </c>
    </row>
    <row r="451" spans="1:7" ht="56.25">
      <c r="A451" s="122" t="s">
        <v>1468</v>
      </c>
      <c r="B451" s="122" t="s">
        <v>1277</v>
      </c>
      <c r="C451" s="122" t="s">
        <v>1483</v>
      </c>
      <c r="D451" s="122" t="s">
        <v>1484</v>
      </c>
    </row>
    <row r="452" spans="1:7" ht="56.25">
      <c r="A452" s="122" t="s">
        <v>1468</v>
      </c>
      <c r="B452" s="122" t="s">
        <v>1277</v>
      </c>
      <c r="C452" s="122" t="s">
        <v>1485</v>
      </c>
      <c r="D452" s="122" t="s">
        <v>1486</v>
      </c>
    </row>
    <row r="453" spans="1:7" ht="18.75">
      <c r="A453" s="122" t="s">
        <v>1468</v>
      </c>
      <c r="B453" s="124" t="s">
        <v>1487</v>
      </c>
      <c r="C453" s="122" t="s">
        <v>636</v>
      </c>
      <c r="D453" s="122" t="s">
        <v>1488</v>
      </c>
    </row>
    <row r="454" spans="1:7" ht="18.75">
      <c r="A454" s="122" t="s">
        <v>1468</v>
      </c>
      <c r="B454" s="124" t="s">
        <v>1193</v>
      </c>
      <c r="C454" s="122" t="s">
        <v>1489</v>
      </c>
      <c r="D454" s="122" t="s">
        <v>1490</v>
      </c>
    </row>
    <row r="455" spans="1:7" ht="18.75">
      <c r="A455" s="122" t="s">
        <v>1468</v>
      </c>
      <c r="B455" s="122" t="s">
        <v>1077</v>
      </c>
      <c r="C455" s="122" t="s">
        <v>1203</v>
      </c>
      <c r="D455" s="122" t="s">
        <v>1491</v>
      </c>
    </row>
    <row r="456" spans="1:7" ht="18.75">
      <c r="A456" s="122" t="s">
        <v>1468</v>
      </c>
      <c r="B456" s="122" t="s">
        <v>1077</v>
      </c>
      <c r="C456" s="122" t="s">
        <v>1492</v>
      </c>
      <c r="D456" s="122" t="s">
        <v>1493</v>
      </c>
    </row>
    <row r="457" spans="1:7" ht="18.75">
      <c r="A457" s="122" t="s">
        <v>1468</v>
      </c>
      <c r="B457" s="126" t="s">
        <v>1208</v>
      </c>
      <c r="C457" s="122" t="s">
        <v>635</v>
      </c>
      <c r="D457" s="122" t="s">
        <v>786</v>
      </c>
    </row>
    <row r="458" spans="1:7" ht="18.75">
      <c r="A458" s="122" t="s">
        <v>1468</v>
      </c>
      <c r="B458" s="124" t="s">
        <v>1494</v>
      </c>
      <c r="C458" s="122" t="s">
        <v>1495</v>
      </c>
      <c r="D458" s="122" t="s">
        <v>1496</v>
      </c>
    </row>
    <row r="459" spans="1:7" ht="18.75">
      <c r="A459" s="124" t="s">
        <v>1468</v>
      </c>
      <c r="B459" s="124" t="s">
        <v>1494</v>
      </c>
      <c r="C459" s="124" t="s">
        <v>1497</v>
      </c>
      <c r="D459" s="128" t="s">
        <v>1498</v>
      </c>
    </row>
    <row r="460" spans="1:7" ht="18.75">
      <c r="A460" s="122" t="s">
        <v>1468</v>
      </c>
      <c r="B460" s="126" t="s">
        <v>1299</v>
      </c>
      <c r="C460" s="122" t="s">
        <v>1499</v>
      </c>
      <c r="D460" s="122" t="s">
        <v>1500</v>
      </c>
    </row>
    <row r="461" spans="1:7" ht="18.75">
      <c r="A461" s="122" t="s">
        <v>1468</v>
      </c>
      <c r="B461" s="126" t="s">
        <v>1299</v>
      </c>
      <c r="C461" s="122" t="s">
        <v>1501</v>
      </c>
      <c r="D461" s="122" t="s">
        <v>1502</v>
      </c>
    </row>
    <row r="462" spans="1:7" ht="18.75">
      <c r="A462" s="129" t="s">
        <v>1468</v>
      </c>
      <c r="B462" s="122" t="s">
        <v>1368</v>
      </c>
      <c r="C462" s="122" t="s">
        <v>1503</v>
      </c>
      <c r="D462" s="122" t="s">
        <v>1504</v>
      </c>
    </row>
    <row r="463" spans="1:7" ht="18.75">
      <c r="A463" s="122" t="s">
        <v>1468</v>
      </c>
      <c r="B463" s="124" t="s">
        <v>1222</v>
      </c>
      <c r="C463" s="122" t="s">
        <v>1505</v>
      </c>
      <c r="D463" s="122" t="s">
        <v>1506</v>
      </c>
    </row>
    <row r="464" spans="1:7" ht="18.75">
      <c r="A464" s="82" t="s">
        <v>730</v>
      </c>
      <c r="B464" s="83"/>
      <c r="C464" s="86" t="s">
        <v>731</v>
      </c>
      <c r="D464" s="86" t="s">
        <v>909</v>
      </c>
      <c r="G464" s="6"/>
    </row>
    <row r="465" spans="1:7" ht="18.75">
      <c r="A465" s="82" t="s">
        <v>730</v>
      </c>
      <c r="B465" s="83"/>
      <c r="C465" s="86" t="s">
        <v>732</v>
      </c>
      <c r="D465" s="86" t="s">
        <v>910</v>
      </c>
      <c r="G465" s="6"/>
    </row>
    <row r="466" spans="1:7" ht="37.5">
      <c r="A466" s="82" t="s">
        <v>730</v>
      </c>
      <c r="B466" s="83"/>
      <c r="C466" s="86" t="s">
        <v>733</v>
      </c>
      <c r="D466" s="86" t="s">
        <v>832</v>
      </c>
      <c r="G466" s="6"/>
    </row>
    <row r="467" spans="1:7" ht="18.75">
      <c r="A467" s="82" t="s">
        <v>730</v>
      </c>
      <c r="B467" s="83"/>
      <c r="C467" s="86" t="s">
        <v>734</v>
      </c>
      <c r="D467" s="86" t="s">
        <v>911</v>
      </c>
      <c r="G467" s="6"/>
    </row>
    <row r="468" spans="1:7" ht="18.75">
      <c r="A468" s="82" t="s">
        <v>730</v>
      </c>
      <c r="B468" s="83"/>
      <c r="C468" s="86" t="s">
        <v>912</v>
      </c>
      <c r="D468" s="86" t="s">
        <v>913</v>
      </c>
      <c r="G468" s="6"/>
    </row>
    <row r="469" spans="1:7" ht="18.75">
      <c r="A469" s="82" t="s">
        <v>730</v>
      </c>
      <c r="B469" s="83"/>
      <c r="C469" s="86" t="s">
        <v>735</v>
      </c>
      <c r="D469" s="86" t="s">
        <v>914</v>
      </c>
      <c r="G469" s="6"/>
    </row>
    <row r="470" spans="1:7" ht="18.75">
      <c r="A470" s="82" t="s">
        <v>730</v>
      </c>
      <c r="B470" s="83"/>
      <c r="C470" s="86" t="s">
        <v>713</v>
      </c>
      <c r="D470" s="86" t="s">
        <v>823</v>
      </c>
      <c r="G470" s="6"/>
    </row>
    <row r="471" spans="1:7" ht="18.75">
      <c r="A471" s="82" t="s">
        <v>730</v>
      </c>
      <c r="B471" s="83"/>
      <c r="C471" s="86" t="s">
        <v>712</v>
      </c>
      <c r="D471" s="86" t="s">
        <v>915</v>
      </c>
      <c r="G471" s="6"/>
    </row>
    <row r="472" spans="1:7" ht="18.75">
      <c r="A472" s="82" t="s">
        <v>730</v>
      </c>
      <c r="B472" s="83"/>
      <c r="C472" s="97" t="s">
        <v>989</v>
      </c>
      <c r="D472" s="98" t="s">
        <v>564</v>
      </c>
      <c r="G472" s="6"/>
    </row>
    <row r="473" spans="1:7" ht="37.5">
      <c r="A473" s="82" t="s">
        <v>730</v>
      </c>
      <c r="B473" s="83"/>
      <c r="C473" s="97" t="s">
        <v>993</v>
      </c>
      <c r="D473" s="98" t="s">
        <v>992</v>
      </c>
      <c r="G473" s="6"/>
    </row>
    <row r="474" spans="1:7" ht="18.75">
      <c r="A474" s="82" t="s">
        <v>730</v>
      </c>
      <c r="B474" s="83"/>
      <c r="C474" s="97" t="s">
        <v>565</v>
      </c>
      <c r="D474" s="98" t="s">
        <v>771</v>
      </c>
      <c r="G474" s="6"/>
    </row>
    <row r="475" spans="1:7" ht="37.5">
      <c r="A475" s="82" t="s">
        <v>730</v>
      </c>
      <c r="B475" s="83"/>
      <c r="C475" s="97" t="s">
        <v>990</v>
      </c>
      <c r="D475" s="98" t="s">
        <v>991</v>
      </c>
      <c r="G475" s="6"/>
    </row>
    <row r="476" spans="1:7" ht="18.75">
      <c r="A476" s="130" t="s">
        <v>730</v>
      </c>
      <c r="B476" s="130" t="s">
        <v>1335</v>
      </c>
      <c r="C476" s="130" t="s">
        <v>1507</v>
      </c>
      <c r="D476" s="131" t="s">
        <v>1044</v>
      </c>
    </row>
    <row r="477" spans="1:7" ht="18.75">
      <c r="A477" s="130" t="s">
        <v>730</v>
      </c>
      <c r="B477" s="130" t="s">
        <v>1335</v>
      </c>
      <c r="C477" s="130" t="s">
        <v>1508</v>
      </c>
      <c r="D477" s="131" t="s">
        <v>1044</v>
      </c>
    </row>
    <row r="478" spans="1:7" ht="37.5">
      <c r="A478" s="130" t="s">
        <v>730</v>
      </c>
      <c r="B478" s="130" t="s">
        <v>1335</v>
      </c>
      <c r="C478" s="131" t="s">
        <v>1509</v>
      </c>
      <c r="D478" s="131" t="s">
        <v>1510</v>
      </c>
    </row>
    <row r="479" spans="1:7" ht="18.75">
      <c r="A479" s="130" t="s">
        <v>730</v>
      </c>
      <c r="B479" s="130" t="s">
        <v>1335</v>
      </c>
      <c r="C479" s="131" t="s">
        <v>1511</v>
      </c>
      <c r="D479" s="131" t="s">
        <v>1512</v>
      </c>
    </row>
    <row r="480" spans="1:7" ht="18.75">
      <c r="A480" s="130" t="s">
        <v>730</v>
      </c>
      <c r="B480" s="130" t="s">
        <v>1335</v>
      </c>
      <c r="C480" s="131" t="s">
        <v>1513</v>
      </c>
      <c r="D480" s="131" t="s">
        <v>1514</v>
      </c>
    </row>
    <row r="481" spans="1:7" ht="51.6" customHeight="1">
      <c r="A481" s="130" t="s">
        <v>730</v>
      </c>
      <c r="B481" s="130" t="s">
        <v>1338</v>
      </c>
      <c r="C481" s="130" t="s">
        <v>1515</v>
      </c>
      <c r="D481" s="131" t="s">
        <v>1044</v>
      </c>
    </row>
    <row r="482" spans="1:7" ht="18.75">
      <c r="A482" s="130" t="s">
        <v>730</v>
      </c>
      <c r="B482" s="130" t="s">
        <v>1338</v>
      </c>
      <c r="C482" s="130" t="s">
        <v>1516</v>
      </c>
      <c r="D482" s="131" t="s">
        <v>1044</v>
      </c>
    </row>
    <row r="483" spans="1:7" ht="37.5">
      <c r="A483" s="130" t="s">
        <v>730</v>
      </c>
      <c r="B483" s="130" t="s">
        <v>1338</v>
      </c>
      <c r="C483" s="131" t="s">
        <v>1517</v>
      </c>
      <c r="D483" s="131" t="s">
        <v>1518</v>
      </c>
    </row>
    <row r="484" spans="1:7" ht="37.5">
      <c r="A484" s="130" t="s">
        <v>730</v>
      </c>
      <c r="B484" s="130" t="s">
        <v>1048</v>
      </c>
      <c r="C484" s="132" t="s">
        <v>1519</v>
      </c>
      <c r="D484" s="131" t="s">
        <v>1520</v>
      </c>
    </row>
    <row r="485" spans="1:7" ht="18.75">
      <c r="A485" s="82" t="s">
        <v>739</v>
      </c>
      <c r="B485" s="83"/>
      <c r="C485" s="86" t="s">
        <v>740</v>
      </c>
      <c r="D485" s="86" t="s">
        <v>831</v>
      </c>
      <c r="G485" s="6"/>
    </row>
    <row r="486" spans="1:7" ht="37.5">
      <c r="A486" s="82" t="s">
        <v>739</v>
      </c>
      <c r="B486" s="83"/>
      <c r="C486" s="86" t="s">
        <v>733</v>
      </c>
      <c r="D486" s="86" t="s">
        <v>832</v>
      </c>
      <c r="G486" s="6"/>
    </row>
    <row r="487" spans="1:7" ht="18.75">
      <c r="A487" s="82" t="s">
        <v>739</v>
      </c>
      <c r="B487" s="83"/>
      <c r="C487" s="86" t="s">
        <v>741</v>
      </c>
      <c r="D487" s="86"/>
      <c r="G487" s="6"/>
    </row>
    <row r="488" spans="1:7" ht="18.75">
      <c r="A488" s="82" t="s">
        <v>739</v>
      </c>
      <c r="B488" s="83"/>
      <c r="C488" s="86" t="s">
        <v>742</v>
      </c>
      <c r="D488" s="86" t="s">
        <v>833</v>
      </c>
      <c r="G488" s="6"/>
    </row>
    <row r="489" spans="1:7" ht="18.75">
      <c r="A489" s="82" t="s">
        <v>739</v>
      </c>
      <c r="B489" s="83"/>
      <c r="C489" s="86" t="s">
        <v>743</v>
      </c>
      <c r="D489" s="86"/>
      <c r="G489" s="6"/>
    </row>
    <row r="490" spans="1:7" ht="18.75">
      <c r="A490" s="82" t="s">
        <v>739</v>
      </c>
      <c r="B490" s="83"/>
      <c r="C490" s="86" t="s">
        <v>735</v>
      </c>
      <c r="D490" s="86" t="s">
        <v>736</v>
      </c>
      <c r="G490" s="6"/>
    </row>
    <row r="491" spans="1:7" ht="18.75">
      <c r="A491" s="82" t="s">
        <v>739</v>
      </c>
      <c r="B491" s="83"/>
      <c r="C491" s="86" t="s">
        <v>713</v>
      </c>
      <c r="D491" s="86" t="s">
        <v>714</v>
      </c>
      <c r="G491" s="6"/>
    </row>
    <row r="492" spans="1:7" ht="18.75">
      <c r="A492" s="82" t="s">
        <v>739</v>
      </c>
      <c r="B492" s="83"/>
      <c r="C492" s="86" t="s">
        <v>712</v>
      </c>
      <c r="D492" s="86" t="s">
        <v>720</v>
      </c>
      <c r="G492" s="6"/>
    </row>
    <row r="493" spans="1:7" ht="18.75">
      <c r="A493" s="82" t="s">
        <v>739</v>
      </c>
      <c r="B493" s="83"/>
      <c r="C493" s="86" t="s">
        <v>744</v>
      </c>
      <c r="D493" s="86" t="s">
        <v>745</v>
      </c>
      <c r="G493" s="6"/>
    </row>
    <row r="494" spans="1:7" ht="18.75">
      <c r="A494" s="82" t="s">
        <v>739</v>
      </c>
      <c r="B494" s="83"/>
      <c r="C494" s="86" t="s">
        <v>737</v>
      </c>
      <c r="D494" s="86" t="s">
        <v>738</v>
      </c>
      <c r="G494" s="6"/>
    </row>
    <row r="495" spans="1:7" ht="18.75">
      <c r="A495" s="82" t="s">
        <v>739</v>
      </c>
      <c r="B495" s="83"/>
      <c r="C495" s="97" t="s">
        <v>989</v>
      </c>
      <c r="D495" s="98" t="s">
        <v>564</v>
      </c>
      <c r="G495" s="6"/>
    </row>
    <row r="496" spans="1:7" ht="37.5">
      <c r="A496" s="82" t="s">
        <v>739</v>
      </c>
      <c r="B496" s="83"/>
      <c r="C496" s="97" t="s">
        <v>993</v>
      </c>
      <c r="D496" s="98" t="s">
        <v>992</v>
      </c>
      <c r="G496" s="6"/>
    </row>
    <row r="497" spans="1:7" ht="18.75">
      <c r="A497" s="82" t="s">
        <v>739</v>
      </c>
      <c r="B497" s="83"/>
      <c r="C497" s="97" t="s">
        <v>565</v>
      </c>
      <c r="D497" s="98" t="s">
        <v>771</v>
      </c>
      <c r="G497" s="6"/>
    </row>
    <row r="498" spans="1:7" ht="37.5">
      <c r="A498" s="82" t="s">
        <v>739</v>
      </c>
      <c r="B498" s="83"/>
      <c r="C498" s="97" t="s">
        <v>990</v>
      </c>
      <c r="D498" s="98" t="s">
        <v>991</v>
      </c>
      <c r="G498" s="6"/>
    </row>
    <row r="499" spans="1:7" ht="18.75">
      <c r="A499" s="130" t="s">
        <v>739</v>
      </c>
      <c r="B499" s="130" t="s">
        <v>1338</v>
      </c>
      <c r="C499" s="130" t="s">
        <v>1515</v>
      </c>
      <c r="D499" s="131" t="s">
        <v>1044</v>
      </c>
    </row>
    <row r="500" spans="1:7" ht="18.75">
      <c r="A500" s="130" t="s">
        <v>739</v>
      </c>
      <c r="B500" s="130" t="s">
        <v>1338</v>
      </c>
      <c r="C500" s="130" t="s">
        <v>1516</v>
      </c>
      <c r="D500" s="131" t="s">
        <v>1044</v>
      </c>
    </row>
    <row r="501" spans="1:7" ht="37.5">
      <c r="A501" s="130" t="s">
        <v>739</v>
      </c>
      <c r="B501" s="130" t="s">
        <v>1048</v>
      </c>
      <c r="C501" s="132" t="s">
        <v>1519</v>
      </c>
      <c r="D501" s="131" t="s">
        <v>1520</v>
      </c>
    </row>
    <row r="502" spans="1:7" ht="37.5">
      <c r="A502" s="82" t="str">
        <f>Functietitels!A24</f>
        <v>Wareh Oper</v>
      </c>
      <c r="B502" s="83"/>
      <c r="C502" s="86" t="s">
        <v>964</v>
      </c>
      <c r="D502" s="86" t="s">
        <v>967</v>
      </c>
      <c r="G502" s="6"/>
    </row>
    <row r="503" spans="1:7" ht="37.5">
      <c r="A503" s="82" t="str">
        <f t="shared" ref="A503:A514" si="2">A502</f>
        <v>Wareh Oper</v>
      </c>
      <c r="B503" s="83"/>
      <c r="C503" s="86" t="s">
        <v>965</v>
      </c>
      <c r="D503" s="86" t="s">
        <v>966</v>
      </c>
      <c r="G503" s="6"/>
    </row>
    <row r="504" spans="1:7" ht="37.5">
      <c r="A504" s="82" t="str">
        <f t="shared" si="2"/>
        <v>Wareh Oper</v>
      </c>
      <c r="B504" s="83"/>
      <c r="C504" s="86" t="s">
        <v>969</v>
      </c>
      <c r="D504" s="86" t="s">
        <v>968</v>
      </c>
      <c r="G504" s="6"/>
    </row>
    <row r="505" spans="1:7" ht="18.75">
      <c r="A505" s="82" t="str">
        <f t="shared" si="2"/>
        <v>Wareh Oper</v>
      </c>
      <c r="B505" s="83"/>
      <c r="C505" s="86" t="s">
        <v>971</v>
      </c>
      <c r="D505" s="86" t="s">
        <v>970</v>
      </c>
      <c r="G505" s="6"/>
    </row>
    <row r="506" spans="1:7" ht="18.75">
      <c r="A506" s="82" t="str">
        <f t="shared" si="2"/>
        <v>Wareh Oper</v>
      </c>
      <c r="B506" s="83"/>
      <c r="C506" s="86" t="s">
        <v>972</v>
      </c>
      <c r="D506" s="86" t="s">
        <v>973</v>
      </c>
      <c r="G506" s="6"/>
    </row>
    <row r="507" spans="1:7" ht="18.75">
      <c r="A507" s="82" t="str">
        <f t="shared" si="2"/>
        <v>Wareh Oper</v>
      </c>
      <c r="B507" s="83"/>
      <c r="C507" s="86" t="s">
        <v>974</v>
      </c>
      <c r="D507" s="86" t="s">
        <v>975</v>
      </c>
      <c r="G507" s="6"/>
    </row>
    <row r="508" spans="1:7" ht="18.75">
      <c r="A508" s="82" t="str">
        <f t="shared" si="2"/>
        <v>Wareh Oper</v>
      </c>
      <c r="B508" s="83"/>
      <c r="C508" s="86" t="s">
        <v>976</v>
      </c>
      <c r="D508" s="86" t="s">
        <v>977</v>
      </c>
      <c r="G508" s="6"/>
    </row>
    <row r="509" spans="1:7" ht="18.75">
      <c r="A509" s="82" t="str">
        <f t="shared" si="2"/>
        <v>Wareh Oper</v>
      </c>
      <c r="B509" s="83"/>
      <c r="C509" s="86" t="s">
        <v>978</v>
      </c>
      <c r="D509" s="86" t="s">
        <v>979</v>
      </c>
      <c r="G509" s="6"/>
    </row>
    <row r="510" spans="1:7" ht="18.75">
      <c r="A510" s="82" t="str">
        <f t="shared" si="2"/>
        <v>Wareh Oper</v>
      </c>
      <c r="B510" s="83"/>
      <c r="C510" s="86" t="s">
        <v>980</v>
      </c>
      <c r="D510" s="86" t="s">
        <v>981</v>
      </c>
      <c r="G510" s="6"/>
    </row>
    <row r="511" spans="1:7" ht="18.75">
      <c r="A511" s="82" t="str">
        <f t="shared" si="2"/>
        <v>Wareh Oper</v>
      </c>
      <c r="B511" s="83"/>
      <c r="C511" s="86" t="s">
        <v>982</v>
      </c>
      <c r="D511" s="86" t="s">
        <v>983</v>
      </c>
      <c r="G511" s="6"/>
    </row>
    <row r="512" spans="1:7" ht="18.75">
      <c r="A512" s="82" t="str">
        <f t="shared" si="2"/>
        <v>Wareh Oper</v>
      </c>
      <c r="B512" s="83"/>
      <c r="C512" s="86" t="s">
        <v>984</v>
      </c>
      <c r="D512" s="86" t="s">
        <v>977</v>
      </c>
      <c r="G512" s="6"/>
    </row>
    <row r="513" spans="1:7" ht="18.75">
      <c r="A513" s="82" t="str">
        <f t="shared" si="2"/>
        <v>Wareh Oper</v>
      </c>
      <c r="B513" s="83"/>
      <c r="C513" s="86" t="s">
        <v>985</v>
      </c>
      <c r="D513" s="86" t="s">
        <v>986</v>
      </c>
      <c r="G513" s="6"/>
    </row>
    <row r="514" spans="1:7" ht="37.5">
      <c r="A514" s="82" t="str">
        <f t="shared" si="2"/>
        <v>Wareh Oper</v>
      </c>
      <c r="B514" s="83"/>
      <c r="C514" s="86" t="s">
        <v>987</v>
      </c>
      <c r="D514" s="86" t="s">
        <v>988</v>
      </c>
      <c r="G514" s="6"/>
    </row>
    <row r="515" spans="1:7" ht="18.75">
      <c r="A515" s="130" t="s">
        <v>1521</v>
      </c>
      <c r="B515" s="133" t="s">
        <v>1522</v>
      </c>
      <c r="C515" s="134" t="s">
        <v>566</v>
      </c>
      <c r="D515" s="135" t="s">
        <v>772</v>
      </c>
    </row>
    <row r="516" spans="1:7" ht="37.5">
      <c r="A516" s="130" t="s">
        <v>1521</v>
      </c>
      <c r="B516" s="130" t="s">
        <v>1077</v>
      </c>
      <c r="C516" s="131" t="s">
        <v>1523</v>
      </c>
      <c r="D516" s="131" t="s">
        <v>1524</v>
      </c>
    </row>
    <row r="517" spans="1:7" ht="37.5">
      <c r="A517" s="130" t="s">
        <v>1521</v>
      </c>
      <c r="B517" s="133" t="s">
        <v>1525</v>
      </c>
      <c r="C517" s="134" t="s">
        <v>577</v>
      </c>
      <c r="D517" s="135" t="s">
        <v>1526</v>
      </c>
    </row>
    <row r="518" spans="1:7" ht="18.75">
      <c r="A518" s="130" t="s">
        <v>1521</v>
      </c>
      <c r="B518" s="133" t="s">
        <v>1527</v>
      </c>
      <c r="C518" s="134" t="s">
        <v>579</v>
      </c>
      <c r="D518" s="135" t="s">
        <v>782</v>
      </c>
    </row>
    <row r="519" spans="1:7" ht="18.75">
      <c r="A519" s="130" t="s">
        <v>1521</v>
      </c>
      <c r="B519" s="130" t="s">
        <v>1528</v>
      </c>
      <c r="C519" s="130" t="s">
        <v>1529</v>
      </c>
      <c r="D519" s="136" t="s">
        <v>1261</v>
      </c>
    </row>
    <row r="520" spans="1:7" ht="18.75">
      <c r="A520" s="130" t="s">
        <v>1521</v>
      </c>
      <c r="B520" s="130" t="s">
        <v>1077</v>
      </c>
      <c r="C520" s="131" t="s">
        <v>1530</v>
      </c>
      <c r="D520" s="131" t="s">
        <v>1531</v>
      </c>
    </row>
  </sheetData>
  <autoFilter ref="A1:G614" xr:uid="{9E62DCC2-9DF5-44F4-AB2A-80DC1DC5E662}"/>
  <sortState xmlns:xlrd2="http://schemas.microsoft.com/office/spreadsheetml/2017/richdata2" ref="A2:G520">
    <sortCondition ref="A2"/>
  </sortState>
  <hyperlinks>
    <hyperlink ref="C188" r:id="rId1" display="Happy@work:de goede samenwerking in het bedrijf (SILO)" xr:uid="{67F04715-D214-4BBF-ABED-CC980E5745B5}"/>
    <hyperlink ref="C189" r:id="rId2" display="Happy@work de goede sfeer in het bedrijf ('Fun' Manager)" xr:uid="{36C7B6B5-2745-4F75-A920-72D50E065306}"/>
    <hyperlink ref="B189" r:id="rId3" xr:uid="{0F05C941-3B3D-40D4-81DF-89389E9B64B0}"/>
    <hyperlink ref="B173" r:id="rId4" display="Happy@work" xr:uid="{A78C93DB-4AF7-4489-BE6C-06BB165BDDD6}"/>
  </hyperlinks>
  <pageMargins left="0.7" right="0.7" top="0.75" bottom="0.75" header="0.3" footer="0.3"/>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C7B2A-6904-4BF8-A9CF-18DF1C17ED55}">
  <sheetPr codeName="Blad11"/>
  <dimension ref="B1:L29"/>
  <sheetViews>
    <sheetView workbookViewId="0">
      <selection activeCell="C32" sqref="C32"/>
    </sheetView>
  </sheetViews>
  <sheetFormatPr defaultRowHeight="15"/>
  <cols>
    <col min="1" max="1" width="2.7109375" customWidth="1"/>
    <col min="2" max="2" width="15.85546875" bestFit="1" customWidth="1"/>
    <col min="3" max="3" width="36" bestFit="1" customWidth="1"/>
    <col min="4" max="12" width="9.140625" style="8"/>
  </cols>
  <sheetData>
    <row r="1" spans="2:12" s="1" customFormat="1">
      <c r="D1" s="8"/>
      <c r="E1" s="8"/>
      <c r="F1" s="8"/>
      <c r="G1" s="8"/>
      <c r="H1" s="8"/>
      <c r="I1" s="8"/>
      <c r="J1" s="8"/>
      <c r="K1" s="8"/>
      <c r="L1" s="8"/>
    </row>
    <row r="2" spans="2:12" s="1" customFormat="1" ht="15.75" thickBot="1">
      <c r="D2" s="8"/>
      <c r="E2" s="8"/>
      <c r="F2" s="8"/>
      <c r="G2" s="8"/>
      <c r="H2" s="8"/>
      <c r="I2" s="8"/>
      <c r="J2" s="8"/>
      <c r="K2" s="8"/>
      <c r="L2" s="8"/>
    </row>
    <row r="3" spans="2:12" ht="27" thickBot="1">
      <c r="B3" s="411" t="s">
        <v>474</v>
      </c>
      <c r="C3" s="412"/>
      <c r="D3" s="22">
        <v>1</v>
      </c>
      <c r="E3" s="22">
        <v>2</v>
      </c>
      <c r="F3" s="22">
        <v>3</v>
      </c>
      <c r="G3" s="22">
        <v>4</v>
      </c>
      <c r="H3" s="22">
        <v>5</v>
      </c>
      <c r="I3" s="22">
        <v>6</v>
      </c>
      <c r="J3" s="22">
        <v>7</v>
      </c>
      <c r="K3" s="22">
        <v>8</v>
      </c>
      <c r="L3" s="23">
        <v>9</v>
      </c>
    </row>
    <row r="4" spans="2:12">
      <c r="B4" s="24" t="str">
        <f>Functietitels!A4</f>
        <v>Aquion</v>
      </c>
      <c r="C4" s="25" t="str">
        <f>Functietitels!B4</f>
        <v>Aquion</v>
      </c>
      <c r="D4" s="36"/>
      <c r="E4" s="36"/>
      <c r="F4" s="36"/>
      <c r="G4" s="36"/>
      <c r="H4" s="36"/>
      <c r="I4" s="36"/>
      <c r="J4" s="36"/>
      <c r="K4" s="36"/>
      <c r="L4" s="37"/>
    </row>
    <row r="5" spans="2:12">
      <c r="B5" s="26" t="str">
        <f>Functietitels!A5</f>
        <v>GM</v>
      </c>
      <c r="C5" s="27" t="str">
        <f>Functietitels!B5</f>
        <v>General Manager</v>
      </c>
      <c r="D5" s="28">
        <v>113</v>
      </c>
      <c r="E5" s="28">
        <v>143</v>
      </c>
      <c r="F5" s="28">
        <v>163</v>
      </c>
      <c r="G5" s="28">
        <v>223</v>
      </c>
      <c r="H5" s="28">
        <v>413</v>
      </c>
      <c r="I5" s="28">
        <v>562</v>
      </c>
      <c r="J5" s="28">
        <v>723</v>
      </c>
      <c r="K5" s="28">
        <v>343</v>
      </c>
      <c r="L5" s="29"/>
    </row>
    <row r="6" spans="2:12">
      <c r="B6" s="26" t="str">
        <f>Functietitels!A6</f>
        <v>S&amp;M Mgr</v>
      </c>
      <c r="C6" s="27" t="str">
        <f>Functietitels!B6</f>
        <v>Sales &amp; Marketing Manager</v>
      </c>
      <c r="D6" s="28"/>
      <c r="E6" s="28"/>
      <c r="F6" s="28"/>
      <c r="G6" s="28"/>
      <c r="H6" s="28"/>
      <c r="I6" s="28"/>
      <c r="J6" s="28"/>
      <c r="K6" s="28"/>
      <c r="L6" s="29"/>
    </row>
    <row r="7" spans="2:12">
      <c r="B7" s="26" t="str">
        <f>Functietitels!A7</f>
        <v>Int Sales Rep</v>
      </c>
      <c r="C7" s="27" t="str">
        <f>Functietitels!B7</f>
        <v>International Sales Representative</v>
      </c>
      <c r="D7" s="28"/>
      <c r="E7" s="28"/>
      <c r="F7" s="28"/>
      <c r="G7" s="28"/>
      <c r="H7" s="28"/>
      <c r="I7" s="28"/>
      <c r="J7" s="28"/>
      <c r="K7" s="28"/>
      <c r="L7" s="29"/>
    </row>
    <row r="8" spans="2:12">
      <c r="B8" s="26" t="str">
        <f>Functietitels!A11</f>
        <v>Ins Sales Emp</v>
      </c>
      <c r="C8" s="27" t="str">
        <f>Functietitels!B11</f>
        <v>Inside Sales Employee</v>
      </c>
      <c r="D8" s="28"/>
      <c r="E8" s="28"/>
      <c r="F8" s="28"/>
      <c r="G8" s="28"/>
      <c r="H8" s="28"/>
      <c r="I8" s="28"/>
      <c r="J8" s="28"/>
      <c r="K8" s="28"/>
      <c r="L8" s="29"/>
    </row>
    <row r="9" spans="2:12">
      <c r="B9" s="26" t="e">
        <f>Functietitels!#REF!</f>
        <v>#REF!</v>
      </c>
      <c r="C9" s="27" t="e">
        <f>Functietitels!#REF!</f>
        <v>#REF!</v>
      </c>
      <c r="D9" s="28"/>
      <c r="E9" s="28"/>
      <c r="F9" s="28"/>
      <c r="G9" s="28"/>
      <c r="H9" s="28"/>
      <c r="I9" s="28"/>
      <c r="J9" s="28"/>
      <c r="K9" s="28"/>
      <c r="L9" s="29"/>
    </row>
    <row r="10" spans="2:12">
      <c r="B10" s="26" t="str">
        <f>Functietitels!A16</f>
        <v>OPS Mgr</v>
      </c>
      <c r="C10" s="27" t="str">
        <f>Functietitels!B16</f>
        <v>Operations Manager</v>
      </c>
      <c r="D10" s="28"/>
      <c r="E10" s="28"/>
      <c r="F10" s="28"/>
      <c r="G10" s="28"/>
      <c r="H10" s="28"/>
      <c r="I10" s="28"/>
      <c r="J10" s="28"/>
      <c r="K10" s="28"/>
      <c r="L10" s="29"/>
    </row>
    <row r="11" spans="2:12">
      <c r="B11" s="26" t="str">
        <f>Functietitels!A17</f>
        <v>Prod Resp</v>
      </c>
      <c r="C11" s="27" t="str">
        <f>Functietitels!B17</f>
        <v>Production Responsible</v>
      </c>
      <c r="D11" s="28"/>
      <c r="E11" s="28"/>
      <c r="F11" s="28"/>
      <c r="G11" s="28"/>
      <c r="H11" s="28"/>
      <c r="I11" s="28"/>
      <c r="J11" s="28"/>
      <c r="K11" s="28"/>
      <c r="L11" s="29"/>
    </row>
    <row r="12" spans="2:12">
      <c r="B12" s="26" t="str">
        <f>Functietitels!A18</f>
        <v>Engin Emp</v>
      </c>
      <c r="C12" s="27" t="str">
        <f>Functietitels!B18</f>
        <v>Engineering Employee</v>
      </c>
      <c r="D12" s="28"/>
      <c r="E12" s="28"/>
      <c r="F12" s="28"/>
      <c r="G12" s="28"/>
      <c r="H12" s="28"/>
      <c r="I12" s="28"/>
      <c r="J12" s="28"/>
      <c r="K12" s="28"/>
      <c r="L12" s="29"/>
    </row>
    <row r="13" spans="2:12">
      <c r="B13" s="26" t="str">
        <f>Functietitels!A20</f>
        <v xml:space="preserve">Engin Emp Prod Sup </v>
      </c>
      <c r="C13" s="27" t="str">
        <f>Functietitels!B20</f>
        <v xml:space="preserve">Engineering Employee Production Support </v>
      </c>
      <c r="D13" s="28"/>
      <c r="E13" s="28"/>
      <c r="F13" s="28"/>
      <c r="G13" s="28"/>
      <c r="H13" s="28"/>
      <c r="I13" s="28"/>
      <c r="J13" s="28"/>
      <c r="K13" s="28"/>
      <c r="L13" s="29"/>
    </row>
    <row r="14" spans="2:12">
      <c r="B14" s="26" t="str">
        <f>Functietitels!A21</f>
        <v>Tech Sup Emp</v>
      </c>
      <c r="C14" s="27" t="str">
        <f>Functietitels!B21</f>
        <v>Technical Support Employee</v>
      </c>
      <c r="D14" s="28"/>
      <c r="E14" s="28"/>
      <c r="F14" s="28"/>
      <c r="G14" s="28"/>
      <c r="H14" s="28"/>
      <c r="I14" s="28"/>
      <c r="J14" s="28"/>
      <c r="K14" s="28"/>
      <c r="L14" s="29"/>
    </row>
    <row r="15" spans="2:12">
      <c r="B15" s="26" t="str">
        <f>Functietitels!A22</f>
        <v>Purch Lead</v>
      </c>
      <c r="C15" s="27" t="str">
        <f>Functietitels!B22</f>
        <v xml:space="preserve">Purchase Leader </v>
      </c>
      <c r="D15" s="28">
        <v>332</v>
      </c>
      <c r="E15" s="28">
        <v>551</v>
      </c>
      <c r="F15" s="28">
        <v>531</v>
      </c>
      <c r="G15" s="28">
        <v>522</v>
      </c>
      <c r="H15" s="28">
        <v>112</v>
      </c>
      <c r="I15" s="28">
        <v>343</v>
      </c>
      <c r="J15" s="28">
        <v>412</v>
      </c>
      <c r="K15" s="28">
        <v>423</v>
      </c>
      <c r="L15" s="29">
        <v>651</v>
      </c>
    </row>
    <row r="16" spans="2:12">
      <c r="B16" s="26" t="str">
        <f>Functietitels!A23</f>
        <v>Purch Emp</v>
      </c>
      <c r="C16" s="27" t="str">
        <f>Functietitels!B23</f>
        <v>Purchase Employee</v>
      </c>
      <c r="D16" s="28">
        <v>142</v>
      </c>
      <c r="E16" s="28">
        <v>551</v>
      </c>
      <c r="F16" s="28">
        <v>531</v>
      </c>
      <c r="G16" s="28">
        <v>241</v>
      </c>
      <c r="H16" s="28">
        <v>231</v>
      </c>
      <c r="I16" s="28">
        <v>631</v>
      </c>
      <c r="J16" s="28">
        <v>211</v>
      </c>
      <c r="K16" s="28">
        <v>422</v>
      </c>
      <c r="L16" s="29">
        <v>642</v>
      </c>
    </row>
    <row r="17" spans="2:12">
      <c r="B17" s="26" t="str">
        <f>Functietitels!A24</f>
        <v>Wareh Oper</v>
      </c>
      <c r="C17" s="27" t="str">
        <f>Functietitels!B24</f>
        <v xml:space="preserve">Warehouse Operator </v>
      </c>
      <c r="D17" s="28"/>
      <c r="E17" s="28"/>
      <c r="F17" s="28"/>
      <c r="G17" s="28"/>
      <c r="H17" s="28"/>
      <c r="I17" s="28"/>
      <c r="J17" s="28"/>
      <c r="K17" s="28"/>
      <c r="L17" s="29"/>
    </row>
    <row r="18" spans="2:12">
      <c r="B18" s="26" t="e">
        <f>Functietitels!#REF!</f>
        <v>#REF!</v>
      </c>
      <c r="C18" s="27" t="e">
        <f>Functietitels!#REF!</f>
        <v>#REF!</v>
      </c>
      <c r="D18" s="28"/>
      <c r="E18" s="28"/>
      <c r="F18" s="28"/>
      <c r="G18" s="28"/>
      <c r="H18" s="28"/>
      <c r="I18" s="28"/>
      <c r="J18" s="28"/>
      <c r="K18" s="28"/>
      <c r="L18" s="29"/>
    </row>
    <row r="19" spans="2:12">
      <c r="B19" s="26" t="str">
        <f>Functietitels!A27</f>
        <v>TL CU</v>
      </c>
      <c r="C19" s="27" t="str">
        <f>Functietitels!B27</f>
        <v xml:space="preserve">Teamleader Complete Units Systems </v>
      </c>
      <c r="D19" s="28"/>
      <c r="E19" s="28"/>
      <c r="F19" s="28"/>
      <c r="G19" s="28"/>
      <c r="H19" s="28"/>
      <c r="I19" s="28"/>
      <c r="J19" s="28"/>
      <c r="K19" s="28"/>
      <c r="L19" s="29"/>
    </row>
    <row r="20" spans="2:12">
      <c r="B20" s="26" t="str">
        <f>Functietitels!A30</f>
        <v>Prod Oper CU</v>
      </c>
      <c r="C20" s="27" t="str">
        <f>Functietitels!B30</f>
        <v>Production Operator Complete Units</v>
      </c>
      <c r="D20" s="28"/>
      <c r="E20" s="28"/>
      <c r="F20" s="28"/>
      <c r="G20" s="28"/>
      <c r="H20" s="28"/>
      <c r="I20" s="28"/>
      <c r="J20" s="28"/>
      <c r="K20" s="28"/>
      <c r="L20" s="29"/>
    </row>
    <row r="21" spans="2:12">
      <c r="B21" s="26" t="str">
        <f>Functietitels!A34</f>
        <v>TL Valve Assy</v>
      </c>
      <c r="C21" s="27" t="str">
        <f>Functietitels!B34</f>
        <v>Teamleader Valve Assy</v>
      </c>
      <c r="D21" s="28"/>
      <c r="E21" s="28"/>
      <c r="F21" s="28"/>
      <c r="G21" s="28"/>
      <c r="H21" s="28"/>
      <c r="I21" s="28"/>
      <c r="J21" s="28"/>
      <c r="K21" s="28"/>
      <c r="L21" s="29"/>
    </row>
    <row r="22" spans="2:12">
      <c r="B22" s="26" t="str">
        <f>Functietitels!A36</f>
        <v>Line Resp Valve Assy</v>
      </c>
      <c r="C22" s="27" t="str">
        <f>Functietitels!B36</f>
        <v>Line Responsible Production Valve Assy</v>
      </c>
      <c r="D22" s="28"/>
      <c r="E22" s="28"/>
      <c r="F22" s="28"/>
      <c r="G22" s="28"/>
      <c r="H22" s="28"/>
      <c r="I22" s="28"/>
      <c r="J22" s="28"/>
      <c r="K22" s="28"/>
      <c r="L22" s="29"/>
    </row>
    <row r="23" spans="2:12">
      <c r="B23" s="26" t="str">
        <f>Functietitels!A13</f>
        <v>F&amp;A Mgr</v>
      </c>
      <c r="C23" s="27" t="str">
        <f>Functietitels!B13</f>
        <v>Finance &amp; Admin Manager</v>
      </c>
      <c r="D23" s="28"/>
      <c r="E23" s="28"/>
      <c r="F23" s="28"/>
      <c r="G23" s="28"/>
      <c r="H23" s="28"/>
      <c r="I23" s="28"/>
      <c r="J23" s="28"/>
      <c r="K23" s="28"/>
      <c r="L23" s="29"/>
    </row>
    <row r="24" spans="2:12">
      <c r="B24" s="26" t="str">
        <f>Functietitels!A14</f>
        <v>HR Resp</v>
      </c>
      <c r="C24" s="27" t="str">
        <f>Functietitels!B14</f>
        <v>HR Responsible</v>
      </c>
      <c r="D24" s="28">
        <v>331</v>
      </c>
      <c r="E24" s="28">
        <v>551</v>
      </c>
      <c r="F24" s="28">
        <v>522</v>
      </c>
      <c r="G24" s="28">
        <v>652</v>
      </c>
      <c r="H24" s="28">
        <v>112</v>
      </c>
      <c r="I24" s="28">
        <v>343</v>
      </c>
      <c r="J24" s="28">
        <v>423</v>
      </c>
      <c r="K24" s="28">
        <v>412</v>
      </c>
      <c r="L24" s="29">
        <v>532</v>
      </c>
    </row>
    <row r="25" spans="2:12">
      <c r="B25" s="26" t="str">
        <f>Functietitels!A15</f>
        <v>Acc Emp</v>
      </c>
      <c r="C25" s="27" t="str">
        <f>Functietitels!B15</f>
        <v>Accountant (Accounting Employee)</v>
      </c>
      <c r="D25" s="28"/>
      <c r="E25" s="28"/>
      <c r="F25" s="28"/>
      <c r="G25" s="28"/>
      <c r="H25" s="28"/>
      <c r="I25" s="28"/>
      <c r="J25" s="28"/>
      <c r="K25" s="28"/>
      <c r="L25" s="29"/>
    </row>
    <row r="26" spans="2:12">
      <c r="B26" s="26" t="str">
        <f>Functietitels!A25</f>
        <v>Prod Suppl Oper</v>
      </c>
      <c r="C26" s="27" t="str">
        <f>Functietitels!B25</f>
        <v xml:space="preserve">Production Supply Operator </v>
      </c>
      <c r="D26" s="28"/>
      <c r="E26" s="28"/>
      <c r="F26" s="28"/>
      <c r="G26" s="28"/>
      <c r="H26" s="28"/>
      <c r="I26" s="28"/>
      <c r="J26" s="28"/>
      <c r="K26" s="28"/>
      <c r="L26" s="29"/>
    </row>
    <row r="27" spans="2:12">
      <c r="B27" s="26" t="str">
        <f>Functietitels!A28</f>
        <v>Line Resp CU</v>
      </c>
      <c r="C27" s="27" t="str">
        <f>Functietitels!B28</f>
        <v xml:space="preserve">Line Responsible Production Complete Units </v>
      </c>
      <c r="D27" s="28"/>
      <c r="E27" s="28"/>
      <c r="F27" s="28"/>
      <c r="G27" s="28"/>
      <c r="H27" s="28"/>
      <c r="I27" s="28"/>
      <c r="J27" s="28"/>
      <c r="K27" s="28"/>
      <c r="L27" s="29"/>
    </row>
    <row r="28" spans="2:12">
      <c r="B28" s="26">
        <f>Functietitels!A102</f>
        <v>0</v>
      </c>
      <c r="C28" s="27">
        <f>Functietitels!B102</f>
        <v>0</v>
      </c>
      <c r="D28" s="28"/>
      <c r="E28" s="28"/>
      <c r="F28" s="28"/>
      <c r="G28" s="28"/>
      <c r="H28" s="28"/>
      <c r="I28" s="28"/>
      <c r="J28" s="28"/>
      <c r="K28" s="28"/>
      <c r="L28" s="29"/>
    </row>
    <row r="29" spans="2:12" ht="15.75" thickBot="1">
      <c r="B29" s="38">
        <f>Functietitels!A103</f>
        <v>0</v>
      </c>
      <c r="C29" s="39">
        <f>Functietitels!B103</f>
        <v>0</v>
      </c>
      <c r="D29" s="30"/>
      <c r="E29" s="30"/>
      <c r="F29" s="30"/>
      <c r="G29" s="30"/>
      <c r="H29" s="30"/>
      <c r="I29" s="30"/>
      <c r="J29" s="30"/>
      <c r="K29" s="30"/>
      <c r="L29" s="31"/>
    </row>
  </sheetData>
  <mergeCells count="1">
    <mergeCell ref="B3:C3"/>
  </mergeCells>
  <conditionalFormatting sqref="B4:L29">
    <cfRule type="cellIs" dxfId="76" priority="1" operator="equal">
      <formula>0</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E2168-156B-4A31-BED8-35671CF81565}">
  <sheetPr codeName="Functietitels"/>
  <dimension ref="A1:R104"/>
  <sheetViews>
    <sheetView showGridLines="0" zoomScale="64" zoomScaleNormal="64" workbookViewId="0">
      <pane ySplit="3" topLeftCell="A4" activePane="bottomLeft" state="frozen"/>
      <selection pane="bottomLeft" activeCell="D12" sqref="D12"/>
    </sheetView>
  </sheetViews>
  <sheetFormatPr defaultRowHeight="15"/>
  <cols>
    <col min="1" max="1" width="25.85546875" style="185" bestFit="1" customWidth="1"/>
    <col min="2" max="2" width="42.28515625" style="185" bestFit="1" customWidth="1"/>
    <col min="3" max="3" width="36.7109375" style="185" bestFit="1" customWidth="1"/>
    <col min="4" max="4" width="19.7109375" style="221" customWidth="1"/>
    <col min="5" max="13" width="9.140625" style="185"/>
    <col min="14" max="14" width="12.140625" style="185" customWidth="1"/>
    <col min="15" max="15" width="21" style="185" customWidth="1"/>
    <col min="16" max="16384" width="9.140625" style="185"/>
  </cols>
  <sheetData>
    <row r="1" spans="1:18" ht="132.75" customHeight="1">
      <c r="A1" s="413"/>
      <c r="B1" s="414" t="b">
        <v>0</v>
      </c>
      <c r="C1" s="222"/>
      <c r="D1" s="223"/>
      <c r="E1" s="414"/>
      <c r="F1" s="414"/>
      <c r="G1" s="414"/>
      <c r="H1" s="414"/>
      <c r="I1" s="414"/>
      <c r="J1" s="414"/>
      <c r="K1" s="414"/>
      <c r="L1" s="414"/>
      <c r="M1" s="414"/>
      <c r="N1" s="415"/>
    </row>
    <row r="2" spans="1:18" ht="27.75" customHeight="1" thickBot="1">
      <c r="A2" s="416" t="s">
        <v>473</v>
      </c>
      <c r="B2" s="417"/>
      <c r="C2" s="231"/>
      <c r="D2" s="232"/>
      <c r="E2" s="416" t="s">
        <v>615</v>
      </c>
      <c r="F2" s="417"/>
      <c r="G2" s="417"/>
      <c r="H2" s="417"/>
      <c r="I2" s="417"/>
      <c r="J2" s="417"/>
      <c r="K2" s="417"/>
      <c r="L2" s="417"/>
      <c r="M2" s="417"/>
      <c r="N2" s="418"/>
    </row>
    <row r="3" spans="1:18" ht="30.75" thickBot="1">
      <c r="A3" s="233" t="s">
        <v>1573</v>
      </c>
      <c r="B3" s="234" t="s">
        <v>1574</v>
      </c>
      <c r="C3" s="235" t="s">
        <v>479</v>
      </c>
      <c r="D3" s="236" t="s">
        <v>614</v>
      </c>
      <c r="E3" s="237">
        <v>1</v>
      </c>
      <c r="F3" s="238">
        <v>2</v>
      </c>
      <c r="G3" s="238">
        <v>3</v>
      </c>
      <c r="H3" s="238">
        <v>4</v>
      </c>
      <c r="I3" s="238">
        <v>5</v>
      </c>
      <c r="J3" s="238">
        <v>6</v>
      </c>
      <c r="K3" s="238">
        <v>7</v>
      </c>
      <c r="L3" s="238">
        <v>8</v>
      </c>
      <c r="M3" s="239">
        <v>9</v>
      </c>
      <c r="N3" s="240" t="s">
        <v>623</v>
      </c>
    </row>
    <row r="4" spans="1:18">
      <c r="A4" s="186" t="s">
        <v>503</v>
      </c>
      <c r="B4" s="187" t="s">
        <v>503</v>
      </c>
      <c r="C4" s="188"/>
      <c r="D4" s="189"/>
      <c r="E4" s="190"/>
      <c r="F4" s="191"/>
      <c r="G4" s="191"/>
      <c r="H4" s="191"/>
      <c r="I4" s="191"/>
      <c r="J4" s="191"/>
      <c r="K4" s="191"/>
      <c r="L4" s="191"/>
      <c r="M4" s="192"/>
      <c r="N4" s="193">
        <v>43397</v>
      </c>
    </row>
    <row r="5" spans="1:18">
      <c r="A5" s="194" t="s">
        <v>492</v>
      </c>
      <c r="B5" s="195" t="s">
        <v>480</v>
      </c>
      <c r="C5" s="196" t="s">
        <v>503</v>
      </c>
      <c r="D5" s="197" t="s">
        <v>593</v>
      </c>
      <c r="E5" s="198">
        <v>113</v>
      </c>
      <c r="F5" s="199">
        <v>143</v>
      </c>
      <c r="G5" s="199">
        <v>163</v>
      </c>
      <c r="H5" s="199">
        <v>223</v>
      </c>
      <c r="I5" s="199">
        <v>413</v>
      </c>
      <c r="J5" s="199">
        <v>562</v>
      </c>
      <c r="K5" s="199">
        <v>723</v>
      </c>
      <c r="L5" s="199">
        <v>343</v>
      </c>
      <c r="M5" s="200"/>
      <c r="N5" s="201">
        <v>43423</v>
      </c>
    </row>
    <row r="6" spans="1:18">
      <c r="A6" s="194" t="s">
        <v>493</v>
      </c>
      <c r="B6" s="195" t="s">
        <v>481</v>
      </c>
      <c r="C6" s="196" t="str">
        <f>B5</f>
        <v>General Manager</v>
      </c>
      <c r="D6" s="202" t="s">
        <v>963</v>
      </c>
      <c r="E6" s="198">
        <v>162</v>
      </c>
      <c r="F6" s="199">
        <v>223</v>
      </c>
      <c r="G6" s="199">
        <v>242</v>
      </c>
      <c r="H6" s="199">
        <v>343</v>
      </c>
      <c r="I6" s="199">
        <v>453</v>
      </c>
      <c r="J6" s="199">
        <v>553</v>
      </c>
      <c r="K6" s="199">
        <v>562</v>
      </c>
      <c r="L6" s="199">
        <v>723</v>
      </c>
      <c r="M6" s="200">
        <v>732</v>
      </c>
      <c r="N6" s="201">
        <v>43450</v>
      </c>
    </row>
    <row r="7" spans="1:18">
      <c r="A7" s="194" t="s">
        <v>494</v>
      </c>
      <c r="B7" s="203" t="s">
        <v>482</v>
      </c>
      <c r="C7" s="196" t="str">
        <f>B6</f>
        <v>Sales &amp; Marketing Manager</v>
      </c>
      <c r="D7" s="197" t="s">
        <v>754</v>
      </c>
      <c r="E7" s="198">
        <v>142</v>
      </c>
      <c r="F7" s="199">
        <v>213</v>
      </c>
      <c r="G7" s="199">
        <v>222</v>
      </c>
      <c r="H7" s="199">
        <v>311</v>
      </c>
      <c r="I7" s="199">
        <v>322</v>
      </c>
      <c r="J7" s="199">
        <v>442</v>
      </c>
      <c r="K7" s="199">
        <v>552</v>
      </c>
      <c r="L7" s="199">
        <v>562</v>
      </c>
      <c r="M7" s="200">
        <v>641</v>
      </c>
      <c r="N7" s="201">
        <v>43450</v>
      </c>
    </row>
    <row r="8" spans="1:18">
      <c r="A8" s="194" t="s">
        <v>494</v>
      </c>
      <c r="B8" s="203" t="s">
        <v>482</v>
      </c>
      <c r="C8" s="196" t="str">
        <f>C7</f>
        <v>Sales &amp; Marketing Manager</v>
      </c>
      <c r="D8" s="197" t="s">
        <v>612</v>
      </c>
      <c r="E8" s="198">
        <v>142</v>
      </c>
      <c r="F8" s="199">
        <v>213</v>
      </c>
      <c r="G8" s="199">
        <v>222</v>
      </c>
      <c r="H8" s="199">
        <v>311</v>
      </c>
      <c r="I8" s="199">
        <v>322</v>
      </c>
      <c r="J8" s="199">
        <v>442</v>
      </c>
      <c r="K8" s="199">
        <v>552</v>
      </c>
      <c r="L8" s="199">
        <v>562</v>
      </c>
      <c r="M8" s="200">
        <v>641</v>
      </c>
      <c r="N8" s="201">
        <v>43429</v>
      </c>
    </row>
    <row r="9" spans="1:18">
      <c r="A9" s="194" t="s">
        <v>494</v>
      </c>
      <c r="B9" s="203" t="s">
        <v>482</v>
      </c>
      <c r="C9" s="196" t="str">
        <f>C8</f>
        <v>Sales &amp; Marketing Manager</v>
      </c>
      <c r="D9" s="197" t="s">
        <v>613</v>
      </c>
      <c r="E9" s="198">
        <v>142</v>
      </c>
      <c r="F9" s="199">
        <v>213</v>
      </c>
      <c r="G9" s="199">
        <v>222</v>
      </c>
      <c r="H9" s="199">
        <v>311</v>
      </c>
      <c r="I9" s="199">
        <v>322</v>
      </c>
      <c r="J9" s="199">
        <v>442</v>
      </c>
      <c r="K9" s="199">
        <v>552</v>
      </c>
      <c r="L9" s="199">
        <v>562</v>
      </c>
      <c r="M9" s="200">
        <v>641</v>
      </c>
      <c r="N9" s="201">
        <v>43397</v>
      </c>
    </row>
    <row r="10" spans="1:18">
      <c r="A10" s="194" t="s">
        <v>494</v>
      </c>
      <c r="B10" s="203" t="s">
        <v>482</v>
      </c>
      <c r="C10" s="196" t="str">
        <f>C9</f>
        <v>Sales &amp; Marketing Manager</v>
      </c>
      <c r="D10" s="197" t="s">
        <v>763</v>
      </c>
      <c r="E10" s="198">
        <v>142</v>
      </c>
      <c r="F10" s="199">
        <v>213</v>
      </c>
      <c r="G10" s="199">
        <v>222</v>
      </c>
      <c r="H10" s="199">
        <v>311</v>
      </c>
      <c r="I10" s="199">
        <v>322</v>
      </c>
      <c r="J10" s="199">
        <v>442</v>
      </c>
      <c r="K10" s="199">
        <v>552</v>
      </c>
      <c r="L10" s="199">
        <v>562</v>
      </c>
      <c r="M10" s="200">
        <v>641</v>
      </c>
      <c r="N10" s="201">
        <v>43438</v>
      </c>
    </row>
    <row r="11" spans="1:18">
      <c r="A11" s="194" t="s">
        <v>495</v>
      </c>
      <c r="B11" s="203" t="s">
        <v>483</v>
      </c>
      <c r="C11" s="196" t="str">
        <f>C9</f>
        <v>Sales &amp; Marketing Manager</v>
      </c>
      <c r="D11" s="197" t="s">
        <v>595</v>
      </c>
      <c r="E11" s="198">
        <v>121</v>
      </c>
      <c r="F11" s="199">
        <v>141</v>
      </c>
      <c r="G11" s="199">
        <v>211</v>
      </c>
      <c r="H11" s="199">
        <v>411</v>
      </c>
      <c r="I11" s="199">
        <v>442</v>
      </c>
      <c r="J11" s="199">
        <v>511</v>
      </c>
      <c r="K11" s="199">
        <v>611</v>
      </c>
      <c r="L11" s="199">
        <v>622</v>
      </c>
      <c r="M11" s="200">
        <v>632</v>
      </c>
      <c r="N11" s="201">
        <v>43450</v>
      </c>
      <c r="Q11" s="204"/>
      <c r="R11" s="205"/>
    </row>
    <row r="12" spans="1:18">
      <c r="A12" s="194" t="s">
        <v>495</v>
      </c>
      <c r="B12" s="203" t="s">
        <v>483</v>
      </c>
      <c r="C12" s="196" t="str">
        <f>C11</f>
        <v>Sales &amp; Marketing Manager</v>
      </c>
      <c r="D12" s="202" t="s">
        <v>921</v>
      </c>
      <c r="E12" s="198">
        <v>121</v>
      </c>
      <c r="F12" s="199">
        <v>141</v>
      </c>
      <c r="G12" s="199">
        <v>211</v>
      </c>
      <c r="H12" s="199">
        <v>411</v>
      </c>
      <c r="I12" s="199">
        <v>442</v>
      </c>
      <c r="J12" s="199">
        <v>511</v>
      </c>
      <c r="K12" s="199">
        <v>611</v>
      </c>
      <c r="L12" s="199">
        <v>622</v>
      </c>
      <c r="M12" s="200">
        <v>632</v>
      </c>
      <c r="N12" s="201">
        <v>43397</v>
      </c>
      <c r="Q12" s="204"/>
      <c r="R12" s="205"/>
    </row>
    <row r="13" spans="1:18">
      <c r="A13" s="194" t="s">
        <v>500</v>
      </c>
      <c r="B13" s="203" t="s">
        <v>489</v>
      </c>
      <c r="C13" s="196" t="str">
        <f>B5</f>
        <v>General Manager</v>
      </c>
      <c r="D13" s="197" t="s">
        <v>761</v>
      </c>
      <c r="E13" s="198">
        <v>132</v>
      </c>
      <c r="F13" s="199">
        <v>152</v>
      </c>
      <c r="G13" s="199">
        <v>162</v>
      </c>
      <c r="H13" s="199">
        <v>322</v>
      </c>
      <c r="I13" s="199">
        <v>421</v>
      </c>
      <c r="J13" s="199">
        <v>632</v>
      </c>
      <c r="K13" s="199">
        <v>642</v>
      </c>
      <c r="L13" s="199">
        <v>732</v>
      </c>
      <c r="M13" s="200"/>
      <c r="N13" s="201">
        <v>43397</v>
      </c>
    </row>
    <row r="14" spans="1:18">
      <c r="A14" s="194" t="s">
        <v>501</v>
      </c>
      <c r="B14" s="203" t="s">
        <v>490</v>
      </c>
      <c r="C14" s="196" t="str">
        <f>B13</f>
        <v>Finance &amp; Admin Manager</v>
      </c>
      <c r="D14" s="197" t="s">
        <v>762</v>
      </c>
      <c r="E14" s="198">
        <v>332</v>
      </c>
      <c r="F14" s="199">
        <v>551</v>
      </c>
      <c r="G14" s="199">
        <v>522</v>
      </c>
      <c r="H14" s="199">
        <v>651</v>
      </c>
      <c r="I14" s="199">
        <v>112</v>
      </c>
      <c r="J14" s="199">
        <v>343</v>
      </c>
      <c r="K14" s="199">
        <v>423</v>
      </c>
      <c r="L14" s="199">
        <v>412</v>
      </c>
      <c r="M14" s="200">
        <v>532</v>
      </c>
      <c r="N14" s="201">
        <v>43422</v>
      </c>
    </row>
    <row r="15" spans="1:18">
      <c r="A15" s="194" t="s">
        <v>502</v>
      </c>
      <c r="B15" s="203" t="s">
        <v>491</v>
      </c>
      <c r="C15" s="196" t="str">
        <f>C14</f>
        <v>Finance &amp; Admin Manager</v>
      </c>
      <c r="D15" s="197" t="s">
        <v>609</v>
      </c>
      <c r="E15" s="198">
        <v>151</v>
      </c>
      <c r="F15" s="199">
        <v>511</v>
      </c>
      <c r="G15" s="199">
        <v>632</v>
      </c>
      <c r="H15" s="199">
        <v>431</v>
      </c>
      <c r="I15" s="199">
        <v>231</v>
      </c>
      <c r="J15" s="199">
        <v>121</v>
      </c>
      <c r="K15" s="199">
        <v>421</v>
      </c>
      <c r="L15" s="199">
        <v>642</v>
      </c>
      <c r="M15" s="200"/>
      <c r="N15" s="201">
        <v>43429</v>
      </c>
    </row>
    <row r="16" spans="1:18">
      <c r="A16" s="194" t="s">
        <v>496</v>
      </c>
      <c r="B16" s="203" t="s">
        <v>484</v>
      </c>
      <c r="C16" s="196" t="str">
        <f>B5</f>
        <v>General Manager</v>
      </c>
      <c r="D16" s="197" t="s">
        <v>596</v>
      </c>
      <c r="E16" s="198">
        <v>143</v>
      </c>
      <c r="F16" s="199">
        <v>342</v>
      </c>
      <c r="G16" s="199">
        <v>442</v>
      </c>
      <c r="H16" s="199">
        <v>522</v>
      </c>
      <c r="I16" s="199">
        <v>552</v>
      </c>
      <c r="J16" s="199">
        <v>643</v>
      </c>
      <c r="K16" s="199">
        <v>653</v>
      </c>
      <c r="L16" s="199">
        <v>723</v>
      </c>
      <c r="M16" s="200">
        <v>732</v>
      </c>
      <c r="N16" s="201">
        <v>43397</v>
      </c>
      <c r="O16" s="205"/>
      <c r="P16" s="205"/>
      <c r="R16" s="205"/>
    </row>
    <row r="17" spans="1:18">
      <c r="A17" s="194" t="s">
        <v>497</v>
      </c>
      <c r="B17" s="195" t="s">
        <v>485</v>
      </c>
      <c r="C17" s="196" t="str">
        <f>B16</f>
        <v>Operations Manager</v>
      </c>
      <c r="D17" s="202" t="s">
        <v>753</v>
      </c>
      <c r="E17" s="206"/>
      <c r="F17" s="207"/>
      <c r="G17" s="207"/>
      <c r="H17" s="207"/>
      <c r="I17" s="207"/>
      <c r="J17" s="207"/>
      <c r="K17" s="207"/>
      <c r="L17" s="207"/>
      <c r="M17" s="208"/>
      <c r="N17" s="201">
        <v>43397</v>
      </c>
      <c r="R17" s="205"/>
    </row>
    <row r="18" spans="1:18">
      <c r="A18" s="194" t="s">
        <v>766</v>
      </c>
      <c r="B18" s="203" t="s">
        <v>486</v>
      </c>
      <c r="C18" s="196" t="str">
        <f>C17</f>
        <v>Operations Manager</v>
      </c>
      <c r="D18" s="197" t="s">
        <v>598</v>
      </c>
      <c r="E18" s="198">
        <v>112</v>
      </c>
      <c r="F18" s="199">
        <v>122</v>
      </c>
      <c r="G18" s="199">
        <v>141</v>
      </c>
      <c r="H18" s="199">
        <v>151</v>
      </c>
      <c r="I18" s="199">
        <v>232</v>
      </c>
      <c r="J18" s="199">
        <v>551</v>
      </c>
      <c r="K18" s="199">
        <v>622</v>
      </c>
      <c r="L18" s="199">
        <v>632</v>
      </c>
      <c r="M18" s="200">
        <v>642</v>
      </c>
      <c r="N18" s="201">
        <v>43429</v>
      </c>
      <c r="R18" s="205"/>
    </row>
    <row r="19" spans="1:18">
      <c r="A19" s="194" t="s">
        <v>766</v>
      </c>
      <c r="B19" s="203" t="s">
        <v>486</v>
      </c>
      <c r="C19" s="196" t="str">
        <f>C18</f>
        <v>Operations Manager</v>
      </c>
      <c r="D19" s="197" t="s">
        <v>764</v>
      </c>
      <c r="E19" s="198">
        <v>112</v>
      </c>
      <c r="F19" s="199">
        <v>122</v>
      </c>
      <c r="G19" s="199">
        <v>141</v>
      </c>
      <c r="H19" s="199">
        <v>151</v>
      </c>
      <c r="I19" s="199">
        <v>232</v>
      </c>
      <c r="J19" s="199">
        <v>551</v>
      </c>
      <c r="K19" s="199">
        <v>622</v>
      </c>
      <c r="L19" s="199">
        <v>632</v>
      </c>
      <c r="M19" s="200">
        <v>642</v>
      </c>
      <c r="N19" s="201">
        <v>43397</v>
      </c>
      <c r="R19" s="205"/>
    </row>
    <row r="20" spans="1:18" ht="14.25" customHeight="1">
      <c r="A20" s="194" t="s">
        <v>953</v>
      </c>
      <c r="B20" s="203" t="s">
        <v>952</v>
      </c>
      <c r="C20" s="196" t="str">
        <f>C18</f>
        <v>Operations Manager</v>
      </c>
      <c r="D20" s="197" t="s">
        <v>765</v>
      </c>
      <c r="E20" s="198">
        <v>121</v>
      </c>
      <c r="F20" s="199">
        <v>132</v>
      </c>
      <c r="G20" s="199">
        <v>152</v>
      </c>
      <c r="H20" s="199">
        <v>631</v>
      </c>
      <c r="I20" s="199">
        <v>312</v>
      </c>
      <c r="J20" s="199">
        <v>341</v>
      </c>
      <c r="K20" s="199">
        <v>642</v>
      </c>
      <c r="L20" s="199">
        <v>453</v>
      </c>
      <c r="M20" s="200">
        <v>552</v>
      </c>
      <c r="N20" s="201">
        <v>43397</v>
      </c>
      <c r="R20" s="205"/>
    </row>
    <row r="21" spans="1:18">
      <c r="A21" s="194" t="s">
        <v>498</v>
      </c>
      <c r="B21" s="203" t="s">
        <v>487</v>
      </c>
      <c r="C21" s="196" t="str">
        <f>C20</f>
        <v>Operations Manager</v>
      </c>
      <c r="D21" s="197" t="s">
        <v>599</v>
      </c>
      <c r="E21" s="198">
        <v>122</v>
      </c>
      <c r="F21" s="199">
        <v>551</v>
      </c>
      <c r="G21" s="199">
        <v>532</v>
      </c>
      <c r="H21" s="199">
        <v>222</v>
      </c>
      <c r="I21" s="199">
        <v>212</v>
      </c>
      <c r="J21" s="199">
        <v>631</v>
      </c>
      <c r="K21" s="199">
        <v>442</v>
      </c>
      <c r="L21" s="199">
        <v>422</v>
      </c>
      <c r="M21" s="200">
        <v>643</v>
      </c>
      <c r="N21" s="201">
        <v>43397</v>
      </c>
      <c r="O21" s="209"/>
      <c r="R21" s="205"/>
    </row>
    <row r="22" spans="1:18">
      <c r="A22" s="194" t="s">
        <v>499</v>
      </c>
      <c r="B22" s="203" t="s">
        <v>767</v>
      </c>
      <c r="C22" s="196" t="str">
        <f>C21</f>
        <v>Operations Manager</v>
      </c>
      <c r="D22" s="197" t="s">
        <v>594</v>
      </c>
      <c r="E22" s="198">
        <v>332</v>
      </c>
      <c r="F22" s="199">
        <v>551</v>
      </c>
      <c r="G22" s="199">
        <v>531</v>
      </c>
      <c r="H22" s="199">
        <v>522</v>
      </c>
      <c r="I22" s="199">
        <v>112</v>
      </c>
      <c r="J22" s="199">
        <v>343</v>
      </c>
      <c r="K22" s="199">
        <v>412</v>
      </c>
      <c r="L22" s="199">
        <v>423</v>
      </c>
      <c r="M22" s="200">
        <v>651</v>
      </c>
      <c r="N22" s="201">
        <v>43397</v>
      </c>
      <c r="O22" s="209"/>
      <c r="R22" s="205"/>
    </row>
    <row r="23" spans="1:18">
      <c r="A23" s="194" t="s">
        <v>769</v>
      </c>
      <c r="B23" s="203" t="s">
        <v>768</v>
      </c>
      <c r="C23" s="196" t="str">
        <f>B22</f>
        <v xml:space="preserve">Purchase Leader </v>
      </c>
      <c r="D23" s="197" t="s">
        <v>756</v>
      </c>
      <c r="E23" s="198">
        <v>142</v>
      </c>
      <c r="F23" s="199">
        <v>551</v>
      </c>
      <c r="G23" s="199">
        <v>531</v>
      </c>
      <c r="H23" s="199">
        <v>241</v>
      </c>
      <c r="I23" s="199">
        <v>231</v>
      </c>
      <c r="J23" s="199">
        <v>631</v>
      </c>
      <c r="K23" s="199">
        <v>211</v>
      </c>
      <c r="L23" s="199">
        <v>422</v>
      </c>
      <c r="M23" s="200">
        <v>642</v>
      </c>
      <c r="N23" s="201">
        <v>43397</v>
      </c>
      <c r="O23" s="209"/>
    </row>
    <row r="24" spans="1:18">
      <c r="A24" s="194" t="s">
        <v>961</v>
      </c>
      <c r="B24" s="195" t="s">
        <v>962</v>
      </c>
      <c r="C24" s="196" t="str">
        <f>C23</f>
        <v xml:space="preserve">Purchase Leader </v>
      </c>
      <c r="D24" s="197" t="s">
        <v>755</v>
      </c>
      <c r="E24" s="198">
        <v>241</v>
      </c>
      <c r="F24" s="199">
        <v>311</v>
      </c>
      <c r="G24" s="199">
        <v>441</v>
      </c>
      <c r="H24" s="199">
        <v>451</v>
      </c>
      <c r="I24" s="199">
        <v>461</v>
      </c>
      <c r="J24" s="199">
        <v>522</v>
      </c>
      <c r="K24" s="199">
        <v>542</v>
      </c>
      <c r="L24" s="199">
        <v>631</v>
      </c>
      <c r="M24" s="200">
        <v>641</v>
      </c>
      <c r="N24" s="201">
        <v>43397</v>
      </c>
      <c r="O24" s="209"/>
    </row>
    <row r="25" spans="1:18">
      <c r="A25" s="194" t="s">
        <v>947</v>
      </c>
      <c r="B25" s="195" t="s">
        <v>944</v>
      </c>
      <c r="C25" s="196" t="str">
        <f>B22</f>
        <v xml:space="preserve">Purchase Leader </v>
      </c>
      <c r="D25" s="197" t="s">
        <v>610</v>
      </c>
      <c r="E25" s="198">
        <v>241</v>
      </c>
      <c r="F25" s="199">
        <v>311</v>
      </c>
      <c r="G25" s="199">
        <v>441</v>
      </c>
      <c r="H25" s="199">
        <v>451</v>
      </c>
      <c r="I25" s="199">
        <v>461</v>
      </c>
      <c r="J25" s="199">
        <v>522</v>
      </c>
      <c r="K25" s="199">
        <v>542</v>
      </c>
      <c r="L25" s="199">
        <v>631</v>
      </c>
      <c r="M25" s="200">
        <v>641</v>
      </c>
      <c r="N25" s="201">
        <v>43397</v>
      </c>
      <c r="O25" s="209"/>
    </row>
    <row r="26" spans="1:18">
      <c r="A26" s="194" t="s">
        <v>945</v>
      </c>
      <c r="B26" s="195" t="s">
        <v>946</v>
      </c>
      <c r="C26" s="196" t="str">
        <f>C25</f>
        <v xml:space="preserve">Purchase Leader </v>
      </c>
      <c r="D26" s="197" t="s">
        <v>606</v>
      </c>
      <c r="E26" s="198">
        <v>122</v>
      </c>
      <c r="F26" s="199">
        <v>621</v>
      </c>
      <c r="G26" s="199">
        <v>311</v>
      </c>
      <c r="H26" s="199">
        <v>341</v>
      </c>
      <c r="I26" s="199">
        <v>411</v>
      </c>
      <c r="J26" s="199">
        <v>422</v>
      </c>
      <c r="K26" s="199">
        <v>441</v>
      </c>
      <c r="L26" s="199">
        <v>631</v>
      </c>
      <c r="M26" s="200">
        <v>611</v>
      </c>
      <c r="N26" s="201">
        <v>43397</v>
      </c>
      <c r="O26" s="209"/>
    </row>
    <row r="27" spans="1:18">
      <c r="A27" s="194" t="s">
        <v>730</v>
      </c>
      <c r="B27" s="203" t="s">
        <v>750</v>
      </c>
      <c r="C27" s="196" t="str">
        <f>B16</f>
        <v>Operations Manager</v>
      </c>
      <c r="D27" s="197" t="s">
        <v>757</v>
      </c>
      <c r="E27" s="198">
        <v>122</v>
      </c>
      <c r="F27" s="199">
        <v>141</v>
      </c>
      <c r="G27" s="199">
        <v>341</v>
      </c>
      <c r="H27" s="199">
        <v>412</v>
      </c>
      <c r="I27" s="199">
        <v>451</v>
      </c>
      <c r="J27" s="199">
        <v>521</v>
      </c>
      <c r="K27" s="199">
        <v>632</v>
      </c>
      <c r="L27" s="199">
        <v>642</v>
      </c>
      <c r="M27" s="200">
        <v>711</v>
      </c>
      <c r="N27" s="201">
        <v>43397</v>
      </c>
      <c r="O27" s="209"/>
    </row>
    <row r="28" spans="1:18">
      <c r="A28" s="194" t="s">
        <v>711</v>
      </c>
      <c r="B28" s="203" t="s">
        <v>751</v>
      </c>
      <c r="C28" s="196" t="str">
        <f>B27</f>
        <v xml:space="preserve">Teamleader Complete Units Systems </v>
      </c>
      <c r="D28" s="197" t="s">
        <v>611</v>
      </c>
      <c r="E28" s="198">
        <v>121</v>
      </c>
      <c r="F28" s="199">
        <v>141</v>
      </c>
      <c r="G28" s="199">
        <v>211</v>
      </c>
      <c r="H28" s="199">
        <v>411</v>
      </c>
      <c r="I28" s="199">
        <v>442</v>
      </c>
      <c r="J28" s="199">
        <v>511</v>
      </c>
      <c r="K28" s="199">
        <v>611</v>
      </c>
      <c r="L28" s="199">
        <v>622</v>
      </c>
      <c r="M28" s="200">
        <v>632</v>
      </c>
      <c r="N28" s="201">
        <v>43429</v>
      </c>
      <c r="O28" s="209"/>
    </row>
    <row r="29" spans="1:18">
      <c r="A29" s="194" t="s">
        <v>711</v>
      </c>
      <c r="B29" s="203" t="s">
        <v>751</v>
      </c>
      <c r="C29" s="196" t="str">
        <f>C28</f>
        <v xml:space="preserve">Teamleader Complete Units Systems </v>
      </c>
      <c r="D29" s="197" t="s">
        <v>759</v>
      </c>
      <c r="E29" s="198">
        <v>121</v>
      </c>
      <c r="F29" s="199">
        <v>141</v>
      </c>
      <c r="G29" s="199">
        <v>211</v>
      </c>
      <c r="H29" s="199">
        <v>411</v>
      </c>
      <c r="I29" s="199">
        <v>442</v>
      </c>
      <c r="J29" s="199">
        <v>511</v>
      </c>
      <c r="K29" s="199">
        <v>611</v>
      </c>
      <c r="L29" s="199">
        <v>622</v>
      </c>
      <c r="M29" s="200">
        <v>632</v>
      </c>
      <c r="N29" s="201">
        <v>43397</v>
      </c>
      <c r="O29" s="209"/>
    </row>
    <row r="30" spans="1:18">
      <c r="A30" s="194" t="s">
        <v>948</v>
      </c>
      <c r="B30" s="203" t="s">
        <v>949</v>
      </c>
      <c r="C30" s="196" t="str">
        <f>B27</f>
        <v xml:space="preserve">Teamleader Complete Units Systems </v>
      </c>
      <c r="D30" s="197" t="s">
        <v>601</v>
      </c>
      <c r="E30" s="198">
        <v>121</v>
      </c>
      <c r="F30" s="199">
        <v>141</v>
      </c>
      <c r="G30" s="199">
        <v>311</v>
      </c>
      <c r="H30" s="199">
        <v>411</v>
      </c>
      <c r="I30" s="199">
        <v>442</v>
      </c>
      <c r="J30" s="199">
        <v>511</v>
      </c>
      <c r="K30" s="199">
        <v>611</v>
      </c>
      <c r="L30" s="199">
        <v>622</v>
      </c>
      <c r="M30" s="200">
        <v>632</v>
      </c>
      <c r="N30" s="201">
        <v>43397</v>
      </c>
      <c r="O30" s="210"/>
    </row>
    <row r="31" spans="1:18">
      <c r="A31" s="194" t="s">
        <v>948</v>
      </c>
      <c r="B31" s="203" t="s">
        <v>949</v>
      </c>
      <c r="C31" s="196" t="str">
        <f>C30</f>
        <v xml:space="preserve">Teamleader Complete Units Systems </v>
      </c>
      <c r="D31" s="197" t="s">
        <v>597</v>
      </c>
      <c r="E31" s="198">
        <v>121</v>
      </c>
      <c r="F31" s="199">
        <v>141</v>
      </c>
      <c r="G31" s="199">
        <v>311</v>
      </c>
      <c r="H31" s="199">
        <v>411</v>
      </c>
      <c r="I31" s="199">
        <v>442</v>
      </c>
      <c r="J31" s="199">
        <v>511</v>
      </c>
      <c r="K31" s="199">
        <v>611</v>
      </c>
      <c r="L31" s="199">
        <v>622</v>
      </c>
      <c r="M31" s="200">
        <v>632</v>
      </c>
      <c r="N31" s="201">
        <v>43397</v>
      </c>
      <c r="O31" s="210"/>
    </row>
    <row r="32" spans="1:18">
      <c r="A32" s="194" t="s">
        <v>948</v>
      </c>
      <c r="B32" s="203" t="s">
        <v>949</v>
      </c>
      <c r="C32" s="196" t="str">
        <f>C31</f>
        <v xml:space="preserve">Teamleader Complete Units Systems </v>
      </c>
      <c r="D32" s="197" t="s">
        <v>602</v>
      </c>
      <c r="E32" s="198">
        <v>121</v>
      </c>
      <c r="F32" s="199">
        <v>141</v>
      </c>
      <c r="G32" s="199">
        <v>311</v>
      </c>
      <c r="H32" s="199">
        <v>411</v>
      </c>
      <c r="I32" s="199">
        <v>442</v>
      </c>
      <c r="J32" s="199">
        <v>511</v>
      </c>
      <c r="K32" s="199">
        <v>611</v>
      </c>
      <c r="L32" s="199">
        <v>622</v>
      </c>
      <c r="M32" s="200">
        <v>632</v>
      </c>
      <c r="N32" s="201">
        <v>43397</v>
      </c>
    </row>
    <row r="33" spans="1:14">
      <c r="A33" s="194" t="s">
        <v>948</v>
      </c>
      <c r="B33" s="203" t="s">
        <v>949</v>
      </c>
      <c r="C33" s="196" t="str">
        <f>C32</f>
        <v xml:space="preserve">Teamleader Complete Units Systems </v>
      </c>
      <c r="D33" s="197" t="s">
        <v>758</v>
      </c>
      <c r="E33" s="198">
        <v>121</v>
      </c>
      <c r="F33" s="199">
        <v>141</v>
      </c>
      <c r="G33" s="199">
        <v>311</v>
      </c>
      <c r="H33" s="199">
        <v>411</v>
      </c>
      <c r="I33" s="199">
        <v>442</v>
      </c>
      <c r="J33" s="199">
        <v>511</v>
      </c>
      <c r="K33" s="199">
        <v>611</v>
      </c>
      <c r="L33" s="199">
        <v>622</v>
      </c>
      <c r="M33" s="200">
        <v>632</v>
      </c>
      <c r="N33" s="201">
        <v>43397</v>
      </c>
    </row>
    <row r="34" spans="1:14">
      <c r="A34" s="194" t="s">
        <v>739</v>
      </c>
      <c r="B34" s="203" t="s">
        <v>488</v>
      </c>
      <c r="C34" s="196" t="str">
        <f>B16</f>
        <v>Operations Manager</v>
      </c>
      <c r="D34" s="197" t="s">
        <v>603</v>
      </c>
      <c r="E34" s="198">
        <v>141</v>
      </c>
      <c r="F34" s="199">
        <v>732</v>
      </c>
      <c r="G34" s="199">
        <v>341</v>
      </c>
      <c r="H34" s="199">
        <v>422</v>
      </c>
      <c r="I34" s="199">
        <v>442</v>
      </c>
      <c r="J34" s="199">
        <v>521</v>
      </c>
      <c r="K34" s="199">
        <v>632</v>
      </c>
      <c r="L34" s="199">
        <v>642</v>
      </c>
      <c r="M34" s="200">
        <v>711</v>
      </c>
      <c r="N34" s="201">
        <v>43397</v>
      </c>
    </row>
    <row r="35" spans="1:14">
      <c r="A35" s="194" t="s">
        <v>719</v>
      </c>
      <c r="B35" s="203" t="s">
        <v>752</v>
      </c>
      <c r="C35" s="196" t="str">
        <f>C37</f>
        <v>Teamleader Valve Assy</v>
      </c>
      <c r="D35" s="197" t="s">
        <v>605</v>
      </c>
      <c r="E35" s="198">
        <v>122</v>
      </c>
      <c r="F35" s="199">
        <v>141</v>
      </c>
      <c r="G35" s="199">
        <v>311</v>
      </c>
      <c r="H35" s="199">
        <v>341</v>
      </c>
      <c r="I35" s="199">
        <v>411</v>
      </c>
      <c r="J35" s="199">
        <v>422</v>
      </c>
      <c r="K35" s="199">
        <v>441</v>
      </c>
      <c r="L35" s="199">
        <v>521</v>
      </c>
      <c r="M35" s="200">
        <v>611</v>
      </c>
      <c r="N35" s="201">
        <v>43397</v>
      </c>
    </row>
    <row r="36" spans="1:14">
      <c r="A36" s="194" t="s">
        <v>719</v>
      </c>
      <c r="B36" s="203" t="s">
        <v>752</v>
      </c>
      <c r="C36" s="196" t="str">
        <f>B34</f>
        <v>Teamleader Valve Assy</v>
      </c>
      <c r="D36" s="197" t="s">
        <v>600</v>
      </c>
      <c r="E36" s="198">
        <v>122</v>
      </c>
      <c r="F36" s="199">
        <v>141</v>
      </c>
      <c r="G36" s="199">
        <v>311</v>
      </c>
      <c r="H36" s="199">
        <v>341</v>
      </c>
      <c r="I36" s="199">
        <v>411</v>
      </c>
      <c r="J36" s="199">
        <v>422</v>
      </c>
      <c r="K36" s="199">
        <v>441</v>
      </c>
      <c r="L36" s="199">
        <v>521</v>
      </c>
      <c r="M36" s="200">
        <v>611</v>
      </c>
      <c r="N36" s="201">
        <v>43397</v>
      </c>
    </row>
    <row r="37" spans="1:14">
      <c r="A37" s="194" t="s">
        <v>950</v>
      </c>
      <c r="B37" s="203" t="s">
        <v>951</v>
      </c>
      <c r="C37" s="196" t="str">
        <f>C36</f>
        <v>Teamleader Valve Assy</v>
      </c>
      <c r="D37" s="197" t="s">
        <v>604</v>
      </c>
      <c r="E37" s="198">
        <v>122</v>
      </c>
      <c r="F37" s="199">
        <v>621</v>
      </c>
      <c r="G37" s="199">
        <v>311</v>
      </c>
      <c r="H37" s="199">
        <v>341</v>
      </c>
      <c r="I37" s="199">
        <v>411</v>
      </c>
      <c r="J37" s="199">
        <v>422</v>
      </c>
      <c r="K37" s="199">
        <v>441</v>
      </c>
      <c r="L37" s="199">
        <v>631</v>
      </c>
      <c r="M37" s="200">
        <v>611</v>
      </c>
      <c r="N37" s="201">
        <v>43397</v>
      </c>
    </row>
    <row r="38" spans="1:14">
      <c r="A38" s="194" t="s">
        <v>950</v>
      </c>
      <c r="B38" s="203" t="s">
        <v>951</v>
      </c>
      <c r="C38" s="196" t="str">
        <f>C37</f>
        <v>Teamleader Valve Assy</v>
      </c>
      <c r="D38" s="197" t="s">
        <v>760</v>
      </c>
      <c r="E38" s="198">
        <v>122</v>
      </c>
      <c r="F38" s="199">
        <v>621</v>
      </c>
      <c r="G38" s="199">
        <v>311</v>
      </c>
      <c r="H38" s="199">
        <v>341</v>
      </c>
      <c r="I38" s="199">
        <v>411</v>
      </c>
      <c r="J38" s="199">
        <v>422</v>
      </c>
      <c r="K38" s="199">
        <v>441</v>
      </c>
      <c r="L38" s="199">
        <v>631</v>
      </c>
      <c r="M38" s="200">
        <v>611</v>
      </c>
      <c r="N38" s="201">
        <v>43397</v>
      </c>
    </row>
    <row r="39" spans="1:14">
      <c r="A39" s="194" t="s">
        <v>950</v>
      </c>
      <c r="B39" s="203" t="s">
        <v>951</v>
      </c>
      <c r="C39" s="196" t="str">
        <f>C35</f>
        <v>Teamleader Valve Assy</v>
      </c>
      <c r="D39" s="197" t="s">
        <v>607</v>
      </c>
      <c r="E39" s="198">
        <v>122</v>
      </c>
      <c r="F39" s="199">
        <v>621</v>
      </c>
      <c r="G39" s="199">
        <v>311</v>
      </c>
      <c r="H39" s="199">
        <v>341</v>
      </c>
      <c r="I39" s="199">
        <v>411</v>
      </c>
      <c r="J39" s="199">
        <v>422</v>
      </c>
      <c r="K39" s="199">
        <v>441</v>
      </c>
      <c r="L39" s="199">
        <v>631</v>
      </c>
      <c r="M39" s="200">
        <v>611</v>
      </c>
      <c r="N39" s="201">
        <v>43397</v>
      </c>
    </row>
    <row r="40" spans="1:14">
      <c r="A40" s="194" t="s">
        <v>950</v>
      </c>
      <c r="B40" s="203" t="s">
        <v>951</v>
      </c>
      <c r="C40" s="196" t="str">
        <f>C39</f>
        <v>Teamleader Valve Assy</v>
      </c>
      <c r="D40" s="197" t="s">
        <v>608</v>
      </c>
      <c r="E40" s="198">
        <v>122</v>
      </c>
      <c r="F40" s="199">
        <v>621</v>
      </c>
      <c r="G40" s="199">
        <v>311</v>
      </c>
      <c r="H40" s="199">
        <v>341</v>
      </c>
      <c r="I40" s="199">
        <v>411</v>
      </c>
      <c r="J40" s="199">
        <v>422</v>
      </c>
      <c r="K40" s="199">
        <v>441</v>
      </c>
      <c r="L40" s="199">
        <v>631</v>
      </c>
      <c r="M40" s="200">
        <v>611</v>
      </c>
      <c r="N40" s="201">
        <v>43397</v>
      </c>
    </row>
    <row r="41" spans="1:14">
      <c r="A41" s="194"/>
      <c r="B41" s="203"/>
      <c r="C41" s="196"/>
      <c r="D41" s="197"/>
      <c r="E41" s="198"/>
      <c r="F41" s="199"/>
      <c r="G41" s="199"/>
      <c r="H41" s="199"/>
      <c r="I41" s="199"/>
      <c r="J41" s="199"/>
      <c r="K41" s="199"/>
      <c r="L41" s="199"/>
      <c r="M41" s="200"/>
      <c r="N41" s="211"/>
    </row>
    <row r="42" spans="1:14">
      <c r="A42" s="194"/>
      <c r="B42" s="203"/>
      <c r="C42" s="196"/>
      <c r="D42" s="197"/>
      <c r="E42" s="198"/>
      <c r="F42" s="199"/>
      <c r="G42" s="199"/>
      <c r="H42" s="199"/>
      <c r="I42" s="199"/>
      <c r="J42" s="199"/>
      <c r="K42" s="199"/>
      <c r="L42" s="199"/>
      <c r="M42" s="200"/>
      <c r="N42" s="211"/>
    </row>
    <row r="43" spans="1:14">
      <c r="A43" s="194"/>
      <c r="B43" s="203"/>
      <c r="C43" s="196"/>
      <c r="D43" s="197"/>
      <c r="E43" s="198"/>
      <c r="F43" s="199"/>
      <c r="G43" s="199"/>
      <c r="H43" s="199"/>
      <c r="I43" s="199"/>
      <c r="J43" s="199"/>
      <c r="K43" s="199"/>
      <c r="L43" s="199"/>
      <c r="M43" s="200"/>
      <c r="N43" s="211"/>
    </row>
    <row r="44" spans="1:14">
      <c r="A44" s="194"/>
      <c r="B44" s="203"/>
      <c r="C44" s="196"/>
      <c r="D44" s="197"/>
      <c r="E44" s="198"/>
      <c r="F44" s="199"/>
      <c r="G44" s="199"/>
      <c r="H44" s="199"/>
      <c r="I44" s="199"/>
      <c r="J44" s="199"/>
      <c r="K44" s="199"/>
      <c r="L44" s="199"/>
      <c r="M44" s="200"/>
      <c r="N44" s="211"/>
    </row>
    <row r="45" spans="1:14">
      <c r="A45" s="194"/>
      <c r="B45" s="203"/>
      <c r="C45" s="196"/>
      <c r="D45" s="197"/>
      <c r="E45" s="198"/>
      <c r="F45" s="199"/>
      <c r="G45" s="199"/>
      <c r="H45" s="199"/>
      <c r="I45" s="199"/>
      <c r="J45" s="199"/>
      <c r="K45" s="199"/>
      <c r="L45" s="199"/>
      <c r="M45" s="200"/>
      <c r="N45" s="211"/>
    </row>
    <row r="46" spans="1:14">
      <c r="A46" s="194"/>
      <c r="B46" s="203"/>
      <c r="C46" s="196"/>
      <c r="D46" s="197"/>
      <c r="E46" s="198"/>
      <c r="F46" s="199"/>
      <c r="G46" s="199"/>
      <c r="H46" s="199"/>
      <c r="I46" s="199"/>
      <c r="J46" s="199"/>
      <c r="K46" s="199"/>
      <c r="L46" s="199"/>
      <c r="M46" s="200"/>
      <c r="N46" s="211"/>
    </row>
    <row r="47" spans="1:14">
      <c r="A47" s="194"/>
      <c r="B47" s="203"/>
      <c r="C47" s="196"/>
      <c r="D47" s="197"/>
      <c r="E47" s="198"/>
      <c r="F47" s="199"/>
      <c r="G47" s="199"/>
      <c r="H47" s="199"/>
      <c r="I47" s="199"/>
      <c r="J47" s="199"/>
      <c r="K47" s="199"/>
      <c r="L47" s="199"/>
      <c r="M47" s="200"/>
      <c r="N47" s="211"/>
    </row>
    <row r="48" spans="1:14">
      <c r="A48" s="194"/>
      <c r="B48" s="203"/>
      <c r="C48" s="196"/>
      <c r="D48" s="197"/>
      <c r="E48" s="198"/>
      <c r="F48" s="199"/>
      <c r="G48" s="199"/>
      <c r="H48" s="199"/>
      <c r="I48" s="199"/>
      <c r="J48" s="199"/>
      <c r="K48" s="199"/>
      <c r="L48" s="199"/>
      <c r="M48" s="200"/>
      <c r="N48" s="211"/>
    </row>
    <row r="49" spans="1:14">
      <c r="A49" s="194"/>
      <c r="B49" s="203"/>
      <c r="C49" s="196"/>
      <c r="D49" s="197"/>
      <c r="E49" s="198"/>
      <c r="F49" s="199"/>
      <c r="G49" s="199"/>
      <c r="H49" s="199"/>
      <c r="I49" s="199"/>
      <c r="J49" s="199"/>
      <c r="K49" s="199"/>
      <c r="L49" s="199"/>
      <c r="M49" s="200"/>
      <c r="N49" s="211"/>
    </row>
    <row r="50" spans="1:14">
      <c r="A50" s="194"/>
      <c r="B50" s="203"/>
      <c r="C50" s="196"/>
      <c r="D50" s="197"/>
      <c r="E50" s="198"/>
      <c r="F50" s="199"/>
      <c r="G50" s="199"/>
      <c r="H50" s="199"/>
      <c r="I50" s="199"/>
      <c r="J50" s="199"/>
      <c r="K50" s="199"/>
      <c r="L50" s="199"/>
      <c r="M50" s="200"/>
      <c r="N50" s="211"/>
    </row>
    <row r="51" spans="1:14">
      <c r="A51" s="194"/>
      <c r="B51" s="203"/>
      <c r="C51" s="196"/>
      <c r="D51" s="197"/>
      <c r="E51" s="198"/>
      <c r="F51" s="199"/>
      <c r="G51" s="199"/>
      <c r="H51" s="199"/>
      <c r="I51" s="199"/>
      <c r="J51" s="199"/>
      <c r="K51" s="199"/>
      <c r="L51" s="199"/>
      <c r="M51" s="200"/>
      <c r="N51" s="211"/>
    </row>
    <row r="52" spans="1:14">
      <c r="A52" s="194"/>
      <c r="B52" s="203"/>
      <c r="C52" s="196"/>
      <c r="D52" s="197"/>
      <c r="E52" s="198"/>
      <c r="F52" s="199"/>
      <c r="G52" s="199"/>
      <c r="H52" s="199"/>
      <c r="I52" s="199"/>
      <c r="J52" s="199"/>
      <c r="K52" s="199"/>
      <c r="L52" s="199"/>
      <c r="M52" s="200"/>
      <c r="N52" s="211"/>
    </row>
    <row r="53" spans="1:14">
      <c r="A53" s="194"/>
      <c r="B53" s="203"/>
      <c r="C53" s="196"/>
      <c r="D53" s="197"/>
      <c r="E53" s="198"/>
      <c r="F53" s="199"/>
      <c r="G53" s="199"/>
      <c r="H53" s="199"/>
      <c r="I53" s="199"/>
      <c r="J53" s="199"/>
      <c r="K53" s="199"/>
      <c r="L53" s="199"/>
      <c r="M53" s="200"/>
      <c r="N53" s="211"/>
    </row>
    <row r="54" spans="1:14">
      <c r="A54" s="194"/>
      <c r="B54" s="203"/>
      <c r="C54" s="196"/>
      <c r="D54" s="197"/>
      <c r="E54" s="198"/>
      <c r="F54" s="199"/>
      <c r="G54" s="199"/>
      <c r="H54" s="199"/>
      <c r="I54" s="199"/>
      <c r="J54" s="199"/>
      <c r="K54" s="199"/>
      <c r="L54" s="199"/>
      <c r="M54" s="200"/>
      <c r="N54" s="211"/>
    </row>
    <row r="55" spans="1:14">
      <c r="A55" s="194"/>
      <c r="B55" s="203"/>
      <c r="C55" s="196"/>
      <c r="D55" s="197"/>
      <c r="E55" s="198"/>
      <c r="F55" s="199"/>
      <c r="G55" s="199"/>
      <c r="H55" s="199"/>
      <c r="I55" s="199"/>
      <c r="J55" s="199"/>
      <c r="K55" s="199"/>
      <c r="L55" s="199"/>
      <c r="M55" s="200"/>
      <c r="N55" s="211"/>
    </row>
    <row r="56" spans="1:14">
      <c r="A56" s="194"/>
      <c r="B56" s="203"/>
      <c r="C56" s="196"/>
      <c r="D56" s="197"/>
      <c r="E56" s="198"/>
      <c r="F56" s="199"/>
      <c r="G56" s="199"/>
      <c r="H56" s="199"/>
      <c r="I56" s="199"/>
      <c r="J56" s="199"/>
      <c r="K56" s="199"/>
      <c r="L56" s="199"/>
      <c r="M56" s="200"/>
      <c r="N56" s="211"/>
    </row>
    <row r="57" spans="1:14">
      <c r="A57" s="194"/>
      <c r="B57" s="203"/>
      <c r="C57" s="196"/>
      <c r="D57" s="197"/>
      <c r="E57" s="198"/>
      <c r="F57" s="199"/>
      <c r="G57" s="199"/>
      <c r="H57" s="199"/>
      <c r="I57" s="199"/>
      <c r="J57" s="199"/>
      <c r="K57" s="199"/>
      <c r="L57" s="199"/>
      <c r="M57" s="200"/>
      <c r="N57" s="211"/>
    </row>
    <row r="58" spans="1:14">
      <c r="A58" s="194"/>
      <c r="B58" s="203"/>
      <c r="C58" s="196"/>
      <c r="D58" s="197"/>
      <c r="E58" s="198"/>
      <c r="F58" s="199"/>
      <c r="G58" s="199"/>
      <c r="H58" s="199"/>
      <c r="I58" s="199"/>
      <c r="J58" s="199"/>
      <c r="K58" s="199"/>
      <c r="L58" s="199"/>
      <c r="M58" s="200"/>
      <c r="N58" s="211"/>
    </row>
    <row r="59" spans="1:14">
      <c r="A59" s="194"/>
      <c r="B59" s="203"/>
      <c r="C59" s="196"/>
      <c r="D59" s="197"/>
      <c r="E59" s="198"/>
      <c r="F59" s="199"/>
      <c r="G59" s="199"/>
      <c r="H59" s="199"/>
      <c r="I59" s="199"/>
      <c r="J59" s="199"/>
      <c r="K59" s="199"/>
      <c r="L59" s="199"/>
      <c r="M59" s="200"/>
      <c r="N59" s="211"/>
    </row>
    <row r="60" spans="1:14">
      <c r="A60" s="194"/>
      <c r="B60" s="203"/>
      <c r="C60" s="196"/>
      <c r="D60" s="197"/>
      <c r="E60" s="198"/>
      <c r="F60" s="199"/>
      <c r="G60" s="199"/>
      <c r="H60" s="199"/>
      <c r="I60" s="199"/>
      <c r="J60" s="199"/>
      <c r="K60" s="199"/>
      <c r="L60" s="199"/>
      <c r="M60" s="200"/>
      <c r="N60" s="211"/>
    </row>
    <row r="61" spans="1:14">
      <c r="A61" s="194"/>
      <c r="B61" s="203"/>
      <c r="C61" s="196"/>
      <c r="D61" s="197"/>
      <c r="E61" s="198"/>
      <c r="F61" s="199"/>
      <c r="G61" s="199"/>
      <c r="H61" s="199"/>
      <c r="I61" s="199"/>
      <c r="J61" s="199"/>
      <c r="K61" s="199"/>
      <c r="L61" s="199"/>
      <c r="M61" s="200"/>
      <c r="N61" s="211"/>
    </row>
    <row r="62" spans="1:14">
      <c r="A62" s="194"/>
      <c r="B62" s="203"/>
      <c r="C62" s="196"/>
      <c r="D62" s="197"/>
      <c r="E62" s="198"/>
      <c r="F62" s="199"/>
      <c r="G62" s="199"/>
      <c r="H62" s="199"/>
      <c r="I62" s="199"/>
      <c r="J62" s="199"/>
      <c r="K62" s="199"/>
      <c r="L62" s="199"/>
      <c r="M62" s="200"/>
      <c r="N62" s="211"/>
    </row>
    <row r="63" spans="1:14">
      <c r="A63" s="194"/>
      <c r="B63" s="203"/>
      <c r="C63" s="196"/>
      <c r="D63" s="197"/>
      <c r="E63" s="198"/>
      <c r="F63" s="199"/>
      <c r="G63" s="199"/>
      <c r="H63" s="199"/>
      <c r="I63" s="199"/>
      <c r="J63" s="199"/>
      <c r="K63" s="199"/>
      <c r="L63" s="199"/>
      <c r="M63" s="200"/>
      <c r="N63" s="211"/>
    </row>
    <row r="64" spans="1:14">
      <c r="A64" s="194"/>
      <c r="B64" s="203"/>
      <c r="C64" s="196"/>
      <c r="D64" s="197"/>
      <c r="E64" s="198"/>
      <c r="F64" s="199"/>
      <c r="G64" s="199"/>
      <c r="H64" s="199"/>
      <c r="I64" s="199"/>
      <c r="J64" s="199"/>
      <c r="K64" s="199"/>
      <c r="L64" s="199"/>
      <c r="M64" s="200"/>
      <c r="N64" s="211"/>
    </row>
    <row r="65" spans="1:14">
      <c r="A65" s="194"/>
      <c r="B65" s="203"/>
      <c r="C65" s="196"/>
      <c r="D65" s="197"/>
      <c r="E65" s="198"/>
      <c r="F65" s="199"/>
      <c r="G65" s="199"/>
      <c r="H65" s="199"/>
      <c r="I65" s="199"/>
      <c r="J65" s="199"/>
      <c r="K65" s="199"/>
      <c r="L65" s="199"/>
      <c r="M65" s="200"/>
      <c r="N65" s="211"/>
    </row>
    <row r="66" spans="1:14">
      <c r="A66" s="194"/>
      <c r="B66" s="203"/>
      <c r="C66" s="196"/>
      <c r="D66" s="197"/>
      <c r="E66" s="198"/>
      <c r="F66" s="199"/>
      <c r="G66" s="199"/>
      <c r="H66" s="199"/>
      <c r="I66" s="199"/>
      <c r="J66" s="199"/>
      <c r="K66" s="199"/>
      <c r="L66" s="199"/>
      <c r="M66" s="200"/>
      <c r="N66" s="211"/>
    </row>
    <row r="67" spans="1:14">
      <c r="A67" s="194"/>
      <c r="B67" s="203"/>
      <c r="C67" s="196"/>
      <c r="D67" s="197"/>
      <c r="E67" s="198"/>
      <c r="F67" s="199"/>
      <c r="G67" s="199"/>
      <c r="H67" s="199"/>
      <c r="I67" s="199"/>
      <c r="J67" s="199"/>
      <c r="K67" s="199"/>
      <c r="L67" s="199"/>
      <c r="M67" s="200"/>
      <c r="N67" s="211"/>
    </row>
    <row r="68" spans="1:14">
      <c r="A68" s="194"/>
      <c r="B68" s="203"/>
      <c r="C68" s="196"/>
      <c r="D68" s="197"/>
      <c r="E68" s="198"/>
      <c r="F68" s="199"/>
      <c r="G68" s="199"/>
      <c r="H68" s="199"/>
      <c r="I68" s="199"/>
      <c r="J68" s="199"/>
      <c r="K68" s="199"/>
      <c r="L68" s="199"/>
      <c r="M68" s="200"/>
      <c r="N68" s="211"/>
    </row>
    <row r="69" spans="1:14">
      <c r="A69" s="194"/>
      <c r="B69" s="203"/>
      <c r="C69" s="196"/>
      <c r="D69" s="197"/>
      <c r="E69" s="198"/>
      <c r="F69" s="199"/>
      <c r="G69" s="199"/>
      <c r="H69" s="199"/>
      <c r="I69" s="199"/>
      <c r="J69" s="199"/>
      <c r="K69" s="199"/>
      <c r="L69" s="199"/>
      <c r="M69" s="200"/>
      <c r="N69" s="211"/>
    </row>
    <row r="70" spans="1:14">
      <c r="A70" s="194"/>
      <c r="B70" s="203"/>
      <c r="C70" s="196"/>
      <c r="D70" s="197"/>
      <c r="E70" s="198"/>
      <c r="F70" s="199"/>
      <c r="G70" s="199"/>
      <c r="H70" s="199"/>
      <c r="I70" s="199"/>
      <c r="J70" s="199"/>
      <c r="K70" s="199"/>
      <c r="L70" s="199"/>
      <c r="M70" s="200"/>
      <c r="N70" s="211"/>
    </row>
    <row r="71" spans="1:14">
      <c r="A71" s="194"/>
      <c r="B71" s="203"/>
      <c r="C71" s="196"/>
      <c r="D71" s="197"/>
      <c r="E71" s="198"/>
      <c r="F71" s="199"/>
      <c r="G71" s="199"/>
      <c r="H71" s="199"/>
      <c r="I71" s="199"/>
      <c r="J71" s="199"/>
      <c r="K71" s="199"/>
      <c r="L71" s="199"/>
      <c r="M71" s="200"/>
      <c r="N71" s="211"/>
    </row>
    <row r="72" spans="1:14">
      <c r="A72" s="194"/>
      <c r="B72" s="203"/>
      <c r="C72" s="196"/>
      <c r="D72" s="197"/>
      <c r="E72" s="198"/>
      <c r="F72" s="199"/>
      <c r="G72" s="199"/>
      <c r="H72" s="199"/>
      <c r="I72" s="199"/>
      <c r="J72" s="199"/>
      <c r="K72" s="199"/>
      <c r="L72" s="199"/>
      <c r="M72" s="200"/>
      <c r="N72" s="211"/>
    </row>
    <row r="73" spans="1:14">
      <c r="A73" s="194"/>
      <c r="B73" s="203"/>
      <c r="C73" s="196"/>
      <c r="D73" s="197"/>
      <c r="E73" s="198"/>
      <c r="F73" s="199"/>
      <c r="G73" s="199"/>
      <c r="H73" s="199"/>
      <c r="I73" s="199"/>
      <c r="J73" s="199"/>
      <c r="K73" s="199"/>
      <c r="L73" s="199"/>
      <c r="M73" s="200"/>
      <c r="N73" s="211"/>
    </row>
    <row r="74" spans="1:14">
      <c r="A74" s="194"/>
      <c r="B74" s="203"/>
      <c r="C74" s="196"/>
      <c r="D74" s="197"/>
      <c r="E74" s="198"/>
      <c r="F74" s="199"/>
      <c r="G74" s="199"/>
      <c r="H74" s="199"/>
      <c r="I74" s="199"/>
      <c r="J74" s="199"/>
      <c r="K74" s="199"/>
      <c r="L74" s="199"/>
      <c r="M74" s="200"/>
      <c r="N74" s="211"/>
    </row>
    <row r="75" spans="1:14">
      <c r="A75" s="194"/>
      <c r="B75" s="203"/>
      <c r="C75" s="196"/>
      <c r="D75" s="197"/>
      <c r="E75" s="198"/>
      <c r="F75" s="199"/>
      <c r="G75" s="199"/>
      <c r="H75" s="199"/>
      <c r="I75" s="199"/>
      <c r="J75" s="199"/>
      <c r="K75" s="199"/>
      <c r="L75" s="199"/>
      <c r="M75" s="200"/>
      <c r="N75" s="211"/>
    </row>
    <row r="76" spans="1:14">
      <c r="A76" s="194"/>
      <c r="B76" s="203"/>
      <c r="C76" s="196"/>
      <c r="D76" s="197"/>
      <c r="E76" s="198"/>
      <c r="F76" s="199"/>
      <c r="G76" s="199"/>
      <c r="H76" s="199"/>
      <c r="I76" s="199"/>
      <c r="J76" s="199"/>
      <c r="K76" s="199"/>
      <c r="L76" s="199"/>
      <c r="M76" s="200"/>
      <c r="N76" s="211"/>
    </row>
    <row r="77" spans="1:14">
      <c r="A77" s="194"/>
      <c r="B77" s="203"/>
      <c r="C77" s="196"/>
      <c r="D77" s="197"/>
      <c r="E77" s="198"/>
      <c r="F77" s="199"/>
      <c r="G77" s="199"/>
      <c r="H77" s="199"/>
      <c r="I77" s="199"/>
      <c r="J77" s="199"/>
      <c r="K77" s="199"/>
      <c r="L77" s="199"/>
      <c r="M77" s="200"/>
      <c r="N77" s="211"/>
    </row>
    <row r="78" spans="1:14">
      <c r="A78" s="194"/>
      <c r="B78" s="203"/>
      <c r="C78" s="196"/>
      <c r="D78" s="197"/>
      <c r="E78" s="198"/>
      <c r="F78" s="199"/>
      <c r="G78" s="199"/>
      <c r="H78" s="199"/>
      <c r="I78" s="199"/>
      <c r="J78" s="199"/>
      <c r="K78" s="199"/>
      <c r="L78" s="199"/>
      <c r="M78" s="200"/>
      <c r="N78" s="211"/>
    </row>
    <row r="79" spans="1:14">
      <c r="A79" s="194"/>
      <c r="B79" s="203"/>
      <c r="C79" s="196"/>
      <c r="D79" s="197"/>
      <c r="E79" s="198"/>
      <c r="F79" s="199"/>
      <c r="G79" s="199"/>
      <c r="H79" s="199"/>
      <c r="I79" s="199"/>
      <c r="J79" s="199"/>
      <c r="K79" s="199"/>
      <c r="L79" s="199"/>
      <c r="M79" s="200"/>
      <c r="N79" s="211"/>
    </row>
    <row r="80" spans="1:14">
      <c r="A80" s="194"/>
      <c r="B80" s="203"/>
      <c r="C80" s="196"/>
      <c r="D80" s="197"/>
      <c r="E80" s="198"/>
      <c r="F80" s="199"/>
      <c r="G80" s="199"/>
      <c r="H80" s="199"/>
      <c r="I80" s="199"/>
      <c r="J80" s="199"/>
      <c r="K80" s="199"/>
      <c r="L80" s="199"/>
      <c r="M80" s="200"/>
      <c r="N80" s="211"/>
    </row>
    <row r="81" spans="1:14">
      <c r="A81" s="194"/>
      <c r="B81" s="203"/>
      <c r="C81" s="196"/>
      <c r="D81" s="197"/>
      <c r="E81" s="198"/>
      <c r="F81" s="199"/>
      <c r="G81" s="199"/>
      <c r="H81" s="199"/>
      <c r="I81" s="199"/>
      <c r="J81" s="199"/>
      <c r="K81" s="199"/>
      <c r="L81" s="199"/>
      <c r="M81" s="200"/>
      <c r="N81" s="211"/>
    </row>
    <row r="82" spans="1:14">
      <c r="A82" s="194"/>
      <c r="B82" s="203"/>
      <c r="C82" s="196"/>
      <c r="D82" s="197"/>
      <c r="E82" s="198"/>
      <c r="F82" s="199"/>
      <c r="G82" s="199"/>
      <c r="H82" s="199"/>
      <c r="I82" s="199"/>
      <c r="J82" s="199"/>
      <c r="K82" s="199"/>
      <c r="L82" s="199"/>
      <c r="M82" s="200"/>
      <c r="N82" s="211"/>
    </row>
    <row r="83" spans="1:14">
      <c r="A83" s="194"/>
      <c r="B83" s="203"/>
      <c r="C83" s="196"/>
      <c r="D83" s="197"/>
      <c r="E83" s="198"/>
      <c r="F83" s="199"/>
      <c r="G83" s="199"/>
      <c r="H83" s="199"/>
      <c r="I83" s="199"/>
      <c r="J83" s="199"/>
      <c r="K83" s="199"/>
      <c r="L83" s="199"/>
      <c r="M83" s="200"/>
      <c r="N83" s="211"/>
    </row>
    <row r="84" spans="1:14">
      <c r="A84" s="194"/>
      <c r="B84" s="203"/>
      <c r="C84" s="196"/>
      <c r="D84" s="197"/>
      <c r="E84" s="198"/>
      <c r="F84" s="199"/>
      <c r="G84" s="199"/>
      <c r="H84" s="199"/>
      <c r="I84" s="199"/>
      <c r="J84" s="199"/>
      <c r="K84" s="199"/>
      <c r="L84" s="199"/>
      <c r="M84" s="200"/>
      <c r="N84" s="211"/>
    </row>
    <row r="85" spans="1:14">
      <c r="A85" s="194"/>
      <c r="B85" s="203"/>
      <c r="C85" s="196"/>
      <c r="D85" s="197"/>
      <c r="E85" s="198"/>
      <c r="F85" s="199"/>
      <c r="G85" s="199"/>
      <c r="H85" s="199"/>
      <c r="I85" s="199"/>
      <c r="J85" s="199"/>
      <c r="K85" s="199"/>
      <c r="L85" s="199"/>
      <c r="M85" s="200"/>
      <c r="N85" s="211"/>
    </row>
    <row r="86" spans="1:14">
      <c r="A86" s="194"/>
      <c r="B86" s="203"/>
      <c r="C86" s="196"/>
      <c r="D86" s="197"/>
      <c r="E86" s="198"/>
      <c r="F86" s="199"/>
      <c r="G86" s="199"/>
      <c r="H86" s="199"/>
      <c r="I86" s="199"/>
      <c r="J86" s="199"/>
      <c r="K86" s="199"/>
      <c r="L86" s="199"/>
      <c r="M86" s="200"/>
      <c r="N86" s="211"/>
    </row>
    <row r="87" spans="1:14">
      <c r="A87" s="194"/>
      <c r="B87" s="203"/>
      <c r="C87" s="196"/>
      <c r="D87" s="197"/>
      <c r="E87" s="198"/>
      <c r="F87" s="199"/>
      <c r="G87" s="199"/>
      <c r="H87" s="199"/>
      <c r="I87" s="199"/>
      <c r="J87" s="199"/>
      <c r="K87" s="199"/>
      <c r="L87" s="199"/>
      <c r="M87" s="200"/>
      <c r="N87" s="211"/>
    </row>
    <row r="88" spans="1:14">
      <c r="A88" s="194"/>
      <c r="B88" s="203"/>
      <c r="C88" s="196"/>
      <c r="D88" s="197"/>
      <c r="E88" s="198"/>
      <c r="F88" s="199"/>
      <c r="G88" s="199"/>
      <c r="H88" s="199"/>
      <c r="I88" s="199"/>
      <c r="J88" s="199"/>
      <c r="K88" s="199"/>
      <c r="L88" s="199"/>
      <c r="M88" s="200"/>
      <c r="N88" s="211"/>
    </row>
    <row r="89" spans="1:14">
      <c r="A89" s="194"/>
      <c r="B89" s="203"/>
      <c r="C89" s="196"/>
      <c r="D89" s="197"/>
      <c r="E89" s="198"/>
      <c r="F89" s="199"/>
      <c r="G89" s="199"/>
      <c r="H89" s="199"/>
      <c r="I89" s="199"/>
      <c r="J89" s="199"/>
      <c r="K89" s="199"/>
      <c r="L89" s="199"/>
      <c r="M89" s="200"/>
      <c r="N89" s="211"/>
    </row>
    <row r="90" spans="1:14">
      <c r="A90" s="194"/>
      <c r="B90" s="203"/>
      <c r="C90" s="196"/>
      <c r="D90" s="197"/>
      <c r="E90" s="198"/>
      <c r="F90" s="199"/>
      <c r="G90" s="199"/>
      <c r="H90" s="199"/>
      <c r="I90" s="199"/>
      <c r="J90" s="199"/>
      <c r="K90" s="199"/>
      <c r="L90" s="199"/>
      <c r="M90" s="200"/>
      <c r="N90" s="211"/>
    </row>
    <row r="91" spans="1:14">
      <c r="A91" s="194"/>
      <c r="B91" s="203"/>
      <c r="C91" s="196"/>
      <c r="D91" s="197"/>
      <c r="E91" s="198"/>
      <c r="F91" s="199"/>
      <c r="G91" s="199"/>
      <c r="H91" s="199"/>
      <c r="I91" s="199"/>
      <c r="J91" s="199"/>
      <c r="K91" s="199"/>
      <c r="L91" s="199"/>
      <c r="M91" s="200"/>
      <c r="N91" s="211"/>
    </row>
    <row r="92" spans="1:14">
      <c r="A92" s="194"/>
      <c r="B92" s="203"/>
      <c r="C92" s="196"/>
      <c r="D92" s="197"/>
      <c r="E92" s="198"/>
      <c r="F92" s="199"/>
      <c r="G92" s="199"/>
      <c r="H92" s="199"/>
      <c r="I92" s="199"/>
      <c r="J92" s="199"/>
      <c r="K92" s="199"/>
      <c r="L92" s="199"/>
      <c r="M92" s="200"/>
      <c r="N92" s="211"/>
    </row>
    <row r="93" spans="1:14">
      <c r="A93" s="194"/>
      <c r="B93" s="203"/>
      <c r="C93" s="196"/>
      <c r="D93" s="197"/>
      <c r="E93" s="198"/>
      <c r="F93" s="199"/>
      <c r="G93" s="199"/>
      <c r="H93" s="199"/>
      <c r="I93" s="199"/>
      <c r="J93" s="199"/>
      <c r="K93" s="199"/>
      <c r="L93" s="199"/>
      <c r="M93" s="200"/>
      <c r="N93" s="211"/>
    </row>
    <row r="94" spans="1:14">
      <c r="A94" s="194"/>
      <c r="B94" s="203"/>
      <c r="C94" s="196"/>
      <c r="D94" s="197"/>
      <c r="E94" s="198"/>
      <c r="F94" s="199"/>
      <c r="G94" s="199"/>
      <c r="H94" s="199"/>
      <c r="I94" s="199"/>
      <c r="J94" s="199"/>
      <c r="K94" s="199"/>
      <c r="L94" s="199"/>
      <c r="M94" s="200"/>
      <c r="N94" s="211"/>
    </row>
    <row r="95" spans="1:14">
      <c r="A95" s="194"/>
      <c r="B95" s="203"/>
      <c r="C95" s="196"/>
      <c r="D95" s="197"/>
      <c r="E95" s="198"/>
      <c r="F95" s="199"/>
      <c r="G95" s="199"/>
      <c r="H95" s="199"/>
      <c r="I95" s="199"/>
      <c r="J95" s="199"/>
      <c r="K95" s="199"/>
      <c r="L95" s="199"/>
      <c r="M95" s="200"/>
      <c r="N95" s="211"/>
    </row>
    <row r="96" spans="1:14">
      <c r="A96" s="194"/>
      <c r="B96" s="203"/>
      <c r="C96" s="196"/>
      <c r="D96" s="197"/>
      <c r="E96" s="198"/>
      <c r="F96" s="199"/>
      <c r="G96" s="199"/>
      <c r="H96" s="199"/>
      <c r="I96" s="199"/>
      <c r="J96" s="199"/>
      <c r="K96" s="199"/>
      <c r="L96" s="199"/>
      <c r="M96" s="200"/>
      <c r="N96" s="211"/>
    </row>
    <row r="97" spans="1:14">
      <c r="A97" s="194"/>
      <c r="B97" s="203"/>
      <c r="C97" s="196"/>
      <c r="D97" s="197"/>
      <c r="E97" s="198"/>
      <c r="F97" s="199"/>
      <c r="G97" s="199"/>
      <c r="H97" s="199"/>
      <c r="I97" s="199"/>
      <c r="J97" s="199"/>
      <c r="K97" s="199"/>
      <c r="L97" s="199"/>
      <c r="M97" s="200"/>
      <c r="N97" s="211"/>
    </row>
    <row r="98" spans="1:14">
      <c r="A98" s="194"/>
      <c r="B98" s="203"/>
      <c r="C98" s="196"/>
      <c r="D98" s="197"/>
      <c r="E98" s="198"/>
      <c r="F98" s="199"/>
      <c r="G98" s="199"/>
      <c r="H98" s="199"/>
      <c r="I98" s="199"/>
      <c r="J98" s="199"/>
      <c r="K98" s="199"/>
      <c r="L98" s="199"/>
      <c r="M98" s="200"/>
      <c r="N98" s="211"/>
    </row>
    <row r="99" spans="1:14">
      <c r="A99" s="194"/>
      <c r="B99" s="203"/>
      <c r="C99" s="196"/>
      <c r="D99" s="197"/>
      <c r="E99" s="198"/>
      <c r="F99" s="199"/>
      <c r="G99" s="199"/>
      <c r="H99" s="199"/>
      <c r="I99" s="199"/>
      <c r="J99" s="199"/>
      <c r="K99" s="199"/>
      <c r="L99" s="199"/>
      <c r="M99" s="200"/>
      <c r="N99" s="211"/>
    </row>
    <row r="100" spans="1:14">
      <c r="A100" s="194"/>
      <c r="B100" s="203"/>
      <c r="C100" s="196"/>
      <c r="D100" s="197"/>
      <c r="E100" s="198"/>
      <c r="F100" s="199"/>
      <c r="G100" s="199"/>
      <c r="H100" s="199"/>
      <c r="I100" s="199"/>
      <c r="J100" s="199"/>
      <c r="K100" s="199"/>
      <c r="L100" s="199"/>
      <c r="M100" s="200"/>
      <c r="N100" s="211"/>
    </row>
    <row r="101" spans="1:14">
      <c r="A101" s="194"/>
      <c r="B101" s="203"/>
      <c r="C101" s="196"/>
      <c r="D101" s="197"/>
      <c r="E101" s="198"/>
      <c r="F101" s="199"/>
      <c r="G101" s="199"/>
      <c r="H101" s="199"/>
      <c r="I101" s="199"/>
      <c r="J101" s="199"/>
      <c r="K101" s="199"/>
      <c r="L101" s="199"/>
      <c r="M101" s="200"/>
      <c r="N101" s="211"/>
    </row>
    <row r="102" spans="1:14">
      <c r="A102" s="194"/>
      <c r="B102" s="203"/>
      <c r="C102" s="196"/>
      <c r="D102" s="197"/>
      <c r="E102" s="198"/>
      <c r="F102" s="199"/>
      <c r="G102" s="199"/>
      <c r="H102" s="199"/>
      <c r="I102" s="199"/>
      <c r="J102" s="199"/>
      <c r="K102" s="199"/>
      <c r="L102" s="199"/>
      <c r="M102" s="200"/>
      <c r="N102" s="211"/>
    </row>
    <row r="103" spans="1:14" ht="15.75" thickBot="1">
      <c r="A103" s="212"/>
      <c r="B103" s="213"/>
      <c r="C103" s="214"/>
      <c r="D103" s="215"/>
      <c r="E103" s="216"/>
      <c r="F103" s="217"/>
      <c r="G103" s="217"/>
      <c r="H103" s="217"/>
      <c r="I103" s="217"/>
      <c r="J103" s="217"/>
      <c r="K103" s="217"/>
      <c r="L103" s="217"/>
      <c r="M103" s="218"/>
      <c r="N103" s="219"/>
    </row>
    <row r="104" spans="1:14">
      <c r="C104" s="220"/>
    </row>
  </sheetData>
  <sheetProtection selectLockedCells="1"/>
  <mergeCells count="4">
    <mergeCell ref="A1:B1"/>
    <mergeCell ref="E1:N1"/>
    <mergeCell ref="A2:B2"/>
    <mergeCell ref="E2:N2"/>
  </mergeCells>
  <conditionalFormatting sqref="D5:N103">
    <cfRule type="cellIs" dxfId="75" priority="10" operator="equal">
      <formula>0</formula>
    </cfRule>
  </conditionalFormatting>
  <conditionalFormatting sqref="E4:N4">
    <cfRule type="cellIs" dxfId="74" priority="9" operator="equal">
      <formula>0</formula>
    </cfRule>
  </conditionalFormatting>
  <conditionalFormatting sqref="D4">
    <cfRule type="cellIs" dxfId="73" priority="4" operator="equal">
      <formula>0</formula>
    </cfRule>
  </conditionalFormatting>
  <conditionalFormatting sqref="N26">
    <cfRule type="cellIs" dxfId="72" priority="3" operator="equal">
      <formula>0</formula>
    </cfRule>
  </conditionalFormatting>
  <conditionalFormatting sqref="N25">
    <cfRule type="cellIs" dxfId="71" priority="2" operator="equal">
      <formula>0</formula>
    </cfRule>
  </conditionalFormatting>
  <conditionalFormatting sqref="E24:M26">
    <cfRule type="cellIs" dxfId="70" priority="1" operator="equal">
      <formula>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4390" r:id="rId4" name="OptionButtonENG">
          <controlPr defaultSize="0" autoLine="0" autoPict="0" r:id="rId5">
            <anchor moveWithCells="1">
              <from>
                <xdr:col>0</xdr:col>
                <xdr:colOff>990600</xdr:colOff>
                <xdr:row>0</xdr:row>
                <xdr:rowOff>1066800</xdr:rowOff>
              </from>
              <to>
                <xdr:col>0</xdr:col>
                <xdr:colOff>1495425</xdr:colOff>
                <xdr:row>0</xdr:row>
                <xdr:rowOff>1266825</xdr:rowOff>
              </to>
            </anchor>
          </controlPr>
        </control>
      </mc:Choice>
      <mc:Fallback>
        <control shapeId="14390" r:id="rId4" name="OptionButtonENG"/>
      </mc:Fallback>
    </mc:AlternateContent>
    <mc:AlternateContent xmlns:mc="http://schemas.openxmlformats.org/markup-compatibility/2006">
      <mc:Choice Requires="x14">
        <control shapeId="14389" r:id="rId6" name="OptionButtonNL">
          <controlPr defaultSize="0" autoLine="0" autoPict="0" r:id="rId7">
            <anchor moveWithCells="1">
              <from>
                <xdr:col>0</xdr:col>
                <xdr:colOff>990600</xdr:colOff>
                <xdr:row>0</xdr:row>
                <xdr:rowOff>866775</xdr:rowOff>
              </from>
              <to>
                <xdr:col>0</xdr:col>
                <xdr:colOff>1495425</xdr:colOff>
                <xdr:row>0</xdr:row>
                <xdr:rowOff>1057275</xdr:rowOff>
              </to>
            </anchor>
          </controlPr>
        </control>
      </mc:Choice>
      <mc:Fallback>
        <control shapeId="14389" r:id="rId6" name="OptionButtonNL"/>
      </mc:Fallback>
    </mc:AlternateContent>
    <mc:AlternateContent xmlns:mc="http://schemas.openxmlformats.org/markup-compatibility/2006">
      <mc:Choice Requires="x14">
        <control shapeId="14385" r:id="rId8" name="CheckBoxPersoneelsTevredenheidFG">
          <controlPr defaultSize="0" autoLine="0" r:id="rId9">
            <anchor moveWithCells="1">
              <from>
                <xdr:col>6</xdr:col>
                <xdr:colOff>209550</xdr:colOff>
                <xdr:row>0</xdr:row>
                <xdr:rowOff>1104900</xdr:rowOff>
              </from>
              <to>
                <xdr:col>9</xdr:col>
                <xdr:colOff>85725</xdr:colOff>
                <xdr:row>0</xdr:row>
                <xdr:rowOff>1371600</xdr:rowOff>
              </to>
            </anchor>
          </controlPr>
        </control>
      </mc:Choice>
      <mc:Fallback>
        <control shapeId="14385" r:id="rId8" name="CheckBoxPersoneelsTevredenheidFG"/>
      </mc:Fallback>
    </mc:AlternateContent>
    <mc:AlternateContent xmlns:mc="http://schemas.openxmlformats.org/markup-compatibility/2006">
      <mc:Choice Requires="x14">
        <control shapeId="14384" r:id="rId10" name="CheckBoxAmbitiesFG">
          <controlPr defaultSize="0" autoLine="0" r:id="rId11">
            <anchor moveWithCells="1">
              <from>
                <xdr:col>6</xdr:col>
                <xdr:colOff>209550</xdr:colOff>
                <xdr:row>0</xdr:row>
                <xdr:rowOff>333375</xdr:rowOff>
              </from>
              <to>
                <xdr:col>7</xdr:col>
                <xdr:colOff>428625</xdr:colOff>
                <xdr:row>0</xdr:row>
                <xdr:rowOff>600075</xdr:rowOff>
              </to>
            </anchor>
          </controlPr>
        </control>
      </mc:Choice>
      <mc:Fallback>
        <control shapeId="14384" r:id="rId10" name="CheckBoxAmbitiesFG"/>
      </mc:Fallback>
    </mc:AlternateContent>
    <mc:AlternateContent xmlns:mc="http://schemas.openxmlformats.org/markup-compatibility/2006">
      <mc:Choice Requires="x14">
        <control shapeId="14383" r:id="rId12" name="OptionCollectief">
          <controlPr defaultSize="0" autoLine="0" r:id="rId13">
            <anchor moveWithCells="1">
              <from>
                <xdr:col>0</xdr:col>
                <xdr:colOff>161925</xdr:colOff>
                <xdr:row>0</xdr:row>
                <xdr:rowOff>1057275</xdr:rowOff>
              </from>
              <to>
                <xdr:col>0</xdr:col>
                <xdr:colOff>904875</xdr:colOff>
                <xdr:row>0</xdr:row>
                <xdr:rowOff>1257300</xdr:rowOff>
              </to>
            </anchor>
          </controlPr>
        </control>
      </mc:Choice>
      <mc:Fallback>
        <control shapeId="14383" r:id="rId12" name="OptionCollectief"/>
      </mc:Fallback>
    </mc:AlternateContent>
    <mc:AlternateContent xmlns:mc="http://schemas.openxmlformats.org/markup-compatibility/2006">
      <mc:Choice Requires="x14">
        <control shapeId="14382" r:id="rId14" name="OptionIndividueel">
          <controlPr defaultSize="0" autoLine="0" r:id="rId15">
            <anchor moveWithCells="1">
              <from>
                <xdr:col>0</xdr:col>
                <xdr:colOff>152400</xdr:colOff>
                <xdr:row>0</xdr:row>
                <xdr:rowOff>857250</xdr:rowOff>
              </from>
              <to>
                <xdr:col>0</xdr:col>
                <xdr:colOff>895350</xdr:colOff>
                <xdr:row>0</xdr:row>
                <xdr:rowOff>1057275</xdr:rowOff>
              </to>
            </anchor>
          </controlPr>
        </control>
      </mc:Choice>
      <mc:Fallback>
        <control shapeId="14382" r:id="rId14" name="OptionIndividueel"/>
      </mc:Fallback>
    </mc:AlternateContent>
    <mc:AlternateContent xmlns:mc="http://schemas.openxmlformats.org/markup-compatibility/2006">
      <mc:Choice Requires="x14">
        <control shapeId="14379" r:id="rId16" name="OptionFunctioneringsgesprek">
          <controlPr defaultSize="0" autoLine="0" r:id="rId17">
            <anchor moveWithCells="1">
              <from>
                <xdr:col>3</xdr:col>
                <xdr:colOff>28575</xdr:colOff>
                <xdr:row>0</xdr:row>
                <xdr:rowOff>133350</xdr:rowOff>
              </from>
              <to>
                <xdr:col>4</xdr:col>
                <xdr:colOff>561975</xdr:colOff>
                <xdr:row>0</xdr:row>
                <xdr:rowOff>323850</xdr:rowOff>
              </to>
            </anchor>
          </controlPr>
        </control>
      </mc:Choice>
      <mc:Fallback>
        <control shapeId="14379" r:id="rId16" name="OptionFunctioneringsgesprek"/>
      </mc:Fallback>
    </mc:AlternateContent>
    <mc:AlternateContent xmlns:mc="http://schemas.openxmlformats.org/markup-compatibility/2006">
      <mc:Choice Requires="x14">
        <control shapeId="14378" r:id="rId18" name="OptionFunctiebeschrijving">
          <controlPr defaultSize="0" autoLine="0" r:id="rId19">
            <anchor moveWithCells="1">
              <from>
                <xdr:col>1</xdr:col>
                <xdr:colOff>161925</xdr:colOff>
                <xdr:row>0</xdr:row>
                <xdr:rowOff>123825</xdr:rowOff>
              </from>
              <to>
                <xdr:col>1</xdr:col>
                <xdr:colOff>2000250</xdr:colOff>
                <xdr:row>0</xdr:row>
                <xdr:rowOff>314325</xdr:rowOff>
              </to>
            </anchor>
          </controlPr>
        </control>
      </mc:Choice>
      <mc:Fallback>
        <control shapeId="14378" r:id="rId18" name="OptionFunctiebeschrijving"/>
      </mc:Fallback>
    </mc:AlternateContent>
    <mc:AlternateContent xmlns:mc="http://schemas.openxmlformats.org/markup-compatibility/2006">
      <mc:Choice Requires="x14">
        <control shapeId="14377" r:id="rId20" name="CheckboxKennisFG">
          <controlPr defaultSize="0" autoLine="0" r:id="rId21">
            <anchor moveWithCells="1">
              <from>
                <xdr:col>3</xdr:col>
                <xdr:colOff>38100</xdr:colOff>
                <xdr:row>0</xdr:row>
                <xdr:rowOff>1085850</xdr:rowOff>
              </from>
              <to>
                <xdr:col>4</xdr:col>
                <xdr:colOff>38100</xdr:colOff>
                <xdr:row>0</xdr:row>
                <xdr:rowOff>1352550</xdr:rowOff>
              </to>
            </anchor>
          </controlPr>
        </control>
      </mc:Choice>
      <mc:Fallback>
        <control shapeId="14377" r:id="rId20" name="CheckboxKennisFG"/>
      </mc:Fallback>
    </mc:AlternateContent>
    <mc:AlternateContent xmlns:mc="http://schemas.openxmlformats.org/markup-compatibility/2006">
      <mc:Choice Requires="x14">
        <control shapeId="14376" r:id="rId22" name="CheckBoxWaardenFG">
          <controlPr defaultSize="0" autoLine="0" r:id="rId23">
            <anchor moveWithCells="1">
              <from>
                <xdr:col>3</xdr:col>
                <xdr:colOff>38100</xdr:colOff>
                <xdr:row>0</xdr:row>
                <xdr:rowOff>847725</xdr:rowOff>
              </from>
              <to>
                <xdr:col>3</xdr:col>
                <xdr:colOff>809625</xdr:colOff>
                <xdr:row>0</xdr:row>
                <xdr:rowOff>1085850</xdr:rowOff>
              </to>
            </anchor>
          </controlPr>
        </control>
      </mc:Choice>
      <mc:Fallback>
        <control shapeId="14376" r:id="rId22" name="CheckBoxWaardenFG"/>
      </mc:Fallback>
    </mc:AlternateContent>
    <mc:AlternateContent xmlns:mc="http://schemas.openxmlformats.org/markup-compatibility/2006">
      <mc:Choice Requires="x14">
        <control shapeId="14374" r:id="rId24" name="CheckBoxVerantwFG">
          <controlPr defaultSize="0" autoLine="0" r:id="rId25">
            <anchor moveWithCells="1">
              <from>
                <xdr:col>3</xdr:col>
                <xdr:colOff>38100</xdr:colOff>
                <xdr:row>0</xdr:row>
                <xdr:rowOff>361950</xdr:rowOff>
              </from>
              <to>
                <xdr:col>6</xdr:col>
                <xdr:colOff>180975</xdr:colOff>
                <xdr:row>0</xdr:row>
                <xdr:rowOff>600075</xdr:rowOff>
              </to>
            </anchor>
          </controlPr>
        </control>
      </mc:Choice>
      <mc:Fallback>
        <control shapeId="14374" r:id="rId24" name="CheckBoxVerantwFG"/>
      </mc:Fallback>
    </mc:AlternateContent>
    <mc:AlternateContent xmlns:mc="http://schemas.openxmlformats.org/markup-compatibility/2006">
      <mc:Choice Requires="x14">
        <control shapeId="14373" r:id="rId26" name="CheckBoxActiesFG">
          <controlPr defaultSize="0" autoLine="0" r:id="rId27">
            <anchor moveWithCells="1">
              <from>
                <xdr:col>3</xdr:col>
                <xdr:colOff>38100</xdr:colOff>
                <xdr:row>0</xdr:row>
                <xdr:rowOff>1343025</xdr:rowOff>
              </from>
              <to>
                <xdr:col>4</xdr:col>
                <xdr:colOff>304800</xdr:colOff>
                <xdr:row>0</xdr:row>
                <xdr:rowOff>1581150</xdr:rowOff>
              </to>
            </anchor>
          </controlPr>
        </control>
      </mc:Choice>
      <mc:Fallback>
        <control shapeId="14373" r:id="rId26" name="CheckBoxActiesFG"/>
      </mc:Fallback>
    </mc:AlternateContent>
    <mc:AlternateContent xmlns:mc="http://schemas.openxmlformats.org/markup-compatibility/2006">
      <mc:Choice Requires="x14">
        <control shapeId="14372" r:id="rId28" name="CheckBoxOntwikkelplanFG">
          <controlPr defaultSize="0" autoLine="0" r:id="rId29">
            <anchor moveWithCells="1">
              <from>
                <xdr:col>6</xdr:col>
                <xdr:colOff>209550</xdr:colOff>
                <xdr:row>0</xdr:row>
                <xdr:rowOff>600075</xdr:rowOff>
              </from>
              <to>
                <xdr:col>8</xdr:col>
                <xdr:colOff>28575</xdr:colOff>
                <xdr:row>0</xdr:row>
                <xdr:rowOff>838200</xdr:rowOff>
              </to>
            </anchor>
          </controlPr>
        </control>
      </mc:Choice>
      <mc:Fallback>
        <control shapeId="14372" r:id="rId28" name="CheckBoxOntwikkelplanFG"/>
      </mc:Fallback>
    </mc:AlternateContent>
    <mc:AlternateContent xmlns:mc="http://schemas.openxmlformats.org/markup-compatibility/2006">
      <mc:Choice Requires="x14">
        <control shapeId="14371" r:id="rId30" name="CheckBoxFeedbackFG">
          <controlPr defaultSize="0" autoLine="0" r:id="rId31">
            <anchor moveWithCells="1">
              <from>
                <xdr:col>6</xdr:col>
                <xdr:colOff>209550</xdr:colOff>
                <xdr:row>0</xdr:row>
                <xdr:rowOff>857250</xdr:rowOff>
              </from>
              <to>
                <xdr:col>9</xdr:col>
                <xdr:colOff>171450</xdr:colOff>
                <xdr:row>0</xdr:row>
                <xdr:rowOff>1095375</xdr:rowOff>
              </to>
            </anchor>
          </controlPr>
        </control>
      </mc:Choice>
      <mc:Fallback>
        <control shapeId="14371" r:id="rId30" name="CheckBoxFeedbackFG"/>
      </mc:Fallback>
    </mc:AlternateContent>
    <mc:AlternateContent xmlns:mc="http://schemas.openxmlformats.org/markup-compatibility/2006">
      <mc:Choice Requires="x14">
        <control shapeId="14370" r:id="rId32" name="CheckBoxKennisFB">
          <controlPr defaultSize="0" autoLine="0" r:id="rId33">
            <anchor moveWithCells="1">
              <from>
                <xdr:col>1</xdr:col>
                <xdr:colOff>171450</xdr:colOff>
                <xdr:row>0</xdr:row>
                <xdr:rowOff>1057275</xdr:rowOff>
              </from>
              <to>
                <xdr:col>1</xdr:col>
                <xdr:colOff>1381125</xdr:colOff>
                <xdr:row>0</xdr:row>
                <xdr:rowOff>1276350</xdr:rowOff>
              </to>
            </anchor>
          </controlPr>
        </control>
      </mc:Choice>
      <mc:Fallback>
        <control shapeId="14370" r:id="rId32" name="CheckBoxKennisFB"/>
      </mc:Fallback>
    </mc:AlternateContent>
    <mc:AlternateContent xmlns:mc="http://schemas.openxmlformats.org/markup-compatibility/2006">
      <mc:Choice Requires="x14">
        <control shapeId="14369" r:id="rId34" name="CheckBoxWaardenFB">
          <controlPr defaultSize="0" autoLine="0" r:id="rId35">
            <anchor moveWithCells="1">
              <from>
                <xdr:col>1</xdr:col>
                <xdr:colOff>161925</xdr:colOff>
                <xdr:row>0</xdr:row>
                <xdr:rowOff>800100</xdr:rowOff>
              </from>
              <to>
                <xdr:col>1</xdr:col>
                <xdr:colOff>933450</xdr:colOff>
                <xdr:row>0</xdr:row>
                <xdr:rowOff>1038225</xdr:rowOff>
              </to>
            </anchor>
          </controlPr>
        </control>
      </mc:Choice>
      <mc:Fallback>
        <control shapeId="14369" r:id="rId34" name="CheckBoxWaardenFB"/>
      </mc:Fallback>
    </mc:AlternateContent>
    <mc:AlternateContent xmlns:mc="http://schemas.openxmlformats.org/markup-compatibility/2006">
      <mc:Choice Requires="x14">
        <control shapeId="14359" r:id="rId36" name="CommandButton1">
          <controlPr defaultSize="0" autoLine="0" r:id="rId37">
            <anchor moveWithCells="1">
              <from>
                <xdr:col>0</xdr:col>
                <xdr:colOff>95250</xdr:colOff>
                <xdr:row>0</xdr:row>
                <xdr:rowOff>85725</xdr:rowOff>
              </from>
              <to>
                <xdr:col>0</xdr:col>
                <xdr:colOff>1400175</xdr:colOff>
                <xdr:row>0</xdr:row>
                <xdr:rowOff>590550</xdr:rowOff>
              </to>
            </anchor>
          </controlPr>
        </control>
      </mc:Choice>
      <mc:Fallback>
        <control shapeId="14359" r:id="rId36" name="CommandButton1"/>
      </mc:Fallback>
    </mc:AlternateContent>
    <mc:AlternateContent xmlns:mc="http://schemas.openxmlformats.org/markup-compatibility/2006">
      <mc:Choice Requires="x14">
        <control shapeId="14368" r:id="rId38" name="CheckBoxVerantwFB">
          <controlPr defaultSize="0" autoLine="0" r:id="rId39">
            <anchor moveWithCells="1">
              <from>
                <xdr:col>1</xdr:col>
                <xdr:colOff>161925</xdr:colOff>
                <xdr:row>0</xdr:row>
                <xdr:rowOff>361950</xdr:rowOff>
              </from>
              <to>
                <xdr:col>2</xdr:col>
                <xdr:colOff>171450</xdr:colOff>
                <xdr:row>0</xdr:row>
                <xdr:rowOff>600075</xdr:rowOff>
              </to>
            </anchor>
          </controlPr>
        </control>
      </mc:Choice>
      <mc:Fallback>
        <control shapeId="14368" r:id="rId38" name="CheckBoxVerantwFB"/>
      </mc:Fallback>
    </mc:AlternateContent>
    <mc:AlternateContent xmlns:mc="http://schemas.openxmlformats.org/markup-compatibility/2006">
      <mc:Choice Requires="x14">
        <control shapeId="14386" r:id="rId40" name="CheckboxCompetentiesFB">
          <controlPr defaultSize="0" autoLine="0" r:id="rId41">
            <anchor moveWithCells="1">
              <from>
                <xdr:col>1</xdr:col>
                <xdr:colOff>171450</xdr:colOff>
                <xdr:row>0</xdr:row>
                <xdr:rowOff>561975</xdr:rowOff>
              </from>
              <to>
                <xdr:col>1</xdr:col>
                <xdr:colOff>2247900</xdr:colOff>
                <xdr:row>0</xdr:row>
                <xdr:rowOff>828675</xdr:rowOff>
              </to>
            </anchor>
          </controlPr>
        </control>
      </mc:Choice>
      <mc:Fallback>
        <control shapeId="14386" r:id="rId40" name="CheckboxCompetentiesFB"/>
      </mc:Fallback>
    </mc:AlternateContent>
    <mc:AlternateContent xmlns:mc="http://schemas.openxmlformats.org/markup-compatibility/2006">
      <mc:Choice Requires="x14">
        <control shapeId="14387" r:id="rId42" name="CheckboxCompetentiesFG">
          <controlPr defaultSize="0" autoLine="0" r:id="rId43">
            <anchor moveWithCells="1">
              <from>
                <xdr:col>3</xdr:col>
                <xdr:colOff>38100</xdr:colOff>
                <xdr:row>0</xdr:row>
                <xdr:rowOff>600075</xdr:rowOff>
              </from>
              <to>
                <xdr:col>5</xdr:col>
                <xdr:colOff>190500</xdr:colOff>
                <xdr:row>0</xdr:row>
                <xdr:rowOff>866775</xdr:rowOff>
              </to>
            </anchor>
          </controlPr>
        </control>
      </mc:Choice>
      <mc:Fallback>
        <control shapeId="14387" r:id="rId42" name="CheckboxCompetentiesFG"/>
      </mc:Fallback>
    </mc:AlternateContent>
    <mc:AlternateContent xmlns:mc="http://schemas.openxmlformats.org/markup-compatibility/2006">
      <mc:Choice Requires="x14">
        <control shapeId="14388" r:id="rId44" name="CheckBoxOpenInputFG">
          <controlPr defaultSize="0" autoLine="0" r:id="rId45">
            <anchor moveWithCells="1">
              <from>
                <xdr:col>6</xdr:col>
                <xdr:colOff>219075</xdr:colOff>
                <xdr:row>0</xdr:row>
                <xdr:rowOff>1333500</xdr:rowOff>
              </from>
              <to>
                <xdr:col>7</xdr:col>
                <xdr:colOff>561975</xdr:colOff>
                <xdr:row>0</xdr:row>
                <xdr:rowOff>1600200</xdr:rowOff>
              </to>
            </anchor>
          </controlPr>
        </control>
      </mc:Choice>
      <mc:Fallback>
        <control shapeId="14388" r:id="rId44" name="CheckBoxOpenInputFG"/>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C0771-0C20-431A-BF1B-F2F170F7C3EF}">
  <sheetPr codeName="Waarden"/>
  <dimension ref="A1:H38"/>
  <sheetViews>
    <sheetView showRowColHeaders="0" zoomScale="70" zoomScaleNormal="70" workbookViewId="0">
      <selection activeCell="F14" sqref="F14"/>
    </sheetView>
  </sheetViews>
  <sheetFormatPr defaultRowHeight="15"/>
  <cols>
    <col min="1" max="1" width="22.28515625" style="60" customWidth="1"/>
    <col min="2" max="2" width="2.5703125" style="1" customWidth="1"/>
    <col min="3" max="3" width="92.28515625" bestFit="1" customWidth="1"/>
    <col min="4" max="4" width="22" style="1" customWidth="1"/>
    <col min="5" max="5" width="1.85546875" style="1" bestFit="1" customWidth="1"/>
    <col min="6" max="6" width="64.140625" style="1" customWidth="1"/>
  </cols>
  <sheetData>
    <row r="1" spans="1:8" s="1" customFormat="1" ht="126.75" customHeight="1" thickBot="1">
      <c r="A1" s="68" t="s">
        <v>475</v>
      </c>
      <c r="B1" s="419"/>
      <c r="C1" s="420"/>
      <c r="D1" s="68" t="s">
        <v>2099</v>
      </c>
      <c r="E1" s="419"/>
      <c r="F1" s="420"/>
    </row>
    <row r="2" spans="1:8">
      <c r="A2" s="424" t="s">
        <v>515</v>
      </c>
      <c r="B2" s="53" t="s">
        <v>467</v>
      </c>
      <c r="C2" s="228" t="s">
        <v>622</v>
      </c>
      <c r="D2" s="424" t="s">
        <v>2100</v>
      </c>
      <c r="E2" s="53" t="s">
        <v>467</v>
      </c>
      <c r="F2" s="228" t="s">
        <v>2101</v>
      </c>
    </row>
    <row r="3" spans="1:8">
      <c r="A3" s="425"/>
      <c r="B3" s="54" t="s">
        <v>467</v>
      </c>
      <c r="C3" s="229" t="s">
        <v>520</v>
      </c>
      <c r="D3" s="425"/>
      <c r="E3" s="54" t="s">
        <v>467</v>
      </c>
      <c r="F3" s="229" t="s">
        <v>2102</v>
      </c>
    </row>
    <row r="4" spans="1:8">
      <c r="A4" s="425"/>
      <c r="B4" s="54" t="s">
        <v>467</v>
      </c>
      <c r="C4" s="229" t="s">
        <v>521</v>
      </c>
      <c r="D4" s="425"/>
      <c r="E4" s="54" t="s">
        <v>467</v>
      </c>
      <c r="F4" s="229" t="s">
        <v>2103</v>
      </c>
    </row>
    <row r="5" spans="1:8">
      <c r="A5" s="425"/>
      <c r="B5" s="54" t="s">
        <v>467</v>
      </c>
      <c r="C5" s="229"/>
      <c r="D5" s="425"/>
      <c r="E5" s="54" t="s">
        <v>467</v>
      </c>
      <c r="F5" s="229"/>
    </row>
    <row r="6" spans="1:8">
      <c r="A6" s="425"/>
      <c r="B6" s="54" t="s">
        <v>467</v>
      </c>
      <c r="C6" s="229"/>
      <c r="D6" s="425"/>
      <c r="E6" s="54" t="s">
        <v>467</v>
      </c>
      <c r="F6" s="229"/>
    </row>
    <row r="7" spans="1:8" ht="15.75" thickBot="1">
      <c r="A7" s="426"/>
      <c r="B7" s="55" t="s">
        <v>467</v>
      </c>
      <c r="C7" s="230"/>
      <c r="D7" s="426"/>
      <c r="E7" s="55" t="s">
        <v>467</v>
      </c>
      <c r="F7" s="230"/>
    </row>
    <row r="8" spans="1:8">
      <c r="A8" s="427" t="s">
        <v>516</v>
      </c>
      <c r="B8" s="33" t="s">
        <v>467</v>
      </c>
      <c r="C8" s="229" t="s">
        <v>522</v>
      </c>
      <c r="D8" s="427" t="s">
        <v>2104</v>
      </c>
      <c r="E8" s="33" t="s">
        <v>467</v>
      </c>
      <c r="F8" s="229" t="s">
        <v>2105</v>
      </c>
    </row>
    <row r="9" spans="1:8">
      <c r="A9" s="428"/>
      <c r="B9" s="34" t="s">
        <v>467</v>
      </c>
      <c r="C9" s="229" t="s">
        <v>523</v>
      </c>
      <c r="D9" s="428"/>
      <c r="E9" s="34" t="s">
        <v>467</v>
      </c>
      <c r="F9" s="229" t="s">
        <v>2106</v>
      </c>
    </row>
    <row r="10" spans="1:8">
      <c r="A10" s="428"/>
      <c r="B10" s="34" t="s">
        <v>467</v>
      </c>
      <c r="C10" s="229"/>
      <c r="D10" s="428"/>
      <c r="E10" s="34" t="s">
        <v>467</v>
      </c>
      <c r="F10" s="229"/>
    </row>
    <row r="11" spans="1:8">
      <c r="A11" s="428"/>
      <c r="B11" s="34" t="s">
        <v>467</v>
      </c>
      <c r="C11" s="229"/>
      <c r="D11" s="428"/>
      <c r="E11" s="34" t="s">
        <v>467</v>
      </c>
      <c r="F11" s="229"/>
    </row>
    <row r="12" spans="1:8" s="1" customFormat="1">
      <c r="A12" s="428"/>
      <c r="B12" s="34" t="s">
        <v>467</v>
      </c>
      <c r="C12" s="229"/>
      <c r="D12" s="428"/>
      <c r="E12" s="34" t="s">
        <v>467</v>
      </c>
      <c r="F12" s="229"/>
    </row>
    <row r="13" spans="1:8" s="1" customFormat="1" ht="15.75" thickBot="1">
      <c r="A13" s="429"/>
      <c r="B13" s="35" t="s">
        <v>467</v>
      </c>
      <c r="C13" s="230"/>
      <c r="D13" s="429"/>
      <c r="E13" s="35" t="s">
        <v>467</v>
      </c>
      <c r="F13" s="230"/>
    </row>
    <row r="14" spans="1:8" ht="23.25">
      <c r="A14" s="424" t="s">
        <v>517</v>
      </c>
      <c r="B14" s="33" t="s">
        <v>467</v>
      </c>
      <c r="C14" s="229" t="s">
        <v>524</v>
      </c>
      <c r="D14" s="424" t="s">
        <v>2107</v>
      </c>
      <c r="E14" s="33" t="s">
        <v>467</v>
      </c>
      <c r="F14" s="248" t="s">
        <v>2108</v>
      </c>
    </row>
    <row r="15" spans="1:8" ht="23.25">
      <c r="A15" s="425"/>
      <c r="B15" s="34" t="s">
        <v>467</v>
      </c>
      <c r="C15" s="229" t="s">
        <v>525</v>
      </c>
      <c r="D15" s="425"/>
      <c r="E15" s="34" t="s">
        <v>467</v>
      </c>
      <c r="F15" s="248" t="s">
        <v>2109</v>
      </c>
    </row>
    <row r="16" spans="1:8">
      <c r="A16" s="425"/>
      <c r="B16" s="34" t="s">
        <v>467</v>
      </c>
      <c r="C16" s="229"/>
      <c r="D16" s="425"/>
      <c r="E16" s="34" t="s">
        <v>467</v>
      </c>
      <c r="F16" s="229"/>
      <c r="H16" s="10"/>
    </row>
    <row r="17" spans="1:7">
      <c r="A17" s="425"/>
      <c r="B17" s="34" t="s">
        <v>467</v>
      </c>
      <c r="C17" s="229"/>
      <c r="D17" s="425"/>
      <c r="E17" s="34" t="s">
        <v>467</v>
      </c>
      <c r="F17" s="229"/>
    </row>
    <row r="18" spans="1:7">
      <c r="A18" s="425"/>
      <c r="B18" s="34" t="s">
        <v>467</v>
      </c>
      <c r="C18" s="229"/>
      <c r="D18" s="425"/>
      <c r="E18" s="34" t="s">
        <v>467</v>
      </c>
      <c r="F18" s="229"/>
    </row>
    <row r="19" spans="1:7" ht="15.75" thickBot="1">
      <c r="A19" s="426"/>
      <c r="B19" s="35" t="s">
        <v>467</v>
      </c>
      <c r="C19" s="230"/>
      <c r="D19" s="426"/>
      <c r="E19" s="35" t="s">
        <v>467</v>
      </c>
      <c r="F19" s="230"/>
    </row>
    <row r="20" spans="1:7">
      <c r="A20" s="424" t="s">
        <v>518</v>
      </c>
      <c r="B20" s="33" t="s">
        <v>467</v>
      </c>
      <c r="C20" s="229" t="s">
        <v>526</v>
      </c>
      <c r="D20" s="424" t="s">
        <v>2179</v>
      </c>
      <c r="E20" s="33" t="s">
        <v>467</v>
      </c>
      <c r="F20" s="229" t="s">
        <v>2110</v>
      </c>
    </row>
    <row r="21" spans="1:7" ht="23.25">
      <c r="A21" s="425"/>
      <c r="B21" s="34" t="s">
        <v>467</v>
      </c>
      <c r="C21" s="229" t="s">
        <v>527</v>
      </c>
      <c r="D21" s="425"/>
      <c r="E21" s="34" t="s">
        <v>467</v>
      </c>
      <c r="F21" s="248" t="s">
        <v>2111</v>
      </c>
    </row>
    <row r="22" spans="1:7">
      <c r="A22" s="425"/>
      <c r="B22" s="34" t="s">
        <v>467</v>
      </c>
      <c r="C22" s="229"/>
      <c r="D22" s="425"/>
      <c r="E22" s="34" t="s">
        <v>467</v>
      </c>
      <c r="F22" s="229"/>
    </row>
    <row r="23" spans="1:7">
      <c r="A23" s="425"/>
      <c r="B23" s="34" t="s">
        <v>467</v>
      </c>
      <c r="C23" s="229"/>
      <c r="D23" s="425"/>
      <c r="E23" s="34" t="s">
        <v>467</v>
      </c>
      <c r="F23" s="229"/>
    </row>
    <row r="24" spans="1:7">
      <c r="A24" s="425"/>
      <c r="B24" s="34" t="s">
        <v>467</v>
      </c>
      <c r="C24" s="229"/>
      <c r="D24" s="425"/>
      <c r="E24" s="34" t="s">
        <v>467</v>
      </c>
      <c r="F24" s="229"/>
    </row>
    <row r="25" spans="1:7" s="1" customFormat="1" ht="15.75" thickBot="1">
      <c r="A25" s="426"/>
      <c r="B25" s="35" t="s">
        <v>467</v>
      </c>
      <c r="C25" s="230"/>
      <c r="D25" s="426"/>
      <c r="E25" s="35" t="s">
        <v>467</v>
      </c>
      <c r="F25" s="230"/>
    </row>
    <row r="26" spans="1:7" ht="23.25">
      <c r="A26" s="424" t="s">
        <v>519</v>
      </c>
      <c r="B26" s="33" t="s">
        <v>467</v>
      </c>
      <c r="C26" s="229" t="s">
        <v>528</v>
      </c>
      <c r="D26" s="424" t="s">
        <v>2112</v>
      </c>
      <c r="E26" s="33" t="s">
        <v>467</v>
      </c>
      <c r="F26" s="248" t="s">
        <v>2113</v>
      </c>
    </row>
    <row r="27" spans="1:7">
      <c r="A27" s="425"/>
      <c r="B27" s="34" t="s">
        <v>467</v>
      </c>
      <c r="C27" s="229" t="s">
        <v>529</v>
      </c>
      <c r="D27" s="425"/>
      <c r="E27" s="34" t="s">
        <v>467</v>
      </c>
      <c r="F27" s="229" t="s">
        <v>2114</v>
      </c>
    </row>
    <row r="28" spans="1:7">
      <c r="A28" s="425"/>
      <c r="B28" s="34" t="s">
        <v>467</v>
      </c>
      <c r="C28" s="229"/>
      <c r="D28" s="425"/>
      <c r="E28" s="34" t="s">
        <v>467</v>
      </c>
      <c r="F28" s="229"/>
      <c r="G28" s="1"/>
    </row>
    <row r="29" spans="1:7" s="1" customFormat="1">
      <c r="A29" s="425"/>
      <c r="B29" s="34" t="s">
        <v>467</v>
      </c>
      <c r="C29" s="229"/>
      <c r="D29" s="425"/>
      <c r="E29" s="34" t="s">
        <v>467</v>
      </c>
      <c r="F29" s="229"/>
    </row>
    <row r="30" spans="1:7" s="1" customFormat="1">
      <c r="A30" s="425"/>
      <c r="B30" s="34" t="s">
        <v>467</v>
      </c>
      <c r="C30" s="229"/>
      <c r="D30" s="425"/>
      <c r="E30" s="34" t="s">
        <v>467</v>
      </c>
      <c r="F30" s="229"/>
    </row>
    <row r="31" spans="1:7" s="1" customFormat="1" ht="15.75" thickBot="1">
      <c r="A31" s="426"/>
      <c r="B31" s="35" t="s">
        <v>467</v>
      </c>
      <c r="C31" s="230"/>
      <c r="D31" s="426"/>
      <c r="E31" s="35" t="s">
        <v>467</v>
      </c>
      <c r="F31" s="230"/>
    </row>
    <row r="32" spans="1:7">
      <c r="A32" s="421"/>
      <c r="B32" s="33" t="s">
        <v>467</v>
      </c>
      <c r="C32" s="228"/>
      <c r="D32" s="421"/>
      <c r="E32" s="33" t="s">
        <v>467</v>
      </c>
      <c r="F32" s="228"/>
    </row>
    <row r="33" spans="1:6">
      <c r="A33" s="422"/>
      <c r="B33" s="34" t="s">
        <v>467</v>
      </c>
      <c r="C33" s="229"/>
      <c r="D33" s="422"/>
      <c r="E33" s="34" t="s">
        <v>467</v>
      </c>
      <c r="F33" s="229"/>
    </row>
    <row r="34" spans="1:6">
      <c r="A34" s="422"/>
      <c r="B34" s="34" t="s">
        <v>467</v>
      </c>
      <c r="C34" s="229"/>
      <c r="D34" s="422"/>
      <c r="E34" s="34" t="s">
        <v>467</v>
      </c>
      <c r="F34" s="229"/>
    </row>
    <row r="35" spans="1:6">
      <c r="A35" s="422"/>
      <c r="B35" s="34" t="s">
        <v>467</v>
      </c>
      <c r="C35" s="229"/>
      <c r="D35" s="422"/>
      <c r="E35" s="34" t="s">
        <v>467</v>
      </c>
      <c r="F35" s="229"/>
    </row>
    <row r="36" spans="1:6">
      <c r="A36" s="422"/>
      <c r="B36" s="34" t="s">
        <v>467</v>
      </c>
      <c r="C36" s="229"/>
      <c r="D36" s="422"/>
      <c r="E36" s="34" t="s">
        <v>467</v>
      </c>
      <c r="F36" s="229"/>
    </row>
    <row r="37" spans="1:6" ht="15.75" thickBot="1">
      <c r="A37" s="423"/>
      <c r="B37" s="35" t="s">
        <v>467</v>
      </c>
      <c r="C37" s="230"/>
      <c r="D37" s="423"/>
      <c r="E37" s="35" t="s">
        <v>467</v>
      </c>
      <c r="F37" s="230"/>
    </row>
    <row r="38" spans="1:6">
      <c r="A38" s="59"/>
      <c r="B38" s="2"/>
    </row>
  </sheetData>
  <mergeCells count="14">
    <mergeCell ref="D26:D31"/>
    <mergeCell ref="D32:D37"/>
    <mergeCell ref="E1:F1"/>
    <mergeCell ref="D2:D7"/>
    <mergeCell ref="D8:D13"/>
    <mergeCell ref="D14:D19"/>
    <mergeCell ref="D20:D25"/>
    <mergeCell ref="B1:C1"/>
    <mergeCell ref="A32:A37"/>
    <mergeCell ref="A2:A7"/>
    <mergeCell ref="A8:A13"/>
    <mergeCell ref="A14:A19"/>
    <mergeCell ref="A20:A25"/>
    <mergeCell ref="A26:A3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ED80-8DA4-465C-8D1B-EBB37BB1E491}">
  <sheetPr codeName="Kennis"/>
  <dimension ref="A1:G601"/>
  <sheetViews>
    <sheetView showRowColHeaders="0" topLeftCell="A172" zoomScale="102" zoomScaleNormal="102" workbookViewId="0">
      <selection activeCell="D179" sqref="D179"/>
    </sheetView>
  </sheetViews>
  <sheetFormatPr defaultRowHeight="29.25" customHeight="1"/>
  <cols>
    <col min="1" max="1" width="31.42578125" style="1" bestFit="1" customWidth="1"/>
    <col min="2" max="2" width="31.42578125" style="1" customWidth="1"/>
    <col min="3" max="3" width="5.140625" style="1" bestFit="1" customWidth="1"/>
    <col min="4" max="4" width="197.42578125" style="1" customWidth="1"/>
    <col min="5" max="5" width="9.140625" style="9"/>
    <col min="6" max="16384" width="9.140625" style="1"/>
  </cols>
  <sheetData>
    <row r="1" spans="1:7" ht="24" thickBot="1">
      <c r="A1" s="12" t="s">
        <v>476</v>
      </c>
      <c r="B1" s="224" t="s">
        <v>1576</v>
      </c>
      <c r="C1" s="224" t="s">
        <v>1575</v>
      </c>
      <c r="D1" s="241" t="s">
        <v>1577</v>
      </c>
      <c r="E1" s="32"/>
      <c r="F1" s="2"/>
      <c r="G1" s="2"/>
    </row>
    <row r="2" spans="1:7" ht="29.25" customHeight="1">
      <c r="A2" s="14" t="s">
        <v>503</v>
      </c>
      <c r="B2" s="225"/>
      <c r="C2" s="225">
        <v>1</v>
      </c>
      <c r="D2" s="16" t="s">
        <v>1578</v>
      </c>
      <c r="F2" s="2"/>
      <c r="G2" s="2"/>
    </row>
    <row r="3" spans="1:7" ht="29.25" customHeight="1">
      <c r="A3" s="11"/>
      <c r="B3" s="226"/>
      <c r="C3" s="226">
        <v>2</v>
      </c>
      <c r="D3" s="17" t="s">
        <v>1579</v>
      </c>
      <c r="F3" s="2"/>
      <c r="G3" s="2"/>
    </row>
    <row r="4" spans="1:7" ht="29.25" customHeight="1">
      <c r="A4" s="11"/>
      <c r="B4" s="226"/>
      <c r="C4" s="226">
        <v>3</v>
      </c>
      <c r="D4" s="17" t="s">
        <v>1580</v>
      </c>
      <c r="F4" s="2"/>
      <c r="G4" s="2"/>
    </row>
    <row r="5" spans="1:7" ht="29.25" customHeight="1">
      <c r="A5" s="11"/>
      <c r="B5" s="226"/>
      <c r="C5" s="226">
        <v>4</v>
      </c>
      <c r="D5" s="17" t="s">
        <v>1581</v>
      </c>
      <c r="F5" s="2"/>
      <c r="G5" s="2"/>
    </row>
    <row r="6" spans="1:7" ht="29.25" customHeight="1" thickBot="1">
      <c r="A6" s="11"/>
      <c r="B6" s="226"/>
      <c r="C6" s="226">
        <v>5</v>
      </c>
      <c r="D6" s="18" t="s">
        <v>1582</v>
      </c>
      <c r="F6" s="2"/>
      <c r="G6" s="2"/>
    </row>
    <row r="7" spans="1:7" ht="29.25" customHeight="1" thickBot="1">
      <c r="A7" s="14" t="s">
        <v>480</v>
      </c>
      <c r="B7" s="225" t="s">
        <v>593</v>
      </c>
      <c r="C7" s="225">
        <v>1</v>
      </c>
      <c r="D7" s="20" t="s">
        <v>1582</v>
      </c>
    </row>
    <row r="8" spans="1:7" ht="29.25" customHeight="1">
      <c r="A8" s="11"/>
      <c r="B8" s="226"/>
      <c r="C8" s="226">
        <v>2</v>
      </c>
      <c r="D8" s="17" t="s">
        <v>1583</v>
      </c>
      <c r="F8" s="2"/>
      <c r="G8" s="2"/>
    </row>
    <row r="9" spans="1:7" ht="29.25" customHeight="1">
      <c r="A9" s="11"/>
      <c r="B9" s="226"/>
      <c r="C9" s="226">
        <v>3</v>
      </c>
      <c r="D9" s="17" t="s">
        <v>1584</v>
      </c>
      <c r="F9" s="2"/>
      <c r="G9" s="2"/>
    </row>
    <row r="10" spans="1:7" ht="29.25" customHeight="1">
      <c r="A10" s="11"/>
      <c r="B10" s="226"/>
      <c r="C10" s="226">
        <v>4</v>
      </c>
      <c r="D10" s="17" t="s">
        <v>1585</v>
      </c>
      <c r="F10" s="2"/>
      <c r="G10" s="2"/>
    </row>
    <row r="11" spans="1:7" ht="29.25" customHeight="1" thickBot="1">
      <c r="A11" s="15"/>
      <c r="B11" s="227"/>
      <c r="C11" s="227">
        <v>5</v>
      </c>
      <c r="D11" s="20" t="s">
        <v>1582</v>
      </c>
      <c r="F11" s="2"/>
      <c r="G11" s="2"/>
    </row>
    <row r="12" spans="1:7" ht="29.25" customHeight="1">
      <c r="A12" s="11" t="s">
        <v>481</v>
      </c>
      <c r="B12" s="226" t="s">
        <v>963</v>
      </c>
      <c r="C12" s="226">
        <v>1</v>
      </c>
      <c r="D12" s="17" t="s">
        <v>1586</v>
      </c>
    </row>
    <row r="13" spans="1:7" ht="29.25" customHeight="1">
      <c r="A13" s="11"/>
      <c r="B13" s="226"/>
      <c r="C13" s="226">
        <v>2</v>
      </c>
      <c r="D13" s="17" t="s">
        <v>1584</v>
      </c>
      <c r="F13" s="2"/>
      <c r="G13" s="2"/>
    </row>
    <row r="14" spans="1:7" ht="29.25" customHeight="1" thickBot="1">
      <c r="A14" s="11"/>
      <c r="B14" s="226"/>
      <c r="C14" s="226">
        <v>3</v>
      </c>
      <c r="D14" s="20" t="s">
        <v>1582</v>
      </c>
      <c r="F14" s="2"/>
      <c r="G14" s="2"/>
    </row>
    <row r="15" spans="1:7" ht="29.25" customHeight="1">
      <c r="A15" s="11"/>
      <c r="B15" s="226"/>
      <c r="C15" s="226">
        <v>4</v>
      </c>
      <c r="D15" s="17" t="s">
        <v>1584</v>
      </c>
      <c r="F15" s="2"/>
      <c r="G15" s="2"/>
    </row>
    <row r="16" spans="1:7" ht="29.25" customHeight="1" thickBot="1">
      <c r="A16" s="11"/>
      <c r="B16" s="226"/>
      <c r="C16" s="226">
        <v>5</v>
      </c>
      <c r="D16" s="20" t="s">
        <v>1582</v>
      </c>
      <c r="F16" s="2"/>
      <c r="G16" s="2"/>
    </row>
    <row r="17" spans="1:7" ht="29.25" customHeight="1">
      <c r="A17" s="14" t="s">
        <v>482</v>
      </c>
      <c r="B17" s="225" t="s">
        <v>754</v>
      </c>
      <c r="C17" s="225">
        <v>1</v>
      </c>
      <c r="D17" s="21"/>
    </row>
    <row r="18" spans="1:7" ht="29.25" customHeight="1">
      <c r="A18" s="11"/>
      <c r="B18" s="226"/>
      <c r="C18" s="226">
        <v>2</v>
      </c>
      <c r="D18" s="17"/>
      <c r="F18" s="2"/>
      <c r="G18" s="2"/>
    </row>
    <row r="19" spans="1:7" ht="29.25" customHeight="1">
      <c r="A19" s="11"/>
      <c r="B19" s="226"/>
      <c r="C19" s="226">
        <v>3</v>
      </c>
      <c r="D19" s="17"/>
      <c r="F19" s="2"/>
      <c r="G19" s="2"/>
    </row>
    <row r="20" spans="1:7" ht="29.25" customHeight="1">
      <c r="A20" s="11"/>
      <c r="B20" s="226"/>
      <c r="C20" s="226">
        <v>4</v>
      </c>
      <c r="D20" s="17"/>
      <c r="F20" s="2"/>
      <c r="G20" s="2"/>
    </row>
    <row r="21" spans="1:7" ht="29.25" customHeight="1" thickBot="1">
      <c r="A21" s="15"/>
      <c r="B21" s="227"/>
      <c r="C21" s="227">
        <v>5</v>
      </c>
      <c r="D21" s="20"/>
      <c r="F21" s="2"/>
      <c r="G21" s="2"/>
    </row>
    <row r="22" spans="1:7" ht="29.25" customHeight="1">
      <c r="A22" s="11" t="s">
        <v>482</v>
      </c>
      <c r="B22" s="226" t="s">
        <v>612</v>
      </c>
      <c r="C22" s="226">
        <v>1</v>
      </c>
      <c r="D22" s="21" t="s">
        <v>1587</v>
      </c>
    </row>
    <row r="23" spans="1:7" ht="29.25" customHeight="1">
      <c r="A23" s="11"/>
      <c r="B23" s="226"/>
      <c r="C23" s="226">
        <v>2</v>
      </c>
      <c r="D23" s="17" t="s">
        <v>1588</v>
      </c>
      <c r="F23" s="2"/>
      <c r="G23" s="2"/>
    </row>
    <row r="24" spans="1:7" ht="29.25" customHeight="1">
      <c r="A24" s="11"/>
      <c r="B24" s="226"/>
      <c r="C24" s="226">
        <v>3</v>
      </c>
      <c r="D24" s="17" t="s">
        <v>1582</v>
      </c>
      <c r="F24" s="2"/>
      <c r="G24" s="2"/>
    </row>
    <row r="25" spans="1:7" ht="29.25" customHeight="1">
      <c r="A25" s="11"/>
      <c r="B25" s="226"/>
      <c r="C25" s="226">
        <v>4</v>
      </c>
      <c r="D25" s="17"/>
      <c r="F25" s="2"/>
      <c r="G25" s="2"/>
    </row>
    <row r="26" spans="1:7" ht="29.25" customHeight="1" thickBot="1">
      <c r="A26" s="11"/>
      <c r="B26" s="226"/>
      <c r="C26" s="226">
        <v>5</v>
      </c>
      <c r="D26" s="18" t="s">
        <v>1589</v>
      </c>
      <c r="F26" s="2"/>
      <c r="G26" s="2"/>
    </row>
    <row r="27" spans="1:7" ht="29.25" customHeight="1">
      <c r="A27" s="14" t="s">
        <v>482</v>
      </c>
      <c r="B27" s="225" t="s">
        <v>613</v>
      </c>
      <c r="C27" s="225">
        <v>1</v>
      </c>
      <c r="D27" s="19" t="s">
        <v>1590</v>
      </c>
    </row>
    <row r="28" spans="1:7" ht="29.25" customHeight="1">
      <c r="A28" s="11"/>
      <c r="B28" s="226"/>
      <c r="C28" s="226">
        <v>2</v>
      </c>
      <c r="D28" s="17" t="s">
        <v>1591</v>
      </c>
      <c r="F28" s="2"/>
      <c r="G28" s="2"/>
    </row>
    <row r="29" spans="1:7" ht="29.25" customHeight="1">
      <c r="A29" s="11"/>
      <c r="B29" s="226"/>
      <c r="C29" s="226">
        <v>3</v>
      </c>
      <c r="D29" s="17" t="s">
        <v>1582</v>
      </c>
      <c r="F29" s="2"/>
      <c r="G29" s="2"/>
    </row>
    <row r="30" spans="1:7" ht="29.25" customHeight="1">
      <c r="A30" s="11"/>
      <c r="B30" s="226"/>
      <c r="C30" s="226">
        <v>4</v>
      </c>
      <c r="D30" s="17"/>
      <c r="F30" s="2"/>
      <c r="G30" s="2"/>
    </row>
    <row r="31" spans="1:7" ht="29.25" customHeight="1" thickBot="1">
      <c r="A31" s="15"/>
      <c r="B31" s="227"/>
      <c r="C31" s="227">
        <v>5</v>
      </c>
      <c r="D31" s="20"/>
      <c r="F31" s="2"/>
      <c r="G31" s="2"/>
    </row>
    <row r="32" spans="1:7" ht="29.25" customHeight="1">
      <c r="A32" s="14" t="s">
        <v>482</v>
      </c>
      <c r="B32" s="225" t="s">
        <v>763</v>
      </c>
      <c r="C32" s="225">
        <v>1</v>
      </c>
      <c r="D32" s="19" t="s">
        <v>1592</v>
      </c>
    </row>
    <row r="33" spans="1:7" ht="29.25" customHeight="1">
      <c r="A33" s="11"/>
      <c r="B33" s="226"/>
      <c r="C33" s="226">
        <v>2</v>
      </c>
      <c r="D33" s="17" t="s">
        <v>1584</v>
      </c>
      <c r="F33" s="2"/>
      <c r="G33" s="2"/>
    </row>
    <row r="34" spans="1:7" ht="29.25" customHeight="1">
      <c r="A34" s="11"/>
      <c r="B34" s="226"/>
      <c r="C34" s="226">
        <v>3</v>
      </c>
      <c r="D34" s="17" t="s">
        <v>1593</v>
      </c>
      <c r="F34" s="2"/>
      <c r="G34" s="2"/>
    </row>
    <row r="35" spans="1:7" ht="29.25" customHeight="1">
      <c r="A35" s="11"/>
      <c r="B35" s="226"/>
      <c r="C35" s="226">
        <v>4</v>
      </c>
      <c r="D35" s="17" t="s">
        <v>1594</v>
      </c>
      <c r="F35" s="2"/>
      <c r="G35" s="2"/>
    </row>
    <row r="36" spans="1:7" ht="29.25" customHeight="1" thickBot="1">
      <c r="A36" s="15"/>
      <c r="B36" s="227"/>
      <c r="C36" s="227">
        <v>5</v>
      </c>
      <c r="D36" s="20" t="s">
        <v>1582</v>
      </c>
      <c r="F36" s="2"/>
      <c r="G36" s="2"/>
    </row>
    <row r="37" spans="1:7" ht="29.25" customHeight="1">
      <c r="A37" s="11" t="s">
        <v>483</v>
      </c>
      <c r="B37" s="226" t="s">
        <v>595</v>
      </c>
      <c r="C37" s="226">
        <v>1</v>
      </c>
      <c r="D37" s="21"/>
    </row>
    <row r="38" spans="1:7" ht="29.25" customHeight="1">
      <c r="A38" s="11"/>
      <c r="B38" s="226"/>
      <c r="C38" s="226">
        <v>2</v>
      </c>
      <c r="D38" s="17" t="s">
        <v>1595</v>
      </c>
      <c r="F38" s="2"/>
      <c r="G38" s="2"/>
    </row>
    <row r="39" spans="1:7" ht="29.25" customHeight="1">
      <c r="A39" s="11"/>
      <c r="B39" s="226"/>
      <c r="C39" s="226">
        <v>3</v>
      </c>
      <c r="D39" s="17" t="s">
        <v>1584</v>
      </c>
      <c r="F39" s="2"/>
      <c r="G39" s="2"/>
    </row>
    <row r="40" spans="1:7" ht="29.25" customHeight="1">
      <c r="A40" s="11"/>
      <c r="B40" s="226"/>
      <c r="C40" s="226">
        <v>4</v>
      </c>
      <c r="D40" s="17" t="s">
        <v>1596</v>
      </c>
      <c r="F40" s="2"/>
      <c r="G40" s="2"/>
    </row>
    <row r="41" spans="1:7" ht="29.25" customHeight="1" thickBot="1">
      <c r="A41" s="11"/>
      <c r="B41" s="226"/>
      <c r="C41" s="226">
        <v>5</v>
      </c>
      <c r="D41" s="18" t="s">
        <v>1597</v>
      </c>
      <c r="F41" s="2"/>
      <c r="G41" s="2"/>
    </row>
    <row r="42" spans="1:7" ht="29.25" customHeight="1">
      <c r="A42" s="14" t="s">
        <v>483</v>
      </c>
      <c r="B42" s="225" t="s">
        <v>921</v>
      </c>
      <c r="C42" s="225">
        <v>1</v>
      </c>
      <c r="D42" s="19" t="s">
        <v>1582</v>
      </c>
    </row>
    <row r="43" spans="1:7" ht="29.25" customHeight="1">
      <c r="A43" s="11"/>
      <c r="B43" s="226"/>
      <c r="C43" s="226">
        <v>2</v>
      </c>
      <c r="D43" s="17"/>
      <c r="F43" s="2"/>
      <c r="G43" s="2"/>
    </row>
    <row r="44" spans="1:7" ht="29.25" customHeight="1">
      <c r="A44" s="11"/>
      <c r="B44" s="226"/>
      <c r="C44" s="226">
        <v>3</v>
      </c>
      <c r="D44" s="17" t="s">
        <v>1595</v>
      </c>
      <c r="F44" s="2"/>
      <c r="G44" s="2"/>
    </row>
    <row r="45" spans="1:7" ht="29.25" customHeight="1">
      <c r="A45" s="11"/>
      <c r="B45" s="226"/>
      <c r="C45" s="226">
        <v>4</v>
      </c>
      <c r="D45" s="17" t="s">
        <v>1584</v>
      </c>
      <c r="F45" s="2"/>
      <c r="G45" s="2"/>
    </row>
    <row r="46" spans="1:7" ht="29.25" customHeight="1" thickBot="1">
      <c r="A46" s="15"/>
      <c r="B46" s="227"/>
      <c r="C46" s="227">
        <v>5</v>
      </c>
      <c r="D46" s="20" t="s">
        <v>1596</v>
      </c>
      <c r="F46" s="2"/>
      <c r="G46" s="2"/>
    </row>
    <row r="47" spans="1:7" ht="29.25" customHeight="1">
      <c r="A47" s="14" t="s">
        <v>489</v>
      </c>
      <c r="B47" s="225" t="s">
        <v>761</v>
      </c>
      <c r="C47" s="225">
        <v>1</v>
      </c>
      <c r="D47" s="19" t="s">
        <v>1597</v>
      </c>
    </row>
    <row r="48" spans="1:7" ht="29.25" customHeight="1">
      <c r="A48" s="11"/>
      <c r="B48" s="226"/>
      <c r="C48" s="226">
        <v>2</v>
      </c>
      <c r="D48" s="17" t="s">
        <v>1582</v>
      </c>
      <c r="F48" s="2"/>
      <c r="G48" s="2"/>
    </row>
    <row r="49" spans="1:7" ht="29.25" customHeight="1">
      <c r="A49" s="11"/>
      <c r="B49" s="226"/>
      <c r="C49" s="226">
        <v>3</v>
      </c>
      <c r="D49" s="17"/>
      <c r="F49" s="2"/>
      <c r="G49" s="2"/>
    </row>
    <row r="50" spans="1:7" ht="29.25" customHeight="1">
      <c r="A50" s="11"/>
      <c r="B50" s="226"/>
      <c r="C50" s="226">
        <v>4</v>
      </c>
      <c r="D50" s="17" t="s">
        <v>1595</v>
      </c>
      <c r="F50" s="2"/>
      <c r="G50" s="2"/>
    </row>
    <row r="51" spans="1:7" ht="29.25" customHeight="1" thickBot="1">
      <c r="A51" s="15"/>
      <c r="B51" s="227"/>
      <c r="C51" s="227">
        <v>5</v>
      </c>
      <c r="D51" s="20" t="s">
        <v>1584</v>
      </c>
      <c r="F51" s="2"/>
      <c r="G51" s="2"/>
    </row>
    <row r="52" spans="1:7" ht="29.25" customHeight="1">
      <c r="A52" s="14" t="s">
        <v>490</v>
      </c>
      <c r="B52" s="225" t="s">
        <v>762</v>
      </c>
      <c r="C52" s="225">
        <v>1</v>
      </c>
      <c r="D52" s="19" t="s">
        <v>1596</v>
      </c>
    </row>
    <row r="53" spans="1:7" ht="29.25" customHeight="1">
      <c r="A53" s="11"/>
      <c r="B53" s="226"/>
      <c r="C53" s="226">
        <v>2</v>
      </c>
      <c r="D53" s="17" t="s">
        <v>1597</v>
      </c>
      <c r="F53" s="2"/>
      <c r="G53" s="2"/>
    </row>
    <row r="54" spans="1:7" ht="29.25" customHeight="1">
      <c r="A54" s="11"/>
      <c r="B54" s="226"/>
      <c r="C54" s="226">
        <v>3</v>
      </c>
      <c r="D54" s="17" t="s">
        <v>1582</v>
      </c>
      <c r="F54" s="2"/>
      <c r="G54" s="2"/>
    </row>
    <row r="55" spans="1:7" ht="29.25" customHeight="1">
      <c r="A55" s="11"/>
      <c r="B55" s="226"/>
      <c r="C55" s="226">
        <v>4</v>
      </c>
      <c r="D55" s="17"/>
      <c r="F55" s="2"/>
      <c r="G55" s="2"/>
    </row>
    <row r="56" spans="1:7" ht="29.25" customHeight="1" thickBot="1">
      <c r="A56" s="15"/>
      <c r="B56" s="227"/>
      <c r="C56" s="227">
        <v>5</v>
      </c>
      <c r="D56" s="20" t="s">
        <v>1598</v>
      </c>
      <c r="F56" s="2"/>
      <c r="G56" s="2"/>
    </row>
    <row r="57" spans="1:7" ht="29.25" customHeight="1">
      <c r="A57" s="14" t="s">
        <v>491</v>
      </c>
      <c r="B57" s="225" t="s">
        <v>609</v>
      </c>
      <c r="C57" s="225">
        <v>1</v>
      </c>
      <c r="D57" s="19" t="s">
        <v>1584</v>
      </c>
    </row>
    <row r="58" spans="1:7" ht="29.25" customHeight="1">
      <c r="A58" s="11"/>
      <c r="B58" s="226"/>
      <c r="C58" s="226">
        <v>2</v>
      </c>
      <c r="D58" s="17" t="s">
        <v>1599</v>
      </c>
      <c r="F58" s="2"/>
      <c r="G58" s="2"/>
    </row>
    <row r="59" spans="1:7" ht="29.25" customHeight="1">
      <c r="A59" s="11"/>
      <c r="B59" s="226"/>
      <c r="C59" s="226">
        <v>3</v>
      </c>
      <c r="D59" s="17" t="s">
        <v>1600</v>
      </c>
      <c r="F59" s="2"/>
      <c r="G59" s="2"/>
    </row>
    <row r="60" spans="1:7" ht="29.25" customHeight="1">
      <c r="A60" s="11"/>
      <c r="B60" s="226"/>
      <c r="C60" s="226">
        <v>4</v>
      </c>
      <c r="D60" s="17" t="s">
        <v>1582</v>
      </c>
      <c r="F60" s="2"/>
      <c r="G60" s="2"/>
    </row>
    <row r="61" spans="1:7" ht="29.25" customHeight="1" thickBot="1">
      <c r="A61" s="15"/>
      <c r="B61" s="227"/>
      <c r="C61" s="227">
        <v>5</v>
      </c>
      <c r="D61" s="20"/>
      <c r="F61" s="2"/>
      <c r="G61" s="2"/>
    </row>
    <row r="62" spans="1:7" ht="29.25" customHeight="1">
      <c r="A62" s="14" t="s">
        <v>484</v>
      </c>
      <c r="B62" s="225" t="s">
        <v>596</v>
      </c>
      <c r="C62" s="225">
        <v>1</v>
      </c>
      <c r="D62" s="16" t="s">
        <v>1601</v>
      </c>
    </row>
    <row r="63" spans="1:7" ht="29.25" customHeight="1">
      <c r="A63" s="11"/>
      <c r="B63" s="226"/>
      <c r="C63" s="226">
        <v>2</v>
      </c>
      <c r="D63" s="17" t="s">
        <v>1602</v>
      </c>
      <c r="F63" s="2"/>
      <c r="G63" s="2"/>
    </row>
    <row r="64" spans="1:7" ht="29.25" customHeight="1">
      <c r="A64" s="11"/>
      <c r="B64" s="226"/>
      <c r="C64" s="226">
        <v>3</v>
      </c>
      <c r="D64" s="17" t="s">
        <v>1603</v>
      </c>
      <c r="F64" s="2"/>
      <c r="G64" s="2"/>
    </row>
    <row r="65" spans="1:7" ht="29.25" customHeight="1">
      <c r="A65" s="11"/>
      <c r="B65" s="226"/>
      <c r="C65" s="226">
        <v>4</v>
      </c>
      <c r="D65" s="17" t="s">
        <v>1604</v>
      </c>
      <c r="F65" s="2"/>
      <c r="G65" s="2"/>
    </row>
    <row r="66" spans="1:7" ht="29.25" customHeight="1" thickBot="1">
      <c r="A66" s="11"/>
      <c r="B66" s="226"/>
      <c r="C66" s="226">
        <v>5</v>
      </c>
      <c r="D66" s="18" t="s">
        <v>1582</v>
      </c>
      <c r="F66" s="2"/>
      <c r="G66" s="2"/>
    </row>
    <row r="67" spans="1:7" ht="29.25" customHeight="1">
      <c r="A67" s="14" t="s">
        <v>485</v>
      </c>
      <c r="B67" s="225" t="s">
        <v>753</v>
      </c>
      <c r="C67" s="225">
        <v>1</v>
      </c>
      <c r="D67" s="19"/>
    </row>
    <row r="68" spans="1:7" ht="29.25" customHeight="1">
      <c r="A68" s="11"/>
      <c r="B68" s="226"/>
      <c r="C68" s="226">
        <v>2</v>
      </c>
      <c r="D68" s="17" t="s">
        <v>1601</v>
      </c>
      <c r="F68" s="2"/>
      <c r="G68" s="2"/>
    </row>
    <row r="69" spans="1:7" ht="29.25" customHeight="1">
      <c r="A69" s="11"/>
      <c r="B69" s="226"/>
      <c r="C69" s="226">
        <v>3</v>
      </c>
      <c r="D69" s="17" t="s">
        <v>1605</v>
      </c>
      <c r="F69" s="2"/>
      <c r="G69" s="2"/>
    </row>
    <row r="70" spans="1:7" ht="29.25" customHeight="1">
      <c r="A70" s="11"/>
      <c r="B70" s="226"/>
      <c r="C70" s="226">
        <v>4</v>
      </c>
      <c r="D70" s="17" t="s">
        <v>1606</v>
      </c>
      <c r="F70" s="2"/>
      <c r="G70" s="2"/>
    </row>
    <row r="71" spans="1:7" ht="29.25" customHeight="1" thickBot="1">
      <c r="A71" s="15"/>
      <c r="B71" s="227"/>
      <c r="C71" s="227">
        <v>5</v>
      </c>
      <c r="D71" s="20" t="s">
        <v>1607</v>
      </c>
      <c r="F71" s="2"/>
      <c r="G71" s="2"/>
    </row>
    <row r="72" spans="1:7" ht="29.25" customHeight="1">
      <c r="A72" s="11" t="s">
        <v>486</v>
      </c>
      <c r="B72" s="226" t="s">
        <v>598</v>
      </c>
      <c r="C72" s="226">
        <v>1</v>
      </c>
      <c r="D72" s="21" t="s">
        <v>1582</v>
      </c>
    </row>
    <row r="73" spans="1:7" ht="29.25" customHeight="1">
      <c r="A73" s="11"/>
      <c r="B73" s="226"/>
      <c r="C73" s="226">
        <v>2</v>
      </c>
      <c r="D73" s="17"/>
      <c r="F73" s="2"/>
      <c r="G73" s="2"/>
    </row>
    <row r="74" spans="1:7" ht="29.25" customHeight="1">
      <c r="A74" s="11"/>
      <c r="B74" s="226"/>
      <c r="C74" s="226">
        <v>3</v>
      </c>
      <c r="D74" s="17" t="s">
        <v>1601</v>
      </c>
      <c r="F74" s="2"/>
      <c r="G74" s="2"/>
    </row>
    <row r="75" spans="1:7" ht="29.25" customHeight="1">
      <c r="A75" s="11"/>
      <c r="B75" s="226"/>
      <c r="C75" s="226">
        <v>4</v>
      </c>
      <c r="D75" s="17" t="s">
        <v>1605</v>
      </c>
      <c r="F75" s="2"/>
      <c r="G75" s="2"/>
    </row>
    <row r="76" spans="1:7" ht="29.25" customHeight="1" thickBot="1">
      <c r="A76" s="11"/>
      <c r="B76" s="226"/>
      <c r="C76" s="226">
        <v>5</v>
      </c>
      <c r="D76" s="18" t="s">
        <v>1606</v>
      </c>
      <c r="F76" s="2"/>
      <c r="G76" s="2"/>
    </row>
    <row r="77" spans="1:7" ht="29.25" customHeight="1">
      <c r="A77" s="14" t="s">
        <v>486</v>
      </c>
      <c r="B77" s="225" t="s">
        <v>764</v>
      </c>
      <c r="C77" s="225">
        <v>1</v>
      </c>
      <c r="D77" s="19" t="s">
        <v>1607</v>
      </c>
    </row>
    <row r="78" spans="1:7" ht="29.25" customHeight="1">
      <c r="A78" s="11"/>
      <c r="B78" s="226"/>
      <c r="C78" s="226">
        <v>2</v>
      </c>
      <c r="D78" s="17" t="s">
        <v>1582</v>
      </c>
      <c r="F78" s="2"/>
      <c r="G78" s="2"/>
    </row>
    <row r="79" spans="1:7" ht="29.25" customHeight="1">
      <c r="A79" s="11"/>
      <c r="B79" s="226"/>
      <c r="C79" s="226">
        <v>3</v>
      </c>
      <c r="D79" s="17"/>
      <c r="F79" s="2"/>
      <c r="G79" s="2"/>
    </row>
    <row r="80" spans="1:7" ht="29.25" customHeight="1">
      <c r="A80" s="11"/>
      <c r="B80" s="226"/>
      <c r="C80" s="226">
        <v>4</v>
      </c>
      <c r="D80" s="17" t="s">
        <v>1601</v>
      </c>
      <c r="F80" s="2"/>
      <c r="G80" s="2"/>
    </row>
    <row r="81" spans="1:7" ht="29.25" customHeight="1" thickBot="1">
      <c r="A81" s="15"/>
      <c r="B81" s="227"/>
      <c r="C81" s="227">
        <v>5</v>
      </c>
      <c r="D81" s="20" t="s">
        <v>1605</v>
      </c>
      <c r="F81" s="2"/>
      <c r="G81" s="2"/>
    </row>
    <row r="82" spans="1:7" ht="29.25" customHeight="1">
      <c r="A82" s="11" t="s">
        <v>952</v>
      </c>
      <c r="B82" s="226" t="s">
        <v>765</v>
      </c>
      <c r="C82" s="226">
        <v>1</v>
      </c>
      <c r="D82" s="21" t="s">
        <v>1606</v>
      </c>
    </row>
    <row r="83" spans="1:7" ht="29.25" customHeight="1">
      <c r="A83" s="11"/>
      <c r="B83" s="226"/>
      <c r="C83" s="226">
        <v>2</v>
      </c>
      <c r="D83" s="17" t="s">
        <v>1607</v>
      </c>
      <c r="F83" s="2"/>
      <c r="G83" s="2"/>
    </row>
    <row r="84" spans="1:7" ht="29.25" customHeight="1">
      <c r="A84" s="11"/>
      <c r="B84" s="226"/>
      <c r="C84" s="226">
        <v>3</v>
      </c>
      <c r="D84" s="17" t="s">
        <v>1582</v>
      </c>
      <c r="F84" s="2"/>
      <c r="G84" s="2"/>
    </row>
    <row r="85" spans="1:7" ht="29.25" customHeight="1">
      <c r="A85" s="11"/>
      <c r="B85" s="226"/>
      <c r="C85" s="226">
        <v>4</v>
      </c>
      <c r="D85" s="17"/>
      <c r="F85" s="2"/>
      <c r="G85" s="2"/>
    </row>
    <row r="86" spans="1:7" ht="29.25" customHeight="1" thickBot="1">
      <c r="A86" s="11"/>
      <c r="B86" s="226"/>
      <c r="C86" s="226">
        <v>5</v>
      </c>
      <c r="D86" s="18" t="s">
        <v>1601</v>
      </c>
      <c r="F86" s="2"/>
      <c r="G86" s="2"/>
    </row>
    <row r="87" spans="1:7" ht="29.25" customHeight="1">
      <c r="A87" s="14" t="s">
        <v>487</v>
      </c>
      <c r="B87" s="225" t="s">
        <v>599</v>
      </c>
      <c r="C87" s="225">
        <v>1</v>
      </c>
      <c r="D87" s="19" t="s">
        <v>1605</v>
      </c>
    </row>
    <row r="88" spans="1:7" ht="29.25" customHeight="1">
      <c r="A88" s="11"/>
      <c r="B88" s="226"/>
      <c r="C88" s="226">
        <v>2</v>
      </c>
      <c r="D88" s="17" t="s">
        <v>1606</v>
      </c>
      <c r="F88" s="2"/>
      <c r="G88" s="2"/>
    </row>
    <row r="89" spans="1:7" ht="29.25" customHeight="1">
      <c r="A89" s="11"/>
      <c r="B89" s="226"/>
      <c r="C89" s="226">
        <v>3</v>
      </c>
      <c r="D89" s="17" t="s">
        <v>1607</v>
      </c>
      <c r="F89" s="2"/>
      <c r="G89" s="2"/>
    </row>
    <row r="90" spans="1:7" ht="29.25" customHeight="1">
      <c r="A90" s="11"/>
      <c r="B90" s="226"/>
      <c r="C90" s="226">
        <v>4</v>
      </c>
      <c r="D90" s="17" t="s">
        <v>1582</v>
      </c>
      <c r="F90" s="2"/>
      <c r="G90" s="2"/>
    </row>
    <row r="91" spans="1:7" ht="29.25" customHeight="1" thickBot="1">
      <c r="A91" s="15"/>
      <c r="B91" s="227"/>
      <c r="C91" s="227">
        <v>5</v>
      </c>
      <c r="D91" s="20"/>
      <c r="F91" s="2"/>
      <c r="G91" s="2"/>
    </row>
    <row r="92" spans="1:7" ht="29.25" customHeight="1">
      <c r="A92" s="14" t="s">
        <v>767</v>
      </c>
      <c r="B92" s="225" t="s">
        <v>594</v>
      </c>
      <c r="C92" s="225">
        <v>1</v>
      </c>
      <c r="D92" s="19" t="s">
        <v>1601</v>
      </c>
    </row>
    <row r="93" spans="1:7" ht="29.25" customHeight="1">
      <c r="A93" s="11"/>
      <c r="B93" s="226"/>
      <c r="C93" s="226">
        <v>2</v>
      </c>
      <c r="D93" s="17" t="s">
        <v>1605</v>
      </c>
      <c r="F93" s="2"/>
      <c r="G93" s="2"/>
    </row>
    <row r="94" spans="1:7" ht="29.25" customHeight="1">
      <c r="A94" s="11"/>
      <c r="B94" s="226"/>
      <c r="C94" s="226">
        <v>3</v>
      </c>
      <c r="D94" s="17" t="s">
        <v>1606</v>
      </c>
      <c r="F94" s="2"/>
      <c r="G94" s="2"/>
    </row>
    <row r="95" spans="1:7" ht="29.25" customHeight="1">
      <c r="A95" s="11"/>
      <c r="B95" s="226"/>
      <c r="C95" s="226">
        <v>4</v>
      </c>
      <c r="D95" s="17" t="s">
        <v>1607</v>
      </c>
      <c r="F95" s="2"/>
      <c r="G95" s="2"/>
    </row>
    <row r="96" spans="1:7" ht="29.25" customHeight="1" thickBot="1">
      <c r="A96" s="15"/>
      <c r="B96" s="227"/>
      <c r="C96" s="227">
        <v>5</v>
      </c>
      <c r="D96" s="20" t="s">
        <v>1582</v>
      </c>
      <c r="F96" s="2"/>
      <c r="G96" s="2"/>
    </row>
    <row r="97" spans="1:7" ht="29.25" customHeight="1">
      <c r="A97" s="11" t="s">
        <v>768</v>
      </c>
      <c r="B97" s="226" t="s">
        <v>756</v>
      </c>
      <c r="C97" s="226">
        <v>1</v>
      </c>
      <c r="D97" s="21"/>
    </row>
    <row r="98" spans="1:7" ht="29.25" customHeight="1">
      <c r="A98" s="11"/>
      <c r="B98" s="226"/>
      <c r="C98" s="226">
        <v>2</v>
      </c>
      <c r="D98" s="17" t="s">
        <v>1608</v>
      </c>
      <c r="F98" s="2"/>
      <c r="G98" s="2"/>
    </row>
    <row r="99" spans="1:7" ht="29.25" customHeight="1">
      <c r="A99" s="11"/>
      <c r="B99" s="226"/>
      <c r="C99" s="226">
        <v>3</v>
      </c>
      <c r="D99" s="17" t="s">
        <v>1609</v>
      </c>
      <c r="F99" s="2"/>
      <c r="G99" s="2"/>
    </row>
    <row r="100" spans="1:7" ht="29.25" customHeight="1">
      <c r="A100" s="11"/>
      <c r="B100" s="226"/>
      <c r="C100" s="226">
        <v>4</v>
      </c>
      <c r="D100" s="17" t="s">
        <v>1610</v>
      </c>
      <c r="F100" s="2"/>
      <c r="G100" s="2"/>
    </row>
    <row r="101" spans="1:7" ht="29.25" customHeight="1" thickBot="1">
      <c r="A101" s="11"/>
      <c r="B101" s="226"/>
      <c r="C101" s="226">
        <v>5</v>
      </c>
      <c r="D101" s="18" t="s">
        <v>1611</v>
      </c>
      <c r="F101" s="2"/>
      <c r="G101" s="2"/>
    </row>
    <row r="102" spans="1:7" ht="29.25" customHeight="1">
      <c r="A102" s="14" t="s">
        <v>962</v>
      </c>
      <c r="B102" s="225" t="s">
        <v>755</v>
      </c>
      <c r="C102" s="225">
        <v>1</v>
      </c>
      <c r="D102" s="19" t="s">
        <v>1612</v>
      </c>
    </row>
    <row r="103" spans="1:7" ht="29.25" customHeight="1">
      <c r="A103" s="11"/>
      <c r="B103" s="226"/>
      <c r="C103" s="226">
        <v>2</v>
      </c>
      <c r="D103" s="17"/>
      <c r="F103" s="2"/>
      <c r="G103" s="2"/>
    </row>
    <row r="104" spans="1:7" ht="29.25" customHeight="1">
      <c r="A104" s="11"/>
      <c r="B104" s="226"/>
      <c r="C104" s="226">
        <v>3</v>
      </c>
      <c r="D104" s="17" t="s">
        <v>1608</v>
      </c>
      <c r="F104" s="2"/>
      <c r="G104" s="2"/>
    </row>
    <row r="105" spans="1:7" ht="29.25" customHeight="1">
      <c r="A105" s="11"/>
      <c r="B105" s="226"/>
      <c r="C105" s="226">
        <v>4</v>
      </c>
      <c r="D105" s="17" t="s">
        <v>1613</v>
      </c>
      <c r="F105" s="2"/>
      <c r="G105" s="2"/>
    </row>
    <row r="106" spans="1:7" ht="29.25" customHeight="1" thickBot="1">
      <c r="A106" s="15"/>
      <c r="B106" s="227"/>
      <c r="C106" s="227">
        <v>5</v>
      </c>
      <c r="D106" s="20" t="s">
        <v>1614</v>
      </c>
      <c r="F106" s="2"/>
      <c r="G106" s="2"/>
    </row>
    <row r="107" spans="1:7" ht="29.25" customHeight="1">
      <c r="A107" s="14" t="s">
        <v>944</v>
      </c>
      <c r="B107" s="225" t="s">
        <v>610</v>
      </c>
      <c r="C107" s="225">
        <v>1</v>
      </c>
      <c r="D107" s="19" t="s">
        <v>1597</v>
      </c>
    </row>
    <row r="108" spans="1:7" ht="29.25" customHeight="1">
      <c r="A108" s="11"/>
      <c r="B108" s="226"/>
      <c r="C108" s="226">
        <v>2</v>
      </c>
      <c r="D108" s="17"/>
      <c r="F108" s="2"/>
      <c r="G108" s="2"/>
    </row>
    <row r="109" spans="1:7" ht="29.25" customHeight="1">
      <c r="A109" s="11"/>
      <c r="B109" s="226"/>
      <c r="C109" s="226">
        <v>3</v>
      </c>
      <c r="D109" s="17"/>
      <c r="F109" s="2"/>
      <c r="G109" s="2"/>
    </row>
    <row r="110" spans="1:7" ht="29.25" customHeight="1">
      <c r="A110" s="11"/>
      <c r="B110" s="226"/>
      <c r="C110" s="226">
        <v>4</v>
      </c>
      <c r="D110" s="17" t="s">
        <v>1615</v>
      </c>
      <c r="F110" s="2"/>
      <c r="G110" s="2"/>
    </row>
    <row r="111" spans="1:7" ht="29.25" customHeight="1" thickBot="1">
      <c r="A111" s="15"/>
      <c r="B111" s="227"/>
      <c r="C111" s="227">
        <v>5</v>
      </c>
      <c r="D111" s="20" t="s">
        <v>1584</v>
      </c>
      <c r="F111" s="2"/>
      <c r="G111" s="2"/>
    </row>
    <row r="112" spans="1:7" ht="29.25" customHeight="1">
      <c r="A112" s="14" t="s">
        <v>946</v>
      </c>
      <c r="B112" s="225" t="s">
        <v>606</v>
      </c>
      <c r="C112" s="225">
        <v>1</v>
      </c>
      <c r="D112" s="19" t="s">
        <v>1616</v>
      </c>
    </row>
    <row r="113" spans="1:7" ht="29.25" customHeight="1">
      <c r="A113" s="11"/>
      <c r="B113" s="226"/>
      <c r="C113" s="226">
        <v>2</v>
      </c>
      <c r="D113" s="17" t="s">
        <v>1612</v>
      </c>
      <c r="F113" s="2"/>
      <c r="G113" s="2"/>
    </row>
    <row r="114" spans="1:7" ht="29.25" customHeight="1">
      <c r="A114" s="11"/>
      <c r="B114" s="226"/>
      <c r="C114" s="226">
        <v>3</v>
      </c>
      <c r="D114" s="17" t="s">
        <v>1582</v>
      </c>
      <c r="F114" s="2"/>
      <c r="G114" s="2"/>
    </row>
    <row r="115" spans="1:7" ht="29.25" customHeight="1">
      <c r="A115" s="11"/>
      <c r="B115" s="226"/>
      <c r="C115" s="226">
        <v>4</v>
      </c>
      <c r="D115" s="17"/>
      <c r="F115" s="2"/>
      <c r="G115" s="2"/>
    </row>
    <row r="116" spans="1:7" ht="29.25" customHeight="1" thickBot="1">
      <c r="A116" s="15"/>
      <c r="B116" s="227"/>
      <c r="C116" s="227">
        <v>5</v>
      </c>
      <c r="D116" s="20" t="s">
        <v>1617</v>
      </c>
      <c r="F116" s="2"/>
      <c r="G116" s="2"/>
    </row>
    <row r="117" spans="1:7" ht="29.25" customHeight="1">
      <c r="A117" s="14" t="s">
        <v>750</v>
      </c>
      <c r="B117" s="225" t="s">
        <v>757</v>
      </c>
      <c r="C117" s="225">
        <v>1</v>
      </c>
      <c r="D117" s="19" t="s">
        <v>1616</v>
      </c>
    </row>
    <row r="118" spans="1:7" ht="29.25" customHeight="1">
      <c r="A118" s="11"/>
      <c r="B118" s="226"/>
      <c r="C118" s="226">
        <v>2</v>
      </c>
      <c r="D118" s="17" t="s">
        <v>1612</v>
      </c>
      <c r="F118" s="2"/>
      <c r="G118" s="2"/>
    </row>
    <row r="119" spans="1:7" ht="29.25" customHeight="1">
      <c r="A119" s="11"/>
      <c r="B119" s="226"/>
      <c r="C119" s="226">
        <v>3</v>
      </c>
      <c r="D119" s="17" t="s">
        <v>1582</v>
      </c>
      <c r="F119" s="2"/>
      <c r="G119" s="2"/>
    </row>
    <row r="120" spans="1:7" ht="29.25" customHeight="1">
      <c r="A120" s="11"/>
      <c r="B120" s="226"/>
      <c r="C120" s="226">
        <v>4</v>
      </c>
      <c r="D120" s="17"/>
      <c r="F120" s="2"/>
      <c r="G120" s="2"/>
    </row>
    <row r="121" spans="1:7" ht="29.25" customHeight="1" thickBot="1">
      <c r="A121" s="15"/>
      <c r="B121" s="227"/>
      <c r="C121" s="227">
        <v>5</v>
      </c>
      <c r="D121" s="20"/>
      <c r="F121" s="2"/>
      <c r="G121" s="2"/>
    </row>
    <row r="122" spans="1:7" ht="29.25" customHeight="1">
      <c r="A122" s="14" t="s">
        <v>751</v>
      </c>
      <c r="B122" s="225" t="s">
        <v>611</v>
      </c>
      <c r="C122" s="225">
        <v>1</v>
      </c>
      <c r="D122" s="16" t="s">
        <v>1617</v>
      </c>
    </row>
    <row r="123" spans="1:7" ht="29.25" customHeight="1">
      <c r="A123" s="11"/>
      <c r="B123" s="226"/>
      <c r="C123" s="226">
        <v>2</v>
      </c>
      <c r="D123" s="17" t="s">
        <v>1616</v>
      </c>
    </row>
    <row r="124" spans="1:7" ht="29.25" customHeight="1">
      <c r="A124" s="11"/>
      <c r="B124" s="226"/>
      <c r="C124" s="226">
        <v>3</v>
      </c>
      <c r="D124" s="17" t="s">
        <v>1612</v>
      </c>
    </row>
    <row r="125" spans="1:7" ht="29.25" customHeight="1">
      <c r="A125" s="11"/>
      <c r="B125" s="226"/>
      <c r="C125" s="226">
        <v>4</v>
      </c>
      <c r="D125" s="17" t="s">
        <v>1582</v>
      </c>
    </row>
    <row r="126" spans="1:7" ht="29.25" customHeight="1" thickBot="1">
      <c r="A126" s="11"/>
      <c r="B126" s="226"/>
      <c r="C126" s="226">
        <v>5</v>
      </c>
      <c r="D126" s="18"/>
    </row>
    <row r="127" spans="1:7" ht="29.25" customHeight="1">
      <c r="A127" s="14" t="s">
        <v>751</v>
      </c>
      <c r="B127" s="225" t="s">
        <v>759</v>
      </c>
      <c r="C127" s="225">
        <v>1</v>
      </c>
      <c r="D127" s="19"/>
    </row>
    <row r="128" spans="1:7" ht="29.25" customHeight="1">
      <c r="A128" s="11"/>
      <c r="B128" s="226"/>
      <c r="C128" s="226">
        <v>2</v>
      </c>
      <c r="D128" s="17" t="s">
        <v>1613</v>
      </c>
    </row>
    <row r="129" spans="1:4" ht="29.25" customHeight="1">
      <c r="A129" s="11"/>
      <c r="B129" s="226"/>
      <c r="C129" s="226">
        <v>3</v>
      </c>
      <c r="D129" s="17" t="s">
        <v>1612</v>
      </c>
    </row>
    <row r="130" spans="1:4" ht="29.25" customHeight="1">
      <c r="A130" s="11"/>
      <c r="B130" s="226"/>
      <c r="C130" s="226">
        <v>4</v>
      </c>
      <c r="D130" s="17"/>
    </row>
    <row r="131" spans="1:4" ht="29.25" customHeight="1" thickBot="1">
      <c r="A131" s="15"/>
      <c r="B131" s="227"/>
      <c r="C131" s="227">
        <v>5</v>
      </c>
      <c r="D131" s="20"/>
    </row>
    <row r="132" spans="1:4" ht="29.25" customHeight="1">
      <c r="A132" s="11" t="s">
        <v>949</v>
      </c>
      <c r="B132" s="226" t="s">
        <v>601</v>
      </c>
      <c r="C132" s="226">
        <v>1</v>
      </c>
      <c r="D132" s="21"/>
    </row>
    <row r="133" spans="1:4" ht="29.25" customHeight="1">
      <c r="A133" s="11"/>
      <c r="B133" s="226"/>
      <c r="C133" s="226">
        <v>2</v>
      </c>
      <c r="D133" s="17"/>
    </row>
    <row r="134" spans="1:4" ht="29.25" customHeight="1">
      <c r="A134" s="11"/>
      <c r="B134" s="226"/>
      <c r="C134" s="226">
        <v>3</v>
      </c>
      <c r="D134" s="17" t="s">
        <v>1613</v>
      </c>
    </row>
    <row r="135" spans="1:4" ht="29.25" customHeight="1">
      <c r="A135" s="11"/>
      <c r="B135" s="226"/>
      <c r="C135" s="226">
        <v>4</v>
      </c>
      <c r="D135" s="17" t="s">
        <v>1612</v>
      </c>
    </row>
    <row r="136" spans="1:4" ht="29.25" customHeight="1" thickBot="1">
      <c r="A136" s="11"/>
      <c r="B136" s="226"/>
      <c r="C136" s="226">
        <v>5</v>
      </c>
      <c r="D136" s="18"/>
    </row>
    <row r="137" spans="1:4" ht="29.25" customHeight="1">
      <c r="A137" s="14" t="s">
        <v>949</v>
      </c>
      <c r="B137" s="225" t="s">
        <v>597</v>
      </c>
      <c r="C137" s="225">
        <v>1</v>
      </c>
      <c r="D137" s="19"/>
    </row>
    <row r="138" spans="1:4" ht="29.25" customHeight="1">
      <c r="A138" s="11"/>
      <c r="B138" s="226"/>
      <c r="C138" s="226">
        <v>2</v>
      </c>
      <c r="D138" s="17"/>
    </row>
    <row r="139" spans="1:4" ht="29.25" customHeight="1">
      <c r="A139" s="11"/>
      <c r="B139" s="226"/>
      <c r="C139" s="226">
        <v>3</v>
      </c>
      <c r="D139" s="17"/>
    </row>
    <row r="140" spans="1:4" ht="29.25" customHeight="1">
      <c r="A140" s="11"/>
      <c r="B140" s="226"/>
      <c r="C140" s="226">
        <v>4</v>
      </c>
      <c r="D140" s="17" t="s">
        <v>1613</v>
      </c>
    </row>
    <row r="141" spans="1:4" ht="29.25" customHeight="1" thickBot="1">
      <c r="A141" s="15"/>
      <c r="B141" s="227"/>
      <c r="C141" s="227">
        <v>5</v>
      </c>
      <c r="D141" s="20" t="s">
        <v>1612</v>
      </c>
    </row>
    <row r="142" spans="1:4" ht="29.25" customHeight="1">
      <c r="A142" s="11" t="s">
        <v>949</v>
      </c>
      <c r="B142" s="226" t="s">
        <v>602</v>
      </c>
      <c r="C142" s="226">
        <v>1</v>
      </c>
      <c r="D142" s="21"/>
    </row>
    <row r="143" spans="1:4" ht="29.25" customHeight="1">
      <c r="A143" s="11"/>
      <c r="B143" s="226"/>
      <c r="C143" s="226">
        <v>2</v>
      </c>
      <c r="D143" s="17"/>
    </row>
    <row r="144" spans="1:4" ht="29.25" customHeight="1">
      <c r="A144" s="11"/>
      <c r="B144" s="226"/>
      <c r="C144" s="226">
        <v>3</v>
      </c>
      <c r="D144" s="17"/>
    </row>
    <row r="145" spans="1:4" ht="29.25" customHeight="1">
      <c r="A145" s="11"/>
      <c r="B145" s="226"/>
      <c r="C145" s="226">
        <v>4</v>
      </c>
      <c r="D145" s="17"/>
    </row>
    <row r="146" spans="1:4" ht="29.25" customHeight="1" thickBot="1">
      <c r="A146" s="11"/>
      <c r="B146" s="226"/>
      <c r="C146" s="226">
        <v>5</v>
      </c>
      <c r="D146" s="18" t="s">
        <v>1613</v>
      </c>
    </row>
    <row r="147" spans="1:4" ht="29.25" customHeight="1">
      <c r="A147" s="14" t="s">
        <v>949</v>
      </c>
      <c r="B147" s="225" t="s">
        <v>758</v>
      </c>
      <c r="C147" s="225">
        <v>1</v>
      </c>
      <c r="D147" s="19" t="s">
        <v>1612</v>
      </c>
    </row>
    <row r="148" spans="1:4" ht="29.25" customHeight="1">
      <c r="A148" s="11"/>
      <c r="B148" s="226"/>
      <c r="C148" s="226">
        <v>2</v>
      </c>
      <c r="D148" s="17"/>
    </row>
    <row r="149" spans="1:4" ht="29.25" customHeight="1">
      <c r="A149" s="11"/>
      <c r="B149" s="226"/>
      <c r="C149" s="226">
        <v>3</v>
      </c>
      <c r="D149" s="17"/>
    </row>
    <row r="150" spans="1:4" ht="29.25" customHeight="1">
      <c r="A150" s="11"/>
      <c r="B150" s="226"/>
      <c r="C150" s="226">
        <v>4</v>
      </c>
      <c r="D150" s="17"/>
    </row>
    <row r="151" spans="1:4" ht="29.25" customHeight="1" thickBot="1">
      <c r="A151" s="15"/>
      <c r="B151" s="227"/>
      <c r="C151" s="227">
        <v>5</v>
      </c>
      <c r="D151" s="20"/>
    </row>
    <row r="152" spans="1:4" ht="29.25" customHeight="1">
      <c r="A152" s="14" t="s">
        <v>488</v>
      </c>
      <c r="B152" s="225" t="s">
        <v>603</v>
      </c>
      <c r="C152" s="225">
        <v>1</v>
      </c>
      <c r="D152" s="19" t="s">
        <v>1613</v>
      </c>
    </row>
    <row r="153" spans="1:4" ht="29.25" customHeight="1">
      <c r="A153" s="11"/>
      <c r="B153" s="226"/>
      <c r="C153" s="226">
        <v>2</v>
      </c>
      <c r="D153" s="17" t="s">
        <v>1612</v>
      </c>
    </row>
    <row r="154" spans="1:4" ht="29.25" customHeight="1">
      <c r="A154" s="11"/>
      <c r="B154" s="226"/>
      <c r="C154" s="226">
        <v>3</v>
      </c>
      <c r="D154" s="17"/>
    </row>
    <row r="155" spans="1:4" ht="29.25" customHeight="1">
      <c r="A155" s="11"/>
      <c r="B155" s="226"/>
      <c r="C155" s="226">
        <v>4</v>
      </c>
      <c r="D155" s="17"/>
    </row>
    <row r="156" spans="1:4" ht="29.25" customHeight="1" thickBot="1">
      <c r="A156" s="15"/>
      <c r="B156" s="227"/>
      <c r="C156" s="227">
        <v>5</v>
      </c>
      <c r="D156" s="20"/>
    </row>
    <row r="157" spans="1:4" ht="29.25" customHeight="1">
      <c r="A157" s="11" t="s">
        <v>752</v>
      </c>
      <c r="B157" s="226" t="s">
        <v>605</v>
      </c>
      <c r="C157" s="226">
        <v>1</v>
      </c>
      <c r="D157" s="21"/>
    </row>
    <row r="158" spans="1:4" ht="29.25" customHeight="1">
      <c r="A158" s="11"/>
      <c r="B158" s="226"/>
      <c r="C158" s="226">
        <v>2</v>
      </c>
      <c r="D158" s="17" t="s">
        <v>1613</v>
      </c>
    </row>
    <row r="159" spans="1:4" ht="29.25" customHeight="1">
      <c r="A159" s="11"/>
      <c r="B159" s="226"/>
      <c r="C159" s="226">
        <v>3</v>
      </c>
      <c r="D159" s="17" t="s">
        <v>1612</v>
      </c>
    </row>
    <row r="160" spans="1:4" ht="29.25" customHeight="1">
      <c r="A160" s="11"/>
      <c r="B160" s="226"/>
      <c r="C160" s="226">
        <v>4</v>
      </c>
      <c r="D160" s="17"/>
    </row>
    <row r="161" spans="1:4" ht="29.25" customHeight="1" thickBot="1">
      <c r="A161" s="11"/>
      <c r="B161" s="226"/>
      <c r="C161" s="226">
        <v>5</v>
      </c>
      <c r="D161" s="18"/>
    </row>
    <row r="162" spans="1:4" ht="29.25" customHeight="1">
      <c r="A162" s="14" t="s">
        <v>752</v>
      </c>
      <c r="B162" s="225" t="s">
        <v>600</v>
      </c>
      <c r="C162" s="225">
        <v>1</v>
      </c>
      <c r="D162" s="19"/>
    </row>
    <row r="163" spans="1:4" ht="29.25" customHeight="1">
      <c r="A163" s="11"/>
      <c r="B163" s="226"/>
      <c r="C163" s="226">
        <v>2</v>
      </c>
      <c r="D163" s="17"/>
    </row>
    <row r="164" spans="1:4" ht="29.25" customHeight="1">
      <c r="A164" s="11"/>
      <c r="B164" s="226"/>
      <c r="C164" s="226">
        <v>3</v>
      </c>
      <c r="D164" s="17" t="s">
        <v>1613</v>
      </c>
    </row>
    <row r="165" spans="1:4" ht="29.25" customHeight="1">
      <c r="A165" s="11"/>
      <c r="B165" s="226"/>
      <c r="C165" s="226">
        <v>4</v>
      </c>
      <c r="D165" s="17" t="s">
        <v>1612</v>
      </c>
    </row>
    <row r="166" spans="1:4" ht="29.25" customHeight="1" thickBot="1">
      <c r="A166" s="15"/>
      <c r="B166" s="227"/>
      <c r="C166" s="227">
        <v>5</v>
      </c>
      <c r="D166" s="20"/>
    </row>
    <row r="167" spans="1:4" ht="29.25" customHeight="1">
      <c r="A167" s="14" t="s">
        <v>951</v>
      </c>
      <c r="B167" s="225" t="s">
        <v>604</v>
      </c>
      <c r="C167" s="225">
        <v>1</v>
      </c>
      <c r="D167" s="19"/>
    </row>
    <row r="168" spans="1:4" ht="29.25" customHeight="1">
      <c r="A168" s="11"/>
      <c r="B168" s="226"/>
      <c r="C168" s="226">
        <v>2</v>
      </c>
      <c r="D168" s="17"/>
    </row>
    <row r="169" spans="1:4" ht="29.25" customHeight="1">
      <c r="A169" s="11"/>
      <c r="B169" s="226"/>
      <c r="C169" s="226">
        <v>3</v>
      </c>
      <c r="D169" s="17"/>
    </row>
    <row r="170" spans="1:4" ht="29.25" customHeight="1">
      <c r="A170" s="11"/>
      <c r="B170" s="226"/>
      <c r="C170" s="226">
        <v>4</v>
      </c>
      <c r="D170" s="17" t="s">
        <v>1613</v>
      </c>
    </row>
    <row r="171" spans="1:4" ht="29.25" customHeight="1" thickBot="1">
      <c r="A171" s="15"/>
      <c r="B171" s="227"/>
      <c r="C171" s="227">
        <v>5</v>
      </c>
      <c r="D171" s="20" t="s">
        <v>1612</v>
      </c>
    </row>
    <row r="172" spans="1:4" ht="29.25" customHeight="1">
      <c r="A172" s="14" t="s">
        <v>951</v>
      </c>
      <c r="B172" s="225" t="s">
        <v>760</v>
      </c>
      <c r="C172" s="225">
        <v>1</v>
      </c>
      <c r="D172" s="19"/>
    </row>
    <row r="173" spans="1:4" ht="29.25" customHeight="1">
      <c r="A173" s="11"/>
      <c r="B173" s="226"/>
      <c r="C173" s="226">
        <v>2</v>
      </c>
      <c r="D173" s="17"/>
    </row>
    <row r="174" spans="1:4" ht="29.25" customHeight="1">
      <c r="A174" s="11"/>
      <c r="B174" s="226"/>
      <c r="C174" s="226">
        <v>3</v>
      </c>
      <c r="D174" s="17"/>
    </row>
    <row r="175" spans="1:4" ht="29.25" customHeight="1">
      <c r="A175" s="11"/>
      <c r="B175" s="226"/>
      <c r="C175" s="226">
        <v>4</v>
      </c>
      <c r="D175" s="17"/>
    </row>
    <row r="176" spans="1:4" ht="29.25" customHeight="1" thickBot="1">
      <c r="A176" s="15"/>
      <c r="B176" s="227"/>
      <c r="C176" s="227">
        <v>5</v>
      </c>
      <c r="D176" s="20" t="s">
        <v>1613</v>
      </c>
    </row>
    <row r="177" spans="1:4" ht="29.25" customHeight="1">
      <c r="A177" s="14" t="s">
        <v>951</v>
      </c>
      <c r="B177" s="225" t="s">
        <v>607</v>
      </c>
      <c r="C177" s="225">
        <v>1</v>
      </c>
      <c r="D177" s="19" t="s">
        <v>1612</v>
      </c>
    </row>
    <row r="178" spans="1:4" ht="29.25" customHeight="1">
      <c r="A178" s="11"/>
      <c r="B178" s="226"/>
      <c r="C178" s="226">
        <v>2</v>
      </c>
      <c r="D178" s="17"/>
    </row>
    <row r="179" spans="1:4" ht="29.25" customHeight="1">
      <c r="A179" s="11"/>
      <c r="B179" s="226"/>
      <c r="C179" s="226">
        <v>3</v>
      </c>
      <c r="D179" s="17"/>
    </row>
    <row r="180" spans="1:4" ht="29.25" customHeight="1">
      <c r="A180" s="11"/>
      <c r="B180" s="226"/>
      <c r="C180" s="226">
        <v>4</v>
      </c>
      <c r="D180" s="17"/>
    </row>
    <row r="181" spans="1:4" ht="29.25" customHeight="1" thickBot="1">
      <c r="A181" s="15"/>
      <c r="B181" s="227"/>
      <c r="C181" s="227">
        <v>5</v>
      </c>
      <c r="D181" s="20"/>
    </row>
    <row r="182" spans="1:4" ht="29.25" customHeight="1">
      <c r="A182" s="14" t="s">
        <v>951</v>
      </c>
      <c r="B182" s="225" t="s">
        <v>608</v>
      </c>
      <c r="C182" s="225">
        <v>1</v>
      </c>
      <c r="D182" s="16" t="s">
        <v>1613</v>
      </c>
    </row>
    <row r="183" spans="1:4" ht="29.25" customHeight="1">
      <c r="A183" s="11"/>
      <c r="B183" s="226"/>
      <c r="C183" s="226">
        <v>2</v>
      </c>
      <c r="D183" s="17" t="s">
        <v>1612</v>
      </c>
    </row>
    <row r="184" spans="1:4" ht="29.25" customHeight="1">
      <c r="A184" s="11"/>
      <c r="B184" s="226"/>
      <c r="C184" s="226">
        <v>3</v>
      </c>
      <c r="D184" s="17"/>
    </row>
    <row r="185" spans="1:4" ht="29.25" customHeight="1">
      <c r="A185" s="11"/>
      <c r="B185" s="226"/>
      <c r="C185" s="226">
        <v>4</v>
      </c>
      <c r="D185" s="17"/>
    </row>
    <row r="186" spans="1:4" ht="29.25" customHeight="1" thickBot="1">
      <c r="A186" s="11"/>
      <c r="B186" s="226"/>
      <c r="C186" s="226">
        <v>5</v>
      </c>
      <c r="D186" s="18"/>
    </row>
    <row r="187" spans="1:4" ht="29.25" customHeight="1">
      <c r="A187" s="14"/>
      <c r="B187" s="225"/>
      <c r="C187" s="225">
        <v>1</v>
      </c>
      <c r="D187" s="19"/>
    </row>
    <row r="188" spans="1:4" ht="29.25" customHeight="1">
      <c r="A188" s="11"/>
      <c r="B188" s="226"/>
      <c r="C188" s="226">
        <v>2</v>
      </c>
      <c r="D188" s="17"/>
    </row>
    <row r="189" spans="1:4" ht="29.25" customHeight="1">
      <c r="A189" s="11"/>
      <c r="B189" s="226"/>
      <c r="C189" s="226">
        <v>3</v>
      </c>
      <c r="D189" s="17"/>
    </row>
    <row r="190" spans="1:4" ht="29.25" customHeight="1">
      <c r="A190" s="11"/>
      <c r="B190" s="226"/>
      <c r="C190" s="226">
        <v>4</v>
      </c>
      <c r="D190" s="17"/>
    </row>
    <row r="191" spans="1:4" ht="29.25" customHeight="1" thickBot="1">
      <c r="A191" s="15"/>
      <c r="B191" s="227"/>
      <c r="C191" s="227">
        <v>5</v>
      </c>
      <c r="D191" s="20"/>
    </row>
    <row r="192" spans="1:4" ht="29.25" customHeight="1">
      <c r="A192" s="11"/>
      <c r="B192" s="226"/>
      <c r="C192" s="226">
        <v>1</v>
      </c>
      <c r="D192" s="21"/>
    </row>
    <row r="193" spans="1:4" ht="29.25" customHeight="1">
      <c r="A193" s="11"/>
      <c r="B193" s="226"/>
      <c r="C193" s="226">
        <v>2</v>
      </c>
      <c r="D193" s="17"/>
    </row>
    <row r="194" spans="1:4" ht="29.25" customHeight="1">
      <c r="A194" s="11"/>
      <c r="B194" s="226"/>
      <c r="C194" s="226">
        <v>3</v>
      </c>
      <c r="D194" s="17"/>
    </row>
    <row r="195" spans="1:4" ht="29.25" customHeight="1">
      <c r="A195" s="11"/>
      <c r="B195" s="226"/>
      <c r="C195" s="226">
        <v>4</v>
      </c>
      <c r="D195" s="17"/>
    </row>
    <row r="196" spans="1:4" ht="29.25" customHeight="1" thickBot="1">
      <c r="A196" s="11"/>
      <c r="B196" s="226"/>
      <c r="C196" s="226">
        <v>5</v>
      </c>
      <c r="D196" s="18"/>
    </row>
    <row r="197" spans="1:4" ht="29.25" customHeight="1">
      <c r="A197" s="14"/>
      <c r="B197" s="225"/>
      <c r="C197" s="225">
        <v>1</v>
      </c>
      <c r="D197" s="19"/>
    </row>
    <row r="198" spans="1:4" ht="29.25" customHeight="1">
      <c r="A198" s="11"/>
      <c r="B198" s="226"/>
      <c r="C198" s="226">
        <v>2</v>
      </c>
      <c r="D198" s="17"/>
    </row>
    <row r="199" spans="1:4" ht="29.25" customHeight="1">
      <c r="A199" s="11"/>
      <c r="B199" s="226"/>
      <c r="C199" s="226">
        <v>3</v>
      </c>
      <c r="D199" s="17"/>
    </row>
    <row r="200" spans="1:4" ht="29.25" customHeight="1">
      <c r="A200" s="11"/>
      <c r="B200" s="226"/>
      <c r="C200" s="226">
        <v>4</v>
      </c>
      <c r="D200" s="17"/>
    </row>
    <row r="201" spans="1:4" ht="29.25" customHeight="1" thickBot="1">
      <c r="A201" s="15"/>
      <c r="B201" s="227"/>
      <c r="C201" s="227">
        <v>5</v>
      </c>
      <c r="D201" s="20"/>
    </row>
    <row r="202" spans="1:4" ht="29.25" customHeight="1">
      <c r="A202" s="11"/>
      <c r="B202" s="226"/>
      <c r="C202" s="226">
        <v>1</v>
      </c>
      <c r="D202" s="21"/>
    </row>
    <row r="203" spans="1:4" ht="29.25" customHeight="1">
      <c r="A203" s="11"/>
      <c r="B203" s="226"/>
      <c r="C203" s="226">
        <v>2</v>
      </c>
      <c r="D203" s="17"/>
    </row>
    <row r="204" spans="1:4" ht="29.25" customHeight="1">
      <c r="A204" s="11"/>
      <c r="B204" s="226"/>
      <c r="C204" s="226">
        <v>3</v>
      </c>
      <c r="D204" s="17"/>
    </row>
    <row r="205" spans="1:4" ht="29.25" customHeight="1">
      <c r="A205" s="11"/>
      <c r="B205" s="226"/>
      <c r="C205" s="226">
        <v>4</v>
      </c>
      <c r="D205" s="17"/>
    </row>
    <row r="206" spans="1:4" ht="29.25" customHeight="1" thickBot="1">
      <c r="A206" s="11"/>
      <c r="B206" s="226"/>
      <c r="C206" s="226">
        <v>5</v>
      </c>
      <c r="D206" s="18"/>
    </row>
    <row r="207" spans="1:4" ht="29.25" customHeight="1">
      <c r="A207" s="14"/>
      <c r="B207" s="225"/>
      <c r="C207" s="225">
        <v>1</v>
      </c>
      <c r="D207" s="19"/>
    </row>
    <row r="208" spans="1:4" ht="29.25" customHeight="1">
      <c r="A208" s="11"/>
      <c r="B208" s="226"/>
      <c r="C208" s="226">
        <v>2</v>
      </c>
      <c r="D208" s="17"/>
    </row>
    <row r="209" spans="1:4" ht="29.25" customHeight="1">
      <c r="A209" s="11"/>
      <c r="B209" s="226"/>
      <c r="C209" s="226">
        <v>3</v>
      </c>
      <c r="D209" s="17"/>
    </row>
    <row r="210" spans="1:4" ht="29.25" customHeight="1">
      <c r="A210" s="11"/>
      <c r="B210" s="226"/>
      <c r="C210" s="226">
        <v>4</v>
      </c>
      <c r="D210" s="17"/>
    </row>
    <row r="211" spans="1:4" ht="29.25" customHeight="1" thickBot="1">
      <c r="A211" s="15"/>
      <c r="B211" s="227"/>
      <c r="C211" s="227">
        <v>5</v>
      </c>
      <c r="D211" s="20"/>
    </row>
    <row r="212" spans="1:4" ht="29.25" customHeight="1">
      <c r="A212" s="14"/>
      <c r="B212" s="225"/>
      <c r="C212" s="225">
        <v>1</v>
      </c>
      <c r="D212" s="19"/>
    </row>
    <row r="213" spans="1:4" ht="29.25" customHeight="1">
      <c r="A213" s="11"/>
      <c r="B213" s="226"/>
      <c r="C213" s="226">
        <v>2</v>
      </c>
      <c r="D213" s="17"/>
    </row>
    <row r="214" spans="1:4" ht="29.25" customHeight="1">
      <c r="A214" s="11"/>
      <c r="B214" s="226"/>
      <c r="C214" s="226">
        <v>3</v>
      </c>
      <c r="D214" s="17"/>
    </row>
    <row r="215" spans="1:4" ht="29.25" customHeight="1">
      <c r="A215" s="11"/>
      <c r="B215" s="226"/>
      <c r="C215" s="226">
        <v>4</v>
      </c>
      <c r="D215" s="17"/>
    </row>
    <row r="216" spans="1:4" ht="29.25" customHeight="1" thickBot="1">
      <c r="A216" s="15"/>
      <c r="B216" s="227"/>
      <c r="C216" s="227">
        <v>5</v>
      </c>
      <c r="D216" s="20"/>
    </row>
    <row r="217" spans="1:4" ht="29.25" customHeight="1">
      <c r="A217" s="11"/>
      <c r="B217" s="226"/>
      <c r="C217" s="226">
        <v>1</v>
      </c>
      <c r="D217" s="21"/>
    </row>
    <row r="218" spans="1:4" ht="29.25" customHeight="1">
      <c r="A218" s="11"/>
      <c r="B218" s="226"/>
      <c r="C218" s="226">
        <v>2</v>
      </c>
      <c r="D218" s="17"/>
    </row>
    <row r="219" spans="1:4" ht="29.25" customHeight="1">
      <c r="A219" s="11"/>
      <c r="B219" s="226"/>
      <c r="C219" s="226">
        <v>3</v>
      </c>
      <c r="D219" s="17"/>
    </row>
    <row r="220" spans="1:4" ht="29.25" customHeight="1">
      <c r="A220" s="11"/>
      <c r="B220" s="226"/>
      <c r="C220" s="226">
        <v>4</v>
      </c>
      <c r="D220" s="17"/>
    </row>
    <row r="221" spans="1:4" ht="29.25" customHeight="1" thickBot="1">
      <c r="A221" s="11"/>
      <c r="B221" s="226"/>
      <c r="C221" s="226">
        <v>5</v>
      </c>
      <c r="D221" s="18"/>
    </row>
    <row r="222" spans="1:4" ht="29.25" customHeight="1">
      <c r="A222" s="14"/>
      <c r="B222" s="225"/>
      <c r="C222" s="225">
        <v>1</v>
      </c>
      <c r="D222" s="19"/>
    </row>
    <row r="223" spans="1:4" ht="29.25" customHeight="1">
      <c r="A223" s="11"/>
      <c r="B223" s="226"/>
      <c r="C223" s="226">
        <v>2</v>
      </c>
      <c r="D223" s="17"/>
    </row>
    <row r="224" spans="1:4" ht="29.25" customHeight="1">
      <c r="A224" s="11"/>
      <c r="B224" s="226"/>
      <c r="C224" s="226">
        <v>3</v>
      </c>
      <c r="D224" s="17"/>
    </row>
    <row r="225" spans="1:4" ht="29.25" customHeight="1">
      <c r="A225" s="11"/>
      <c r="B225" s="226"/>
      <c r="C225" s="226">
        <v>4</v>
      </c>
      <c r="D225" s="17"/>
    </row>
    <row r="226" spans="1:4" ht="29.25" customHeight="1" thickBot="1">
      <c r="A226" s="15"/>
      <c r="B226" s="227"/>
      <c r="C226" s="227">
        <v>5</v>
      </c>
      <c r="D226" s="20"/>
    </row>
    <row r="227" spans="1:4" ht="29.25" customHeight="1">
      <c r="A227" s="14"/>
      <c r="B227" s="225"/>
      <c r="C227" s="225">
        <v>1</v>
      </c>
      <c r="D227" s="19"/>
    </row>
    <row r="228" spans="1:4" ht="29.25" customHeight="1">
      <c r="A228" s="11"/>
      <c r="B228" s="226"/>
      <c r="C228" s="226">
        <v>2</v>
      </c>
      <c r="D228" s="17"/>
    </row>
    <row r="229" spans="1:4" ht="29.25" customHeight="1">
      <c r="A229" s="11"/>
      <c r="B229" s="226"/>
      <c r="C229" s="226">
        <v>3</v>
      </c>
      <c r="D229" s="17"/>
    </row>
    <row r="230" spans="1:4" ht="29.25" customHeight="1">
      <c r="A230" s="11"/>
      <c r="B230" s="226"/>
      <c r="C230" s="226">
        <v>4</v>
      </c>
      <c r="D230" s="17"/>
    </row>
    <row r="231" spans="1:4" ht="29.25" customHeight="1" thickBot="1">
      <c r="A231" s="15"/>
      <c r="B231" s="227"/>
      <c r="C231" s="227">
        <v>5</v>
      </c>
      <c r="D231" s="20"/>
    </row>
    <row r="232" spans="1:4" ht="29.25" customHeight="1">
      <c r="A232" s="14"/>
      <c r="B232" s="225"/>
      <c r="C232" s="225">
        <v>1</v>
      </c>
      <c r="D232" s="19"/>
    </row>
    <row r="233" spans="1:4" ht="29.25" customHeight="1">
      <c r="A233" s="11"/>
      <c r="B233" s="226"/>
      <c r="C233" s="226">
        <v>2</v>
      </c>
      <c r="D233" s="17"/>
    </row>
    <row r="234" spans="1:4" ht="29.25" customHeight="1">
      <c r="A234" s="11"/>
      <c r="B234" s="226"/>
      <c r="C234" s="226">
        <v>3</v>
      </c>
      <c r="D234" s="17"/>
    </row>
    <row r="235" spans="1:4" ht="29.25" customHeight="1">
      <c r="A235" s="11"/>
      <c r="B235" s="226"/>
      <c r="C235" s="226">
        <v>4</v>
      </c>
      <c r="D235" s="17"/>
    </row>
    <row r="236" spans="1:4" ht="29.25" customHeight="1" thickBot="1">
      <c r="A236" s="15"/>
      <c r="B236" s="227"/>
      <c r="C236" s="227">
        <v>5</v>
      </c>
      <c r="D236" s="20"/>
    </row>
    <row r="237" spans="1:4" ht="29.25" customHeight="1">
      <c r="A237" s="14"/>
      <c r="B237" s="225"/>
      <c r="C237" s="225">
        <v>1</v>
      </c>
      <c r="D237" s="19"/>
    </row>
    <row r="238" spans="1:4" ht="29.25" customHeight="1">
      <c r="A238" s="11"/>
      <c r="B238" s="226"/>
      <c r="C238" s="226">
        <v>2</v>
      </c>
      <c r="D238" s="17"/>
    </row>
    <row r="239" spans="1:4" ht="29.25" customHeight="1">
      <c r="A239" s="11"/>
      <c r="B239" s="226"/>
      <c r="C239" s="226">
        <v>3</v>
      </c>
      <c r="D239" s="17"/>
    </row>
    <row r="240" spans="1:4" ht="29.25" customHeight="1">
      <c r="A240" s="11"/>
      <c r="B240" s="226"/>
      <c r="C240" s="226">
        <v>4</v>
      </c>
      <c r="D240" s="17"/>
    </row>
    <row r="241" spans="1:4" ht="29.25" customHeight="1" thickBot="1">
      <c r="A241" s="15"/>
      <c r="B241" s="227"/>
      <c r="C241" s="227">
        <v>5</v>
      </c>
      <c r="D241" s="20"/>
    </row>
    <row r="242" spans="1:4" ht="29.25" customHeight="1">
      <c r="A242" s="14"/>
      <c r="B242" s="225"/>
      <c r="C242" s="225">
        <v>1</v>
      </c>
      <c r="D242" s="16"/>
    </row>
    <row r="243" spans="1:4" ht="29.25" customHeight="1">
      <c r="A243" s="11"/>
      <c r="B243" s="226"/>
      <c r="C243" s="226">
        <v>2</v>
      </c>
      <c r="D243" s="17"/>
    </row>
    <row r="244" spans="1:4" ht="29.25" customHeight="1">
      <c r="A244" s="11"/>
      <c r="B244" s="226"/>
      <c r="C244" s="226">
        <v>3</v>
      </c>
      <c r="D244" s="17"/>
    </row>
    <row r="245" spans="1:4" ht="29.25" customHeight="1">
      <c r="A245" s="11"/>
      <c r="B245" s="226"/>
      <c r="C245" s="226">
        <v>4</v>
      </c>
      <c r="D245" s="17"/>
    </row>
    <row r="246" spans="1:4" ht="29.25" customHeight="1" thickBot="1">
      <c r="A246" s="11"/>
      <c r="B246" s="226"/>
      <c r="C246" s="226">
        <v>5</v>
      </c>
      <c r="D246" s="18"/>
    </row>
    <row r="247" spans="1:4" ht="29.25" customHeight="1">
      <c r="A247" s="14"/>
      <c r="B247" s="225"/>
      <c r="C247" s="225">
        <v>1</v>
      </c>
      <c r="D247" s="19"/>
    </row>
    <row r="248" spans="1:4" ht="29.25" customHeight="1">
      <c r="A248" s="11"/>
      <c r="B248" s="226"/>
      <c r="C248" s="226">
        <v>2</v>
      </c>
      <c r="D248" s="17"/>
    </row>
    <row r="249" spans="1:4" ht="29.25" customHeight="1">
      <c r="A249" s="11"/>
      <c r="B249" s="226"/>
      <c r="C249" s="226">
        <v>3</v>
      </c>
      <c r="D249" s="17"/>
    </row>
    <row r="250" spans="1:4" ht="29.25" customHeight="1">
      <c r="A250" s="11"/>
      <c r="B250" s="226"/>
      <c r="C250" s="226">
        <v>4</v>
      </c>
      <c r="D250" s="17"/>
    </row>
    <row r="251" spans="1:4" ht="29.25" customHeight="1" thickBot="1">
      <c r="A251" s="15"/>
      <c r="B251" s="227"/>
      <c r="C251" s="227">
        <v>5</v>
      </c>
      <c r="D251" s="20"/>
    </row>
    <row r="252" spans="1:4" ht="29.25" customHeight="1">
      <c r="A252" s="11"/>
      <c r="B252" s="226"/>
      <c r="C252" s="226">
        <v>1</v>
      </c>
      <c r="D252" s="21"/>
    </row>
    <row r="253" spans="1:4" ht="29.25" customHeight="1">
      <c r="A253" s="11"/>
      <c r="B253" s="226"/>
      <c r="C253" s="226">
        <v>2</v>
      </c>
      <c r="D253" s="17"/>
    </row>
    <row r="254" spans="1:4" ht="29.25" customHeight="1">
      <c r="A254" s="11"/>
      <c r="B254" s="226"/>
      <c r="C254" s="226">
        <v>3</v>
      </c>
      <c r="D254" s="17"/>
    </row>
    <row r="255" spans="1:4" ht="29.25" customHeight="1">
      <c r="A255" s="11"/>
      <c r="B255" s="226"/>
      <c r="C255" s="226">
        <v>4</v>
      </c>
      <c r="D255" s="17"/>
    </row>
    <row r="256" spans="1:4" ht="29.25" customHeight="1" thickBot="1">
      <c r="A256" s="11"/>
      <c r="B256" s="226"/>
      <c r="C256" s="226">
        <v>5</v>
      </c>
      <c r="D256" s="18"/>
    </row>
    <row r="257" spans="1:4" ht="29.25" customHeight="1">
      <c r="A257" s="14"/>
      <c r="B257" s="225"/>
      <c r="C257" s="225">
        <v>1</v>
      </c>
      <c r="D257" s="19"/>
    </row>
    <row r="258" spans="1:4" ht="29.25" customHeight="1">
      <c r="A258" s="11"/>
      <c r="B258" s="226"/>
      <c r="C258" s="226">
        <v>2</v>
      </c>
      <c r="D258" s="17"/>
    </row>
    <row r="259" spans="1:4" ht="29.25" customHeight="1">
      <c r="A259" s="11"/>
      <c r="B259" s="226"/>
      <c r="C259" s="226">
        <v>3</v>
      </c>
      <c r="D259" s="17"/>
    </row>
    <row r="260" spans="1:4" ht="29.25" customHeight="1">
      <c r="A260" s="11"/>
      <c r="B260" s="226"/>
      <c r="C260" s="226">
        <v>4</v>
      </c>
      <c r="D260" s="17"/>
    </row>
    <row r="261" spans="1:4" ht="29.25" customHeight="1" thickBot="1">
      <c r="A261" s="15"/>
      <c r="B261" s="227"/>
      <c r="C261" s="227">
        <v>5</v>
      </c>
      <c r="D261" s="20"/>
    </row>
    <row r="262" spans="1:4" ht="29.25" customHeight="1">
      <c r="A262" s="11"/>
      <c r="B262" s="226"/>
      <c r="C262" s="226">
        <v>1</v>
      </c>
      <c r="D262" s="21"/>
    </row>
    <row r="263" spans="1:4" ht="29.25" customHeight="1">
      <c r="A263" s="11"/>
      <c r="B263" s="226"/>
      <c r="C263" s="226">
        <v>2</v>
      </c>
      <c r="D263" s="17"/>
    </row>
    <row r="264" spans="1:4" ht="29.25" customHeight="1">
      <c r="A264" s="11"/>
      <c r="B264" s="226"/>
      <c r="C264" s="226">
        <v>3</v>
      </c>
      <c r="D264" s="17"/>
    </row>
    <row r="265" spans="1:4" ht="29.25" customHeight="1">
      <c r="A265" s="11"/>
      <c r="B265" s="226"/>
      <c r="C265" s="226">
        <v>4</v>
      </c>
      <c r="D265" s="17"/>
    </row>
    <row r="266" spans="1:4" ht="29.25" customHeight="1" thickBot="1">
      <c r="A266" s="11"/>
      <c r="B266" s="226"/>
      <c r="C266" s="226">
        <v>5</v>
      </c>
      <c r="D266" s="18"/>
    </row>
    <row r="267" spans="1:4" ht="29.25" customHeight="1">
      <c r="A267" s="14"/>
      <c r="B267" s="225"/>
      <c r="C267" s="225">
        <v>1</v>
      </c>
      <c r="D267" s="19"/>
    </row>
    <row r="268" spans="1:4" ht="29.25" customHeight="1">
      <c r="A268" s="11"/>
      <c r="B268" s="226"/>
      <c r="C268" s="226">
        <v>2</v>
      </c>
      <c r="D268" s="17"/>
    </row>
    <row r="269" spans="1:4" ht="29.25" customHeight="1">
      <c r="A269" s="11"/>
      <c r="B269" s="226"/>
      <c r="C269" s="226">
        <v>3</v>
      </c>
      <c r="D269" s="17"/>
    </row>
    <row r="270" spans="1:4" ht="29.25" customHeight="1">
      <c r="A270" s="11"/>
      <c r="B270" s="226"/>
      <c r="C270" s="226">
        <v>4</v>
      </c>
      <c r="D270" s="17"/>
    </row>
    <row r="271" spans="1:4" ht="29.25" customHeight="1" thickBot="1">
      <c r="A271" s="15"/>
      <c r="B271" s="227"/>
      <c r="C271" s="227">
        <v>5</v>
      </c>
      <c r="D271" s="20"/>
    </row>
    <row r="272" spans="1:4" ht="29.25" customHeight="1">
      <c r="A272" s="14"/>
      <c r="B272" s="225"/>
      <c r="C272" s="225">
        <v>1</v>
      </c>
      <c r="D272" s="19"/>
    </row>
    <row r="273" spans="1:4" ht="29.25" customHeight="1">
      <c r="A273" s="11"/>
      <c r="B273" s="226"/>
      <c r="C273" s="226">
        <v>2</v>
      </c>
      <c r="D273" s="17"/>
    </row>
    <row r="274" spans="1:4" ht="29.25" customHeight="1">
      <c r="A274" s="11"/>
      <c r="B274" s="226"/>
      <c r="C274" s="226">
        <v>3</v>
      </c>
      <c r="D274" s="17"/>
    </row>
    <row r="275" spans="1:4" ht="29.25" customHeight="1">
      <c r="A275" s="11"/>
      <c r="B275" s="226"/>
      <c r="C275" s="226">
        <v>4</v>
      </c>
      <c r="D275" s="17"/>
    </row>
    <row r="276" spans="1:4" ht="29.25" customHeight="1" thickBot="1">
      <c r="A276" s="15"/>
      <c r="B276" s="227"/>
      <c r="C276" s="227">
        <v>5</v>
      </c>
      <c r="D276" s="20"/>
    </row>
    <row r="277" spans="1:4" ht="29.25" customHeight="1">
      <c r="A277" s="11"/>
      <c r="B277" s="226"/>
      <c r="C277" s="226">
        <v>1</v>
      </c>
      <c r="D277" s="21"/>
    </row>
    <row r="278" spans="1:4" ht="29.25" customHeight="1">
      <c r="A278" s="11"/>
      <c r="B278" s="226"/>
      <c r="C278" s="226">
        <v>2</v>
      </c>
      <c r="D278" s="17"/>
    </row>
    <row r="279" spans="1:4" ht="29.25" customHeight="1">
      <c r="A279" s="11"/>
      <c r="B279" s="226"/>
      <c r="C279" s="226">
        <v>3</v>
      </c>
      <c r="D279" s="17"/>
    </row>
    <row r="280" spans="1:4" ht="29.25" customHeight="1">
      <c r="A280" s="11"/>
      <c r="B280" s="226"/>
      <c r="C280" s="226">
        <v>4</v>
      </c>
      <c r="D280" s="17"/>
    </row>
    <row r="281" spans="1:4" ht="29.25" customHeight="1" thickBot="1">
      <c r="A281" s="11"/>
      <c r="B281" s="226"/>
      <c r="C281" s="226">
        <v>5</v>
      </c>
      <c r="D281" s="18"/>
    </row>
    <row r="282" spans="1:4" ht="29.25" customHeight="1">
      <c r="A282" s="14"/>
      <c r="B282" s="225"/>
      <c r="C282" s="225">
        <v>1</v>
      </c>
      <c r="D282" s="19"/>
    </row>
    <row r="283" spans="1:4" ht="29.25" customHeight="1">
      <c r="A283" s="11"/>
      <c r="B283" s="226"/>
      <c r="C283" s="226">
        <v>2</v>
      </c>
      <c r="D283" s="17"/>
    </row>
    <row r="284" spans="1:4" ht="29.25" customHeight="1">
      <c r="A284" s="11"/>
      <c r="B284" s="226"/>
      <c r="C284" s="226">
        <v>3</v>
      </c>
      <c r="D284" s="17"/>
    </row>
    <row r="285" spans="1:4" ht="29.25" customHeight="1">
      <c r="A285" s="11"/>
      <c r="B285" s="226"/>
      <c r="C285" s="226">
        <v>4</v>
      </c>
      <c r="D285" s="17"/>
    </row>
    <row r="286" spans="1:4" ht="29.25" customHeight="1" thickBot="1">
      <c r="A286" s="15"/>
      <c r="B286" s="227"/>
      <c r="C286" s="227">
        <v>5</v>
      </c>
      <c r="D286" s="20"/>
    </row>
    <row r="287" spans="1:4" ht="29.25" customHeight="1">
      <c r="A287" s="14"/>
      <c r="B287" s="225"/>
      <c r="C287" s="225">
        <v>1</v>
      </c>
      <c r="D287" s="19"/>
    </row>
    <row r="288" spans="1:4" ht="29.25" customHeight="1">
      <c r="A288" s="11"/>
      <c r="B288" s="226"/>
      <c r="C288" s="226">
        <v>2</v>
      </c>
      <c r="D288" s="17"/>
    </row>
    <row r="289" spans="1:4" ht="29.25" customHeight="1">
      <c r="A289" s="11"/>
      <c r="B289" s="226"/>
      <c r="C289" s="226">
        <v>3</v>
      </c>
      <c r="D289" s="17"/>
    </row>
    <row r="290" spans="1:4" ht="29.25" customHeight="1">
      <c r="A290" s="11"/>
      <c r="B290" s="226"/>
      <c r="C290" s="226">
        <v>4</v>
      </c>
      <c r="D290" s="17"/>
    </row>
    <row r="291" spans="1:4" ht="29.25" customHeight="1" thickBot="1">
      <c r="A291" s="15"/>
      <c r="B291" s="227"/>
      <c r="C291" s="227">
        <v>5</v>
      </c>
      <c r="D291" s="20"/>
    </row>
    <row r="292" spans="1:4" ht="29.25" customHeight="1">
      <c r="A292" s="14"/>
      <c r="B292" s="225"/>
      <c r="C292" s="225">
        <v>1</v>
      </c>
      <c r="D292" s="19"/>
    </row>
    <row r="293" spans="1:4" ht="29.25" customHeight="1">
      <c r="A293" s="11"/>
      <c r="B293" s="226"/>
      <c r="C293" s="226">
        <v>2</v>
      </c>
      <c r="D293" s="17"/>
    </row>
    <row r="294" spans="1:4" ht="29.25" customHeight="1">
      <c r="A294" s="11"/>
      <c r="B294" s="226"/>
      <c r="C294" s="226">
        <v>3</v>
      </c>
      <c r="D294" s="17"/>
    </row>
    <row r="295" spans="1:4" ht="29.25" customHeight="1">
      <c r="A295" s="11"/>
      <c r="B295" s="226"/>
      <c r="C295" s="226">
        <v>4</v>
      </c>
      <c r="D295" s="17"/>
    </row>
    <row r="296" spans="1:4" ht="29.25" customHeight="1" thickBot="1">
      <c r="A296" s="15"/>
      <c r="B296" s="227"/>
      <c r="C296" s="227">
        <v>5</v>
      </c>
      <c r="D296" s="20"/>
    </row>
    <row r="297" spans="1:4" ht="29.25" customHeight="1">
      <c r="A297" s="14"/>
      <c r="B297" s="225"/>
      <c r="C297" s="225">
        <v>1</v>
      </c>
      <c r="D297" s="19"/>
    </row>
    <row r="298" spans="1:4" ht="29.25" customHeight="1">
      <c r="A298" s="11"/>
      <c r="B298" s="226"/>
      <c r="C298" s="226">
        <v>2</v>
      </c>
      <c r="D298" s="17"/>
    </row>
    <row r="299" spans="1:4" ht="29.25" customHeight="1">
      <c r="A299" s="11"/>
      <c r="B299" s="226"/>
      <c r="C299" s="226">
        <v>3</v>
      </c>
      <c r="D299" s="17"/>
    </row>
    <row r="300" spans="1:4" ht="29.25" customHeight="1">
      <c r="A300" s="11"/>
      <c r="B300" s="226"/>
      <c r="C300" s="226">
        <v>4</v>
      </c>
      <c r="D300" s="17"/>
    </row>
    <row r="301" spans="1:4" ht="29.25" customHeight="1" thickBot="1">
      <c r="A301" s="15"/>
      <c r="B301" s="227"/>
      <c r="C301" s="227">
        <v>5</v>
      </c>
      <c r="D301" s="20"/>
    </row>
    <row r="302" spans="1:4" ht="29.25" customHeight="1">
      <c r="A302" s="14"/>
      <c r="B302" s="225"/>
      <c r="C302" s="225">
        <v>1</v>
      </c>
      <c r="D302" s="16"/>
    </row>
    <row r="303" spans="1:4" ht="29.25" customHeight="1">
      <c r="A303" s="11"/>
      <c r="B303" s="226"/>
      <c r="C303" s="226">
        <v>2</v>
      </c>
      <c r="D303" s="17"/>
    </row>
    <row r="304" spans="1:4" ht="29.25" customHeight="1">
      <c r="A304" s="11"/>
      <c r="B304" s="226"/>
      <c r="C304" s="226">
        <v>3</v>
      </c>
      <c r="D304" s="17"/>
    </row>
    <row r="305" spans="1:4" ht="29.25" customHeight="1">
      <c r="A305" s="11"/>
      <c r="B305" s="226"/>
      <c r="C305" s="226">
        <v>4</v>
      </c>
      <c r="D305" s="17"/>
    </row>
    <row r="306" spans="1:4" ht="29.25" customHeight="1" thickBot="1">
      <c r="A306" s="11"/>
      <c r="B306" s="226"/>
      <c r="C306" s="226">
        <v>5</v>
      </c>
      <c r="D306" s="18"/>
    </row>
    <row r="307" spans="1:4" ht="29.25" customHeight="1">
      <c r="A307" s="14"/>
      <c r="B307" s="225"/>
      <c r="C307" s="225">
        <v>1</v>
      </c>
      <c r="D307" s="19"/>
    </row>
    <row r="308" spans="1:4" ht="29.25" customHeight="1">
      <c r="A308" s="11"/>
      <c r="B308" s="226"/>
      <c r="C308" s="226">
        <v>2</v>
      </c>
      <c r="D308" s="17"/>
    </row>
    <row r="309" spans="1:4" ht="29.25" customHeight="1">
      <c r="A309" s="11"/>
      <c r="B309" s="226"/>
      <c r="C309" s="226">
        <v>3</v>
      </c>
      <c r="D309" s="17"/>
    </row>
    <row r="310" spans="1:4" ht="29.25" customHeight="1">
      <c r="A310" s="11"/>
      <c r="B310" s="226"/>
      <c r="C310" s="226">
        <v>4</v>
      </c>
      <c r="D310" s="17"/>
    </row>
    <row r="311" spans="1:4" ht="29.25" customHeight="1" thickBot="1">
      <c r="A311" s="15"/>
      <c r="B311" s="227"/>
      <c r="C311" s="227">
        <v>5</v>
      </c>
      <c r="D311" s="20"/>
    </row>
    <row r="312" spans="1:4" ht="29.25" customHeight="1">
      <c r="A312" s="11"/>
      <c r="B312" s="226"/>
      <c r="C312" s="226">
        <v>1</v>
      </c>
      <c r="D312" s="21"/>
    </row>
    <row r="313" spans="1:4" ht="29.25" customHeight="1">
      <c r="A313" s="11"/>
      <c r="B313" s="226"/>
      <c r="C313" s="226">
        <v>2</v>
      </c>
      <c r="D313" s="17"/>
    </row>
    <row r="314" spans="1:4" ht="29.25" customHeight="1">
      <c r="A314" s="11"/>
      <c r="B314" s="226"/>
      <c r="C314" s="226">
        <v>3</v>
      </c>
      <c r="D314" s="17"/>
    </row>
    <row r="315" spans="1:4" ht="29.25" customHeight="1">
      <c r="A315" s="11"/>
      <c r="B315" s="226"/>
      <c r="C315" s="226">
        <v>4</v>
      </c>
      <c r="D315" s="17"/>
    </row>
    <row r="316" spans="1:4" ht="29.25" customHeight="1" thickBot="1">
      <c r="A316" s="11"/>
      <c r="B316" s="226"/>
      <c r="C316" s="226">
        <v>5</v>
      </c>
      <c r="D316" s="18"/>
    </row>
    <row r="317" spans="1:4" ht="29.25" customHeight="1">
      <c r="A317" s="14"/>
      <c r="B317" s="225"/>
      <c r="C317" s="225">
        <v>1</v>
      </c>
      <c r="D317" s="19"/>
    </row>
    <row r="318" spans="1:4" ht="29.25" customHeight="1">
      <c r="A318" s="11"/>
      <c r="B318" s="226"/>
      <c r="C318" s="226">
        <v>2</v>
      </c>
      <c r="D318" s="17"/>
    </row>
    <row r="319" spans="1:4" ht="29.25" customHeight="1">
      <c r="A319" s="11"/>
      <c r="B319" s="226"/>
      <c r="C319" s="226">
        <v>3</v>
      </c>
      <c r="D319" s="17"/>
    </row>
    <row r="320" spans="1:4" ht="29.25" customHeight="1">
      <c r="A320" s="11"/>
      <c r="B320" s="226"/>
      <c r="C320" s="226">
        <v>4</v>
      </c>
      <c r="D320" s="17"/>
    </row>
    <row r="321" spans="1:4" ht="29.25" customHeight="1" thickBot="1">
      <c r="A321" s="15"/>
      <c r="B321" s="227"/>
      <c r="C321" s="227">
        <v>5</v>
      </c>
      <c r="D321" s="20"/>
    </row>
    <row r="322" spans="1:4" ht="29.25" customHeight="1">
      <c r="A322" s="11"/>
      <c r="B322" s="226"/>
      <c r="C322" s="226">
        <v>1</v>
      </c>
      <c r="D322" s="21"/>
    </row>
    <row r="323" spans="1:4" ht="29.25" customHeight="1">
      <c r="A323" s="11"/>
      <c r="B323" s="226"/>
      <c r="C323" s="226">
        <v>2</v>
      </c>
      <c r="D323" s="17"/>
    </row>
    <row r="324" spans="1:4" ht="29.25" customHeight="1">
      <c r="A324" s="11"/>
      <c r="B324" s="226"/>
      <c r="C324" s="226">
        <v>3</v>
      </c>
      <c r="D324" s="17"/>
    </row>
    <row r="325" spans="1:4" ht="29.25" customHeight="1">
      <c r="A325" s="11"/>
      <c r="B325" s="226"/>
      <c r="C325" s="226">
        <v>4</v>
      </c>
      <c r="D325" s="17"/>
    </row>
    <row r="326" spans="1:4" ht="29.25" customHeight="1" thickBot="1">
      <c r="A326" s="11"/>
      <c r="B326" s="226"/>
      <c r="C326" s="226">
        <v>5</v>
      </c>
      <c r="D326" s="18"/>
    </row>
    <row r="327" spans="1:4" ht="29.25" customHeight="1">
      <c r="A327" s="14"/>
      <c r="B327" s="225"/>
      <c r="C327" s="225">
        <v>1</v>
      </c>
      <c r="D327" s="19"/>
    </row>
    <row r="328" spans="1:4" ht="29.25" customHeight="1">
      <c r="A328" s="11"/>
      <c r="B328" s="226"/>
      <c r="C328" s="226">
        <v>2</v>
      </c>
      <c r="D328" s="17"/>
    </row>
    <row r="329" spans="1:4" ht="29.25" customHeight="1">
      <c r="A329" s="11"/>
      <c r="B329" s="226"/>
      <c r="C329" s="226">
        <v>3</v>
      </c>
      <c r="D329" s="17"/>
    </row>
    <row r="330" spans="1:4" ht="29.25" customHeight="1">
      <c r="A330" s="11"/>
      <c r="B330" s="226"/>
      <c r="C330" s="226">
        <v>4</v>
      </c>
      <c r="D330" s="17"/>
    </row>
    <row r="331" spans="1:4" ht="29.25" customHeight="1" thickBot="1">
      <c r="A331" s="15"/>
      <c r="B331" s="227"/>
      <c r="C331" s="227">
        <v>5</v>
      </c>
      <c r="D331" s="20"/>
    </row>
    <row r="332" spans="1:4" ht="29.25" customHeight="1">
      <c r="A332" s="14"/>
      <c r="B332" s="225"/>
      <c r="C332" s="225">
        <v>1</v>
      </c>
      <c r="D332" s="19"/>
    </row>
    <row r="333" spans="1:4" ht="29.25" customHeight="1">
      <c r="A333" s="11"/>
      <c r="B333" s="226"/>
      <c r="C333" s="226">
        <v>2</v>
      </c>
      <c r="D333" s="17"/>
    </row>
    <row r="334" spans="1:4" ht="29.25" customHeight="1">
      <c r="A334" s="11"/>
      <c r="B334" s="226"/>
      <c r="C334" s="226">
        <v>3</v>
      </c>
      <c r="D334" s="17"/>
    </row>
    <row r="335" spans="1:4" ht="29.25" customHeight="1">
      <c r="A335" s="11"/>
      <c r="B335" s="226"/>
      <c r="C335" s="226">
        <v>4</v>
      </c>
      <c r="D335" s="17"/>
    </row>
    <row r="336" spans="1:4" ht="29.25" customHeight="1" thickBot="1">
      <c r="A336" s="15"/>
      <c r="B336" s="227"/>
      <c r="C336" s="227">
        <v>5</v>
      </c>
      <c r="D336" s="20"/>
    </row>
    <row r="337" spans="1:4" ht="29.25" customHeight="1">
      <c r="A337" s="11"/>
      <c r="B337" s="226"/>
      <c r="C337" s="226">
        <v>1</v>
      </c>
      <c r="D337" s="21"/>
    </row>
    <row r="338" spans="1:4" ht="29.25" customHeight="1">
      <c r="A338" s="11"/>
      <c r="B338" s="226"/>
      <c r="C338" s="226">
        <v>2</v>
      </c>
      <c r="D338" s="17"/>
    </row>
    <row r="339" spans="1:4" ht="29.25" customHeight="1">
      <c r="A339" s="11"/>
      <c r="B339" s="226"/>
      <c r="C339" s="226">
        <v>3</v>
      </c>
      <c r="D339" s="17"/>
    </row>
    <row r="340" spans="1:4" ht="29.25" customHeight="1">
      <c r="A340" s="11"/>
      <c r="B340" s="226"/>
      <c r="C340" s="226">
        <v>4</v>
      </c>
      <c r="D340" s="17"/>
    </row>
    <row r="341" spans="1:4" ht="29.25" customHeight="1" thickBot="1">
      <c r="A341" s="11"/>
      <c r="B341" s="226"/>
      <c r="C341" s="226">
        <v>5</v>
      </c>
      <c r="D341" s="18"/>
    </row>
    <row r="342" spans="1:4" ht="29.25" customHeight="1">
      <c r="A342" s="14"/>
      <c r="B342" s="225"/>
      <c r="C342" s="225">
        <v>1</v>
      </c>
      <c r="D342" s="19"/>
    </row>
    <row r="343" spans="1:4" ht="29.25" customHeight="1">
      <c r="A343" s="11"/>
      <c r="B343" s="226"/>
      <c r="C343" s="226">
        <v>2</v>
      </c>
      <c r="D343" s="17"/>
    </row>
    <row r="344" spans="1:4" ht="29.25" customHeight="1">
      <c r="A344" s="11"/>
      <c r="B344" s="226"/>
      <c r="C344" s="226">
        <v>3</v>
      </c>
      <c r="D344" s="17"/>
    </row>
    <row r="345" spans="1:4" ht="29.25" customHeight="1">
      <c r="A345" s="11"/>
      <c r="B345" s="226"/>
      <c r="C345" s="226">
        <v>4</v>
      </c>
      <c r="D345" s="17"/>
    </row>
    <row r="346" spans="1:4" ht="29.25" customHeight="1" thickBot="1">
      <c r="A346" s="15"/>
      <c r="B346" s="227"/>
      <c r="C346" s="227">
        <v>5</v>
      </c>
      <c r="D346" s="20"/>
    </row>
    <row r="347" spans="1:4" ht="29.25" customHeight="1">
      <c r="A347" s="14"/>
      <c r="B347" s="225"/>
      <c r="C347" s="225">
        <v>1</v>
      </c>
      <c r="D347" s="19"/>
    </row>
    <row r="348" spans="1:4" ht="29.25" customHeight="1">
      <c r="A348" s="11"/>
      <c r="B348" s="226"/>
      <c r="C348" s="226">
        <v>2</v>
      </c>
      <c r="D348" s="17"/>
    </row>
    <row r="349" spans="1:4" ht="29.25" customHeight="1">
      <c r="A349" s="11"/>
      <c r="B349" s="226"/>
      <c r="C349" s="226">
        <v>3</v>
      </c>
      <c r="D349" s="17"/>
    </row>
    <row r="350" spans="1:4" ht="29.25" customHeight="1">
      <c r="A350" s="11"/>
      <c r="B350" s="226"/>
      <c r="C350" s="226">
        <v>4</v>
      </c>
      <c r="D350" s="17"/>
    </row>
    <row r="351" spans="1:4" ht="29.25" customHeight="1" thickBot="1">
      <c r="A351" s="15"/>
      <c r="B351" s="227"/>
      <c r="C351" s="227">
        <v>5</v>
      </c>
      <c r="D351" s="20"/>
    </row>
    <row r="352" spans="1:4" ht="29.25" customHeight="1">
      <c r="A352" s="14"/>
      <c r="B352" s="225"/>
      <c r="C352" s="225">
        <v>1</v>
      </c>
      <c r="D352" s="19"/>
    </row>
    <row r="353" spans="1:4" ht="29.25" customHeight="1">
      <c r="A353" s="11"/>
      <c r="B353" s="226"/>
      <c r="C353" s="226">
        <v>2</v>
      </c>
      <c r="D353" s="17"/>
    </row>
    <row r="354" spans="1:4" ht="29.25" customHeight="1">
      <c r="A354" s="11"/>
      <c r="B354" s="226"/>
      <c r="C354" s="226">
        <v>3</v>
      </c>
      <c r="D354" s="17"/>
    </row>
    <row r="355" spans="1:4" ht="29.25" customHeight="1">
      <c r="A355" s="11"/>
      <c r="B355" s="226"/>
      <c r="C355" s="226">
        <v>4</v>
      </c>
      <c r="D355" s="17"/>
    </row>
    <row r="356" spans="1:4" ht="29.25" customHeight="1" thickBot="1">
      <c r="A356" s="15"/>
      <c r="B356" s="227"/>
      <c r="C356" s="227">
        <v>5</v>
      </c>
      <c r="D356" s="20"/>
    </row>
    <row r="357" spans="1:4" ht="29.25" customHeight="1">
      <c r="A357" s="14"/>
      <c r="B357" s="225"/>
      <c r="C357" s="225">
        <v>1</v>
      </c>
      <c r="D357" s="19"/>
    </row>
    <row r="358" spans="1:4" ht="29.25" customHeight="1">
      <c r="A358" s="11"/>
      <c r="B358" s="226"/>
      <c r="C358" s="226">
        <v>2</v>
      </c>
      <c r="D358" s="17"/>
    </row>
    <row r="359" spans="1:4" ht="29.25" customHeight="1">
      <c r="A359" s="11"/>
      <c r="B359" s="226"/>
      <c r="C359" s="226">
        <v>3</v>
      </c>
      <c r="D359" s="17"/>
    </row>
    <row r="360" spans="1:4" ht="29.25" customHeight="1">
      <c r="A360" s="11"/>
      <c r="B360" s="226"/>
      <c r="C360" s="226">
        <v>4</v>
      </c>
      <c r="D360" s="17"/>
    </row>
    <row r="361" spans="1:4" ht="29.25" customHeight="1" thickBot="1">
      <c r="A361" s="15"/>
      <c r="B361" s="227"/>
      <c r="C361" s="227">
        <v>5</v>
      </c>
      <c r="D361" s="20"/>
    </row>
    <row r="362" spans="1:4" ht="29.25" customHeight="1">
      <c r="A362" s="14"/>
      <c r="B362" s="225"/>
      <c r="C362" s="225">
        <v>1</v>
      </c>
      <c r="D362" s="16"/>
    </row>
    <row r="363" spans="1:4" ht="29.25" customHeight="1">
      <c r="A363" s="11"/>
      <c r="B363" s="226"/>
      <c r="C363" s="226">
        <v>2</v>
      </c>
      <c r="D363" s="17"/>
    </row>
    <row r="364" spans="1:4" ht="29.25" customHeight="1">
      <c r="A364" s="11"/>
      <c r="B364" s="226"/>
      <c r="C364" s="226">
        <v>3</v>
      </c>
      <c r="D364" s="17"/>
    </row>
    <row r="365" spans="1:4" ht="29.25" customHeight="1">
      <c r="A365" s="11"/>
      <c r="B365" s="226"/>
      <c r="C365" s="226">
        <v>4</v>
      </c>
      <c r="D365" s="17"/>
    </row>
    <row r="366" spans="1:4" ht="29.25" customHeight="1" thickBot="1">
      <c r="A366" s="11"/>
      <c r="B366" s="226"/>
      <c r="C366" s="226">
        <v>5</v>
      </c>
      <c r="D366" s="18"/>
    </row>
    <row r="367" spans="1:4" ht="29.25" customHeight="1">
      <c r="A367" s="14"/>
      <c r="B367" s="225"/>
      <c r="C367" s="225">
        <v>1</v>
      </c>
      <c r="D367" s="19"/>
    </row>
    <row r="368" spans="1:4" ht="29.25" customHeight="1">
      <c r="A368" s="11"/>
      <c r="B368" s="226"/>
      <c r="C368" s="226">
        <v>2</v>
      </c>
      <c r="D368" s="17"/>
    </row>
    <row r="369" spans="1:4" ht="29.25" customHeight="1">
      <c r="A369" s="11"/>
      <c r="B369" s="226"/>
      <c r="C369" s="226">
        <v>3</v>
      </c>
      <c r="D369" s="17"/>
    </row>
    <row r="370" spans="1:4" ht="29.25" customHeight="1">
      <c r="A370" s="11"/>
      <c r="B370" s="226"/>
      <c r="C370" s="226">
        <v>4</v>
      </c>
      <c r="D370" s="17"/>
    </row>
    <row r="371" spans="1:4" ht="29.25" customHeight="1" thickBot="1">
      <c r="A371" s="15"/>
      <c r="B371" s="227"/>
      <c r="C371" s="227">
        <v>5</v>
      </c>
      <c r="D371" s="20"/>
    </row>
    <row r="372" spans="1:4" ht="29.25" customHeight="1">
      <c r="A372" s="11"/>
      <c r="B372" s="226"/>
      <c r="C372" s="226">
        <v>1</v>
      </c>
      <c r="D372" s="21"/>
    </row>
    <row r="373" spans="1:4" ht="29.25" customHeight="1">
      <c r="A373" s="11"/>
      <c r="B373" s="226"/>
      <c r="C373" s="226">
        <v>2</v>
      </c>
      <c r="D373" s="17"/>
    </row>
    <row r="374" spans="1:4" ht="29.25" customHeight="1">
      <c r="A374" s="11"/>
      <c r="B374" s="226"/>
      <c r="C374" s="226">
        <v>3</v>
      </c>
      <c r="D374" s="17"/>
    </row>
    <row r="375" spans="1:4" ht="29.25" customHeight="1">
      <c r="A375" s="11"/>
      <c r="B375" s="226"/>
      <c r="C375" s="226">
        <v>4</v>
      </c>
      <c r="D375" s="17"/>
    </row>
    <row r="376" spans="1:4" ht="29.25" customHeight="1" thickBot="1">
      <c r="A376" s="11"/>
      <c r="B376" s="226"/>
      <c r="C376" s="226">
        <v>5</v>
      </c>
      <c r="D376" s="18"/>
    </row>
    <row r="377" spans="1:4" ht="29.25" customHeight="1">
      <c r="A377" s="14"/>
      <c r="B377" s="225"/>
      <c r="C377" s="225">
        <v>1</v>
      </c>
      <c r="D377" s="19"/>
    </row>
    <row r="378" spans="1:4" ht="29.25" customHeight="1">
      <c r="A378" s="11"/>
      <c r="B378" s="226"/>
      <c r="C378" s="226">
        <v>2</v>
      </c>
      <c r="D378" s="17"/>
    </row>
    <row r="379" spans="1:4" ht="29.25" customHeight="1">
      <c r="A379" s="11"/>
      <c r="B379" s="226"/>
      <c r="C379" s="226">
        <v>3</v>
      </c>
      <c r="D379" s="17"/>
    </row>
    <row r="380" spans="1:4" ht="29.25" customHeight="1">
      <c r="A380" s="11"/>
      <c r="B380" s="226"/>
      <c r="C380" s="226">
        <v>4</v>
      </c>
      <c r="D380" s="17"/>
    </row>
    <row r="381" spans="1:4" ht="29.25" customHeight="1" thickBot="1">
      <c r="A381" s="15"/>
      <c r="B381" s="227"/>
      <c r="C381" s="227">
        <v>5</v>
      </c>
      <c r="D381" s="20"/>
    </row>
    <row r="382" spans="1:4" ht="29.25" customHeight="1">
      <c r="A382" s="11"/>
      <c r="B382" s="226"/>
      <c r="C382" s="226">
        <v>1</v>
      </c>
      <c r="D382" s="21"/>
    </row>
    <row r="383" spans="1:4" ht="29.25" customHeight="1">
      <c r="A383" s="11"/>
      <c r="B383" s="226"/>
      <c r="C383" s="226">
        <v>2</v>
      </c>
      <c r="D383" s="17"/>
    </row>
    <row r="384" spans="1:4" ht="29.25" customHeight="1">
      <c r="A384" s="11"/>
      <c r="B384" s="226"/>
      <c r="C384" s="226">
        <v>3</v>
      </c>
      <c r="D384" s="17"/>
    </row>
    <row r="385" spans="1:4" ht="29.25" customHeight="1">
      <c r="A385" s="11"/>
      <c r="B385" s="226"/>
      <c r="C385" s="226">
        <v>4</v>
      </c>
      <c r="D385" s="17"/>
    </row>
    <row r="386" spans="1:4" ht="29.25" customHeight="1" thickBot="1">
      <c r="A386" s="11"/>
      <c r="B386" s="226"/>
      <c r="C386" s="226">
        <v>5</v>
      </c>
      <c r="D386" s="18"/>
    </row>
    <row r="387" spans="1:4" ht="29.25" customHeight="1">
      <c r="A387" s="14"/>
      <c r="B387" s="225"/>
      <c r="C387" s="225">
        <v>1</v>
      </c>
      <c r="D387" s="19"/>
    </row>
    <row r="388" spans="1:4" ht="29.25" customHeight="1">
      <c r="A388" s="11"/>
      <c r="B388" s="226"/>
      <c r="C388" s="226">
        <v>2</v>
      </c>
      <c r="D388" s="17"/>
    </row>
    <row r="389" spans="1:4" ht="29.25" customHeight="1">
      <c r="A389" s="11"/>
      <c r="B389" s="226"/>
      <c r="C389" s="226">
        <v>3</v>
      </c>
      <c r="D389" s="17"/>
    </row>
    <row r="390" spans="1:4" ht="29.25" customHeight="1">
      <c r="A390" s="11"/>
      <c r="B390" s="226"/>
      <c r="C390" s="226">
        <v>4</v>
      </c>
      <c r="D390" s="17"/>
    </row>
    <row r="391" spans="1:4" ht="29.25" customHeight="1" thickBot="1">
      <c r="A391" s="15"/>
      <c r="B391" s="227"/>
      <c r="C391" s="227">
        <v>5</v>
      </c>
      <c r="D391" s="20"/>
    </row>
    <row r="392" spans="1:4" ht="29.25" customHeight="1">
      <c r="A392" s="14"/>
      <c r="B392" s="225"/>
      <c r="C392" s="225">
        <v>1</v>
      </c>
      <c r="D392" s="19"/>
    </row>
    <row r="393" spans="1:4" ht="29.25" customHeight="1">
      <c r="A393" s="11"/>
      <c r="B393" s="226"/>
      <c r="C393" s="226">
        <v>2</v>
      </c>
      <c r="D393" s="17"/>
    </row>
    <row r="394" spans="1:4" ht="29.25" customHeight="1">
      <c r="A394" s="11"/>
      <c r="B394" s="226"/>
      <c r="C394" s="226">
        <v>3</v>
      </c>
      <c r="D394" s="17"/>
    </row>
    <row r="395" spans="1:4" ht="29.25" customHeight="1">
      <c r="A395" s="11"/>
      <c r="B395" s="226"/>
      <c r="C395" s="226">
        <v>4</v>
      </c>
      <c r="D395" s="17"/>
    </row>
    <row r="396" spans="1:4" ht="29.25" customHeight="1" thickBot="1">
      <c r="A396" s="15"/>
      <c r="B396" s="227"/>
      <c r="C396" s="227">
        <v>5</v>
      </c>
      <c r="D396" s="20"/>
    </row>
    <row r="397" spans="1:4" ht="29.25" customHeight="1">
      <c r="A397" s="11"/>
      <c r="B397" s="226"/>
      <c r="C397" s="226">
        <v>1</v>
      </c>
      <c r="D397" s="21"/>
    </row>
    <row r="398" spans="1:4" ht="29.25" customHeight="1">
      <c r="A398" s="11"/>
      <c r="B398" s="226"/>
      <c r="C398" s="226">
        <v>2</v>
      </c>
      <c r="D398" s="17"/>
    </row>
    <row r="399" spans="1:4" ht="29.25" customHeight="1">
      <c r="A399" s="11"/>
      <c r="B399" s="226"/>
      <c r="C399" s="226">
        <v>3</v>
      </c>
      <c r="D399" s="17"/>
    </row>
    <row r="400" spans="1:4" ht="29.25" customHeight="1">
      <c r="A400" s="11"/>
      <c r="B400" s="226"/>
      <c r="C400" s="226">
        <v>4</v>
      </c>
      <c r="D400" s="17"/>
    </row>
    <row r="401" spans="1:4" ht="29.25" customHeight="1" thickBot="1">
      <c r="A401" s="11"/>
      <c r="B401" s="226"/>
      <c r="C401" s="226">
        <v>5</v>
      </c>
      <c r="D401" s="18"/>
    </row>
    <row r="402" spans="1:4" ht="29.25" customHeight="1">
      <c r="A402" s="14"/>
      <c r="B402" s="225"/>
      <c r="C402" s="225">
        <v>1</v>
      </c>
      <c r="D402" s="19"/>
    </row>
    <row r="403" spans="1:4" ht="29.25" customHeight="1">
      <c r="A403" s="11"/>
      <c r="B403" s="226"/>
      <c r="C403" s="226">
        <v>2</v>
      </c>
      <c r="D403" s="17"/>
    </row>
    <row r="404" spans="1:4" ht="29.25" customHeight="1">
      <c r="A404" s="11"/>
      <c r="B404" s="226"/>
      <c r="C404" s="226">
        <v>3</v>
      </c>
      <c r="D404" s="17"/>
    </row>
    <row r="405" spans="1:4" ht="29.25" customHeight="1">
      <c r="A405" s="11"/>
      <c r="B405" s="226"/>
      <c r="C405" s="226">
        <v>4</v>
      </c>
      <c r="D405" s="17"/>
    </row>
    <row r="406" spans="1:4" ht="29.25" customHeight="1" thickBot="1">
      <c r="A406" s="15"/>
      <c r="B406" s="227"/>
      <c r="C406" s="227">
        <v>5</v>
      </c>
      <c r="D406" s="20"/>
    </row>
    <row r="407" spans="1:4" ht="29.25" customHeight="1">
      <c r="A407" s="14"/>
      <c r="B407" s="225"/>
      <c r="C407" s="225">
        <v>1</v>
      </c>
      <c r="D407" s="19"/>
    </row>
    <row r="408" spans="1:4" ht="29.25" customHeight="1">
      <c r="A408" s="11"/>
      <c r="B408" s="226"/>
      <c r="C408" s="226">
        <v>2</v>
      </c>
      <c r="D408" s="17"/>
    </row>
    <row r="409" spans="1:4" ht="29.25" customHeight="1">
      <c r="A409" s="11"/>
      <c r="B409" s="226"/>
      <c r="C409" s="226">
        <v>3</v>
      </c>
      <c r="D409" s="17"/>
    </row>
    <row r="410" spans="1:4" ht="29.25" customHeight="1">
      <c r="A410" s="11"/>
      <c r="B410" s="226"/>
      <c r="C410" s="226">
        <v>4</v>
      </c>
      <c r="D410" s="17"/>
    </row>
    <row r="411" spans="1:4" ht="29.25" customHeight="1" thickBot="1">
      <c r="A411" s="15"/>
      <c r="B411" s="227"/>
      <c r="C411" s="227">
        <v>5</v>
      </c>
      <c r="D411" s="20"/>
    </row>
    <row r="412" spans="1:4" ht="29.25" customHeight="1">
      <c r="A412" s="14"/>
      <c r="B412" s="225"/>
      <c r="C412" s="225">
        <v>1</v>
      </c>
      <c r="D412" s="19"/>
    </row>
    <row r="413" spans="1:4" ht="29.25" customHeight="1">
      <c r="A413" s="11"/>
      <c r="B413" s="226"/>
      <c r="C413" s="226">
        <v>2</v>
      </c>
      <c r="D413" s="17"/>
    </row>
    <row r="414" spans="1:4" ht="29.25" customHeight="1">
      <c r="A414" s="11"/>
      <c r="B414" s="226"/>
      <c r="C414" s="226">
        <v>3</v>
      </c>
      <c r="D414" s="17"/>
    </row>
    <row r="415" spans="1:4" ht="29.25" customHeight="1">
      <c r="A415" s="11"/>
      <c r="B415" s="226"/>
      <c r="C415" s="226">
        <v>4</v>
      </c>
      <c r="D415" s="17"/>
    </row>
    <row r="416" spans="1:4" ht="29.25" customHeight="1" thickBot="1">
      <c r="A416" s="15"/>
      <c r="B416" s="227"/>
      <c r="C416" s="227">
        <v>5</v>
      </c>
      <c r="D416" s="20"/>
    </row>
    <row r="417" spans="1:4" ht="29.25" customHeight="1">
      <c r="A417" s="14"/>
      <c r="B417" s="225"/>
      <c r="C417" s="225">
        <v>1</v>
      </c>
      <c r="D417" s="19"/>
    </row>
    <row r="418" spans="1:4" ht="29.25" customHeight="1">
      <c r="A418" s="11"/>
      <c r="B418" s="226"/>
      <c r="C418" s="226">
        <v>2</v>
      </c>
      <c r="D418" s="17"/>
    </row>
    <row r="419" spans="1:4" ht="29.25" customHeight="1">
      <c r="A419" s="11"/>
      <c r="B419" s="226"/>
      <c r="C419" s="226">
        <v>3</v>
      </c>
      <c r="D419" s="17"/>
    </row>
    <row r="420" spans="1:4" ht="29.25" customHeight="1">
      <c r="A420" s="11"/>
      <c r="B420" s="226"/>
      <c r="C420" s="226">
        <v>4</v>
      </c>
      <c r="D420" s="17"/>
    </row>
    <row r="421" spans="1:4" ht="29.25" customHeight="1" thickBot="1">
      <c r="A421" s="15"/>
      <c r="B421" s="227"/>
      <c r="C421" s="227">
        <v>5</v>
      </c>
      <c r="D421" s="20"/>
    </row>
    <row r="422" spans="1:4" ht="29.25" customHeight="1">
      <c r="A422" s="14"/>
      <c r="B422" s="225"/>
      <c r="C422" s="225">
        <v>1</v>
      </c>
      <c r="D422" s="16"/>
    </row>
    <row r="423" spans="1:4" ht="29.25" customHeight="1">
      <c r="A423" s="11"/>
      <c r="B423" s="226"/>
      <c r="C423" s="226">
        <v>2</v>
      </c>
      <c r="D423" s="17"/>
    </row>
    <row r="424" spans="1:4" ht="29.25" customHeight="1">
      <c r="A424" s="11"/>
      <c r="B424" s="226"/>
      <c r="C424" s="226">
        <v>3</v>
      </c>
      <c r="D424" s="17"/>
    </row>
    <row r="425" spans="1:4" ht="29.25" customHeight="1">
      <c r="A425" s="11"/>
      <c r="B425" s="226"/>
      <c r="C425" s="226">
        <v>4</v>
      </c>
      <c r="D425" s="17"/>
    </row>
    <row r="426" spans="1:4" ht="29.25" customHeight="1" thickBot="1">
      <c r="A426" s="11"/>
      <c r="B426" s="226"/>
      <c r="C426" s="226">
        <v>5</v>
      </c>
      <c r="D426" s="18"/>
    </row>
    <row r="427" spans="1:4" ht="29.25" customHeight="1">
      <c r="A427" s="14"/>
      <c r="B427" s="225"/>
      <c r="C427" s="225">
        <v>1</v>
      </c>
      <c r="D427" s="19"/>
    </row>
    <row r="428" spans="1:4" ht="29.25" customHeight="1">
      <c r="A428" s="11"/>
      <c r="B428" s="226"/>
      <c r="C428" s="226">
        <v>2</v>
      </c>
      <c r="D428" s="17"/>
    </row>
    <row r="429" spans="1:4" ht="29.25" customHeight="1">
      <c r="A429" s="11"/>
      <c r="B429" s="226"/>
      <c r="C429" s="226">
        <v>3</v>
      </c>
      <c r="D429" s="17"/>
    </row>
    <row r="430" spans="1:4" ht="29.25" customHeight="1">
      <c r="A430" s="11"/>
      <c r="B430" s="226"/>
      <c r="C430" s="226">
        <v>4</v>
      </c>
      <c r="D430" s="17"/>
    </row>
    <row r="431" spans="1:4" ht="29.25" customHeight="1" thickBot="1">
      <c r="A431" s="15"/>
      <c r="B431" s="227"/>
      <c r="C431" s="227">
        <v>5</v>
      </c>
      <c r="D431" s="20"/>
    </row>
    <row r="432" spans="1:4" ht="29.25" customHeight="1">
      <c r="A432" s="11"/>
      <c r="B432" s="226"/>
      <c r="C432" s="226">
        <v>1</v>
      </c>
      <c r="D432" s="21"/>
    </row>
    <row r="433" spans="1:4" ht="29.25" customHeight="1">
      <c r="A433" s="11"/>
      <c r="B433" s="226"/>
      <c r="C433" s="226">
        <v>2</v>
      </c>
      <c r="D433" s="17"/>
    </row>
    <row r="434" spans="1:4" ht="29.25" customHeight="1">
      <c r="A434" s="11"/>
      <c r="B434" s="226"/>
      <c r="C434" s="226">
        <v>3</v>
      </c>
      <c r="D434" s="17"/>
    </row>
    <row r="435" spans="1:4" ht="29.25" customHeight="1">
      <c r="A435" s="11"/>
      <c r="B435" s="226"/>
      <c r="C435" s="226">
        <v>4</v>
      </c>
      <c r="D435" s="17"/>
    </row>
    <row r="436" spans="1:4" ht="29.25" customHeight="1" thickBot="1">
      <c r="A436" s="11"/>
      <c r="B436" s="226"/>
      <c r="C436" s="226">
        <v>5</v>
      </c>
      <c r="D436" s="18"/>
    </row>
    <row r="437" spans="1:4" ht="29.25" customHeight="1">
      <c r="A437" s="14"/>
      <c r="B437" s="225"/>
      <c r="C437" s="225">
        <v>1</v>
      </c>
      <c r="D437" s="19"/>
    </row>
    <row r="438" spans="1:4" ht="29.25" customHeight="1">
      <c r="A438" s="11"/>
      <c r="B438" s="226"/>
      <c r="C438" s="226">
        <v>2</v>
      </c>
      <c r="D438" s="17"/>
    </row>
    <row r="439" spans="1:4" ht="29.25" customHeight="1">
      <c r="A439" s="11"/>
      <c r="B439" s="226"/>
      <c r="C439" s="226">
        <v>3</v>
      </c>
      <c r="D439" s="17"/>
    </row>
    <row r="440" spans="1:4" ht="29.25" customHeight="1">
      <c r="A440" s="11"/>
      <c r="B440" s="226"/>
      <c r="C440" s="226">
        <v>4</v>
      </c>
      <c r="D440" s="17"/>
    </row>
    <row r="441" spans="1:4" ht="29.25" customHeight="1" thickBot="1">
      <c r="A441" s="15"/>
      <c r="B441" s="227"/>
      <c r="C441" s="227">
        <v>5</v>
      </c>
      <c r="D441" s="20"/>
    </row>
    <row r="442" spans="1:4" ht="29.25" customHeight="1">
      <c r="A442" s="11"/>
      <c r="B442" s="226"/>
      <c r="C442" s="226">
        <v>1</v>
      </c>
      <c r="D442" s="21"/>
    </row>
    <row r="443" spans="1:4" ht="29.25" customHeight="1">
      <c r="A443" s="11"/>
      <c r="B443" s="226"/>
      <c r="C443" s="226">
        <v>2</v>
      </c>
      <c r="D443" s="17"/>
    </row>
    <row r="444" spans="1:4" ht="29.25" customHeight="1">
      <c r="A444" s="11"/>
      <c r="B444" s="226"/>
      <c r="C444" s="226">
        <v>3</v>
      </c>
      <c r="D444" s="17"/>
    </row>
    <row r="445" spans="1:4" ht="29.25" customHeight="1">
      <c r="A445" s="11"/>
      <c r="B445" s="226"/>
      <c r="C445" s="226">
        <v>4</v>
      </c>
      <c r="D445" s="17"/>
    </row>
    <row r="446" spans="1:4" ht="29.25" customHeight="1" thickBot="1">
      <c r="A446" s="11"/>
      <c r="B446" s="226"/>
      <c r="C446" s="226">
        <v>5</v>
      </c>
      <c r="D446" s="18"/>
    </row>
    <row r="447" spans="1:4" ht="29.25" customHeight="1">
      <c r="A447" s="14"/>
      <c r="B447" s="225"/>
      <c r="C447" s="225">
        <v>1</v>
      </c>
      <c r="D447" s="19"/>
    </row>
    <row r="448" spans="1:4" ht="29.25" customHeight="1">
      <c r="A448" s="11"/>
      <c r="B448" s="226"/>
      <c r="C448" s="226">
        <v>2</v>
      </c>
      <c r="D448" s="17"/>
    </row>
    <row r="449" spans="1:4" ht="29.25" customHeight="1">
      <c r="A449" s="11"/>
      <c r="B449" s="226"/>
      <c r="C449" s="226">
        <v>3</v>
      </c>
      <c r="D449" s="17"/>
    </row>
    <row r="450" spans="1:4" ht="29.25" customHeight="1">
      <c r="A450" s="11"/>
      <c r="B450" s="226"/>
      <c r="C450" s="226">
        <v>4</v>
      </c>
      <c r="D450" s="17"/>
    </row>
    <row r="451" spans="1:4" ht="29.25" customHeight="1" thickBot="1">
      <c r="A451" s="15"/>
      <c r="B451" s="227"/>
      <c r="C451" s="227">
        <v>5</v>
      </c>
      <c r="D451" s="20"/>
    </row>
    <row r="452" spans="1:4" ht="29.25" customHeight="1">
      <c r="A452" s="14"/>
      <c r="B452" s="225"/>
      <c r="C452" s="225">
        <v>1</v>
      </c>
      <c r="D452" s="19"/>
    </row>
    <row r="453" spans="1:4" ht="29.25" customHeight="1">
      <c r="A453" s="11"/>
      <c r="B453" s="226"/>
      <c r="C453" s="226">
        <v>2</v>
      </c>
      <c r="D453" s="17"/>
    </row>
    <row r="454" spans="1:4" ht="29.25" customHeight="1">
      <c r="A454" s="11"/>
      <c r="B454" s="226"/>
      <c r="C454" s="226">
        <v>3</v>
      </c>
      <c r="D454" s="17"/>
    </row>
    <row r="455" spans="1:4" ht="29.25" customHeight="1">
      <c r="A455" s="11"/>
      <c r="B455" s="226"/>
      <c r="C455" s="226">
        <v>4</v>
      </c>
      <c r="D455" s="17"/>
    </row>
    <row r="456" spans="1:4" ht="29.25" customHeight="1" thickBot="1">
      <c r="A456" s="15"/>
      <c r="B456" s="227"/>
      <c r="C456" s="227">
        <v>5</v>
      </c>
      <c r="D456" s="20"/>
    </row>
    <row r="457" spans="1:4" ht="29.25" customHeight="1">
      <c r="A457" s="11"/>
      <c r="B457" s="226"/>
      <c r="C457" s="226">
        <v>1</v>
      </c>
      <c r="D457" s="21"/>
    </row>
    <row r="458" spans="1:4" ht="29.25" customHeight="1">
      <c r="A458" s="11"/>
      <c r="B458" s="226"/>
      <c r="C458" s="226">
        <v>2</v>
      </c>
      <c r="D458" s="17"/>
    </row>
    <row r="459" spans="1:4" ht="29.25" customHeight="1">
      <c r="A459" s="11"/>
      <c r="B459" s="226"/>
      <c r="C459" s="226">
        <v>3</v>
      </c>
      <c r="D459" s="17"/>
    </row>
    <row r="460" spans="1:4" ht="29.25" customHeight="1">
      <c r="A460" s="11"/>
      <c r="B460" s="226"/>
      <c r="C460" s="226">
        <v>4</v>
      </c>
      <c r="D460" s="17"/>
    </row>
    <row r="461" spans="1:4" ht="29.25" customHeight="1" thickBot="1">
      <c r="A461" s="11"/>
      <c r="B461" s="226"/>
      <c r="C461" s="226">
        <v>5</v>
      </c>
      <c r="D461" s="18"/>
    </row>
    <row r="462" spans="1:4" ht="29.25" customHeight="1">
      <c r="A462" s="14"/>
      <c r="B462" s="225"/>
      <c r="C462" s="225">
        <v>1</v>
      </c>
      <c r="D462" s="19"/>
    </row>
    <row r="463" spans="1:4" ht="29.25" customHeight="1">
      <c r="A463" s="11"/>
      <c r="B463" s="226"/>
      <c r="C463" s="226">
        <v>2</v>
      </c>
      <c r="D463" s="17"/>
    </row>
    <row r="464" spans="1:4" ht="29.25" customHeight="1">
      <c r="A464" s="11"/>
      <c r="B464" s="226"/>
      <c r="C464" s="226">
        <v>3</v>
      </c>
      <c r="D464" s="17"/>
    </row>
    <row r="465" spans="1:4" ht="29.25" customHeight="1">
      <c r="A465" s="11"/>
      <c r="B465" s="226"/>
      <c r="C465" s="226">
        <v>4</v>
      </c>
      <c r="D465" s="17"/>
    </row>
    <row r="466" spans="1:4" ht="29.25" customHeight="1" thickBot="1">
      <c r="A466" s="15"/>
      <c r="B466" s="227"/>
      <c r="C466" s="227">
        <v>5</v>
      </c>
      <c r="D466" s="20"/>
    </row>
    <row r="467" spans="1:4" ht="29.25" customHeight="1">
      <c r="A467" s="14"/>
      <c r="B467" s="225"/>
      <c r="C467" s="225">
        <v>1</v>
      </c>
      <c r="D467" s="19"/>
    </row>
    <row r="468" spans="1:4" ht="29.25" customHeight="1">
      <c r="A468" s="11"/>
      <c r="B468" s="226"/>
      <c r="C468" s="226">
        <v>2</v>
      </c>
      <c r="D468" s="17"/>
    </row>
    <row r="469" spans="1:4" ht="29.25" customHeight="1">
      <c r="A469" s="11"/>
      <c r="B469" s="226"/>
      <c r="C469" s="226">
        <v>3</v>
      </c>
      <c r="D469" s="17"/>
    </row>
    <row r="470" spans="1:4" ht="29.25" customHeight="1">
      <c r="A470" s="11"/>
      <c r="B470" s="226"/>
      <c r="C470" s="226">
        <v>4</v>
      </c>
      <c r="D470" s="17"/>
    </row>
    <row r="471" spans="1:4" ht="29.25" customHeight="1" thickBot="1">
      <c r="A471" s="15"/>
      <c r="B471" s="227"/>
      <c r="C471" s="227">
        <v>5</v>
      </c>
      <c r="D471" s="20"/>
    </row>
    <row r="472" spans="1:4" ht="29.25" customHeight="1">
      <c r="A472" s="14"/>
      <c r="B472" s="225"/>
      <c r="C472" s="225">
        <v>1</v>
      </c>
      <c r="D472" s="19"/>
    </row>
    <row r="473" spans="1:4" ht="29.25" customHeight="1">
      <c r="A473" s="11"/>
      <c r="B473" s="226"/>
      <c r="C473" s="226">
        <v>2</v>
      </c>
      <c r="D473" s="17"/>
    </row>
    <row r="474" spans="1:4" ht="29.25" customHeight="1">
      <c r="A474" s="11"/>
      <c r="B474" s="226"/>
      <c r="C474" s="226">
        <v>3</v>
      </c>
      <c r="D474" s="17"/>
    </row>
    <row r="475" spans="1:4" ht="29.25" customHeight="1">
      <c r="A475" s="11"/>
      <c r="B475" s="226"/>
      <c r="C475" s="226">
        <v>4</v>
      </c>
      <c r="D475" s="17"/>
    </row>
    <row r="476" spans="1:4" ht="29.25" customHeight="1" thickBot="1">
      <c r="A476" s="15"/>
      <c r="B476" s="227"/>
      <c r="C476" s="227">
        <v>5</v>
      </c>
      <c r="D476" s="20"/>
    </row>
    <row r="477" spans="1:4" ht="29.25" customHeight="1">
      <c r="A477" s="14"/>
      <c r="B477" s="225"/>
      <c r="C477" s="225">
        <v>1</v>
      </c>
      <c r="D477" s="19"/>
    </row>
    <row r="478" spans="1:4" ht="29.25" customHeight="1">
      <c r="A478" s="11"/>
      <c r="B478" s="226"/>
      <c r="C478" s="226">
        <v>2</v>
      </c>
      <c r="D478" s="17"/>
    </row>
    <row r="479" spans="1:4" ht="29.25" customHeight="1">
      <c r="A479" s="11"/>
      <c r="B479" s="226"/>
      <c r="C479" s="226">
        <v>3</v>
      </c>
      <c r="D479" s="17"/>
    </row>
    <row r="480" spans="1:4" ht="29.25" customHeight="1">
      <c r="A480" s="11"/>
      <c r="B480" s="226"/>
      <c r="C480" s="226">
        <v>4</v>
      </c>
      <c r="D480" s="17"/>
    </row>
    <row r="481" spans="1:4" ht="29.25" customHeight="1" thickBot="1">
      <c r="A481" s="15"/>
      <c r="B481" s="227"/>
      <c r="C481" s="227">
        <v>5</v>
      </c>
      <c r="D481" s="20"/>
    </row>
    <row r="482" spans="1:4" ht="29.25" customHeight="1">
      <c r="A482" s="14"/>
      <c r="B482" s="225"/>
      <c r="C482" s="225">
        <v>1</v>
      </c>
      <c r="D482" s="16"/>
    </row>
    <row r="483" spans="1:4" ht="29.25" customHeight="1">
      <c r="A483" s="11"/>
      <c r="B483" s="226"/>
      <c r="C483" s="226">
        <v>2</v>
      </c>
      <c r="D483" s="17"/>
    </row>
    <row r="484" spans="1:4" ht="29.25" customHeight="1">
      <c r="A484" s="11"/>
      <c r="B484" s="226"/>
      <c r="C484" s="226">
        <v>3</v>
      </c>
      <c r="D484" s="17"/>
    </row>
    <row r="485" spans="1:4" ht="29.25" customHeight="1">
      <c r="A485" s="11"/>
      <c r="B485" s="226"/>
      <c r="C485" s="226">
        <v>4</v>
      </c>
      <c r="D485" s="17"/>
    </row>
    <row r="486" spans="1:4" ht="29.25" customHeight="1" thickBot="1">
      <c r="A486" s="11"/>
      <c r="B486" s="226"/>
      <c r="C486" s="226">
        <v>5</v>
      </c>
      <c r="D486" s="18"/>
    </row>
    <row r="487" spans="1:4" ht="29.25" customHeight="1">
      <c r="A487" s="14"/>
      <c r="B487" s="225"/>
      <c r="C487" s="225">
        <v>1</v>
      </c>
      <c r="D487" s="19"/>
    </row>
    <row r="488" spans="1:4" ht="29.25" customHeight="1">
      <c r="A488" s="11"/>
      <c r="B488" s="226"/>
      <c r="C488" s="226">
        <v>2</v>
      </c>
      <c r="D488" s="17"/>
    </row>
    <row r="489" spans="1:4" ht="29.25" customHeight="1">
      <c r="A489" s="11"/>
      <c r="B489" s="226"/>
      <c r="C489" s="226">
        <v>3</v>
      </c>
      <c r="D489" s="17"/>
    </row>
    <row r="490" spans="1:4" ht="29.25" customHeight="1">
      <c r="A490" s="11"/>
      <c r="B490" s="226"/>
      <c r="C490" s="226">
        <v>4</v>
      </c>
      <c r="D490" s="17"/>
    </row>
    <row r="491" spans="1:4" ht="29.25" customHeight="1" thickBot="1">
      <c r="A491" s="15"/>
      <c r="B491" s="227"/>
      <c r="C491" s="227">
        <v>5</v>
      </c>
      <c r="D491" s="20"/>
    </row>
    <row r="492" spans="1:4" ht="29.25" customHeight="1">
      <c r="A492" s="11"/>
      <c r="B492" s="226"/>
      <c r="C492" s="226">
        <v>1</v>
      </c>
      <c r="D492" s="21"/>
    </row>
    <row r="493" spans="1:4" ht="29.25" customHeight="1">
      <c r="A493" s="11"/>
      <c r="B493" s="226"/>
      <c r="C493" s="226">
        <v>2</v>
      </c>
      <c r="D493" s="17"/>
    </row>
    <row r="494" spans="1:4" ht="29.25" customHeight="1">
      <c r="A494" s="11"/>
      <c r="B494" s="226"/>
      <c r="C494" s="226">
        <v>3</v>
      </c>
      <c r="D494" s="17"/>
    </row>
    <row r="495" spans="1:4" ht="29.25" customHeight="1">
      <c r="A495" s="11"/>
      <c r="B495" s="226"/>
      <c r="C495" s="226">
        <v>4</v>
      </c>
      <c r="D495" s="17"/>
    </row>
    <row r="496" spans="1:4" ht="29.25" customHeight="1" thickBot="1">
      <c r="A496" s="11"/>
      <c r="B496" s="226"/>
      <c r="C496" s="226">
        <v>5</v>
      </c>
      <c r="D496" s="18"/>
    </row>
    <row r="497" spans="1:4" ht="29.25" customHeight="1">
      <c r="A497" s="14"/>
      <c r="B497" s="225"/>
      <c r="C497" s="225">
        <v>1</v>
      </c>
      <c r="D497" s="19"/>
    </row>
    <row r="498" spans="1:4" ht="29.25" customHeight="1">
      <c r="A498" s="11"/>
      <c r="B498" s="226"/>
      <c r="C498" s="226">
        <v>2</v>
      </c>
      <c r="D498" s="17"/>
    </row>
    <row r="499" spans="1:4" ht="29.25" customHeight="1">
      <c r="A499" s="11"/>
      <c r="B499" s="226"/>
      <c r="C499" s="226">
        <v>3</v>
      </c>
      <c r="D499" s="17"/>
    </row>
    <row r="500" spans="1:4" ht="29.25" customHeight="1">
      <c r="A500" s="11"/>
      <c r="B500" s="226"/>
      <c r="C500" s="226">
        <v>4</v>
      </c>
      <c r="D500" s="17"/>
    </row>
    <row r="501" spans="1:4" ht="29.25" customHeight="1" thickBot="1">
      <c r="A501" s="15"/>
      <c r="B501" s="227"/>
      <c r="C501" s="227">
        <v>5</v>
      </c>
      <c r="D501" s="20"/>
    </row>
    <row r="502" spans="1:4" ht="29.25" customHeight="1">
      <c r="A502" s="11"/>
      <c r="B502" s="226"/>
      <c r="C502" s="226"/>
      <c r="D502" s="21"/>
    </row>
    <row r="503" spans="1:4" ht="29.25" customHeight="1">
      <c r="A503" s="11"/>
      <c r="B503" s="226"/>
      <c r="C503" s="226"/>
      <c r="D503" s="17"/>
    </row>
    <row r="504" spans="1:4" ht="29.25" customHeight="1">
      <c r="A504" s="11"/>
      <c r="B504" s="226"/>
      <c r="C504" s="226"/>
      <c r="D504" s="17"/>
    </row>
    <row r="505" spans="1:4" ht="29.25" customHeight="1">
      <c r="A505" s="11"/>
      <c r="B505" s="226"/>
      <c r="C505" s="226"/>
      <c r="D505" s="17"/>
    </row>
    <row r="506" spans="1:4" ht="29.25" customHeight="1" thickBot="1">
      <c r="A506" s="11"/>
      <c r="B506" s="226"/>
      <c r="C506" s="226"/>
      <c r="D506" s="18"/>
    </row>
    <row r="507" spans="1:4" ht="29.25" customHeight="1">
      <c r="A507" s="14"/>
      <c r="B507" s="225"/>
      <c r="C507" s="225"/>
      <c r="D507" s="19"/>
    </row>
    <row r="508" spans="1:4" ht="29.25" customHeight="1">
      <c r="A508" s="11"/>
      <c r="B508" s="226"/>
      <c r="C508" s="226"/>
      <c r="D508" s="17"/>
    </row>
    <row r="509" spans="1:4" ht="29.25" customHeight="1">
      <c r="A509" s="11"/>
      <c r="B509" s="226"/>
      <c r="C509" s="226"/>
      <c r="D509" s="17"/>
    </row>
    <row r="510" spans="1:4" ht="29.25" customHeight="1">
      <c r="A510" s="11"/>
      <c r="B510" s="226"/>
      <c r="C510" s="226"/>
      <c r="D510" s="17"/>
    </row>
    <row r="511" spans="1:4" ht="29.25" customHeight="1" thickBot="1">
      <c r="A511" s="15"/>
      <c r="B511" s="227"/>
      <c r="C511" s="227"/>
      <c r="D511" s="20"/>
    </row>
    <row r="512" spans="1:4" ht="29.25" customHeight="1">
      <c r="A512" s="14"/>
      <c r="B512" s="225"/>
      <c r="C512" s="225"/>
      <c r="D512" s="19"/>
    </row>
    <row r="513" spans="1:4" ht="29.25" customHeight="1">
      <c r="A513" s="11"/>
      <c r="B513" s="226"/>
      <c r="C513" s="226"/>
      <c r="D513" s="17"/>
    </row>
    <row r="514" spans="1:4" ht="29.25" customHeight="1">
      <c r="A514" s="11"/>
      <c r="B514" s="226"/>
      <c r="C514" s="226"/>
      <c r="D514" s="17"/>
    </row>
    <row r="515" spans="1:4" ht="29.25" customHeight="1">
      <c r="A515" s="11"/>
      <c r="B515" s="226"/>
      <c r="C515" s="226"/>
      <c r="D515" s="17"/>
    </row>
    <row r="516" spans="1:4" ht="29.25" customHeight="1" thickBot="1">
      <c r="A516" s="15"/>
      <c r="B516" s="227"/>
      <c r="C516" s="227"/>
      <c r="D516" s="20"/>
    </row>
    <row r="517" spans="1:4" ht="29.25" customHeight="1">
      <c r="A517" s="11"/>
      <c r="B517" s="226"/>
      <c r="C517" s="226"/>
      <c r="D517" s="21"/>
    </row>
    <row r="518" spans="1:4" ht="29.25" customHeight="1">
      <c r="A518" s="11"/>
      <c r="B518" s="226"/>
      <c r="C518" s="226"/>
      <c r="D518" s="17"/>
    </row>
    <row r="519" spans="1:4" ht="29.25" customHeight="1">
      <c r="A519" s="11"/>
      <c r="B519" s="226"/>
      <c r="C519" s="226"/>
      <c r="D519" s="17"/>
    </row>
    <row r="520" spans="1:4" ht="29.25" customHeight="1">
      <c r="A520" s="11"/>
      <c r="B520" s="226"/>
      <c r="C520" s="226"/>
      <c r="D520" s="17"/>
    </row>
    <row r="521" spans="1:4" ht="29.25" customHeight="1" thickBot="1">
      <c r="A521" s="11"/>
      <c r="B521" s="226"/>
      <c r="C521" s="226"/>
      <c r="D521" s="18"/>
    </row>
    <row r="522" spans="1:4" ht="29.25" customHeight="1">
      <c r="A522" s="14"/>
      <c r="B522" s="225"/>
      <c r="C522" s="225"/>
      <c r="D522" s="19"/>
    </row>
    <row r="523" spans="1:4" ht="29.25" customHeight="1">
      <c r="A523" s="11"/>
      <c r="B523" s="226"/>
      <c r="C523" s="226"/>
      <c r="D523" s="17"/>
    </row>
    <row r="524" spans="1:4" ht="29.25" customHeight="1">
      <c r="A524" s="11"/>
      <c r="B524" s="226"/>
      <c r="C524" s="226"/>
      <c r="D524" s="17"/>
    </row>
    <row r="525" spans="1:4" ht="29.25" customHeight="1">
      <c r="A525" s="11"/>
      <c r="B525" s="226"/>
      <c r="C525" s="226"/>
      <c r="D525" s="17"/>
    </row>
    <row r="526" spans="1:4" ht="29.25" customHeight="1" thickBot="1">
      <c r="A526" s="15"/>
      <c r="B526" s="227"/>
      <c r="C526" s="227"/>
      <c r="D526" s="20"/>
    </row>
    <row r="527" spans="1:4" ht="29.25" customHeight="1">
      <c r="A527" s="14"/>
      <c r="B527" s="225"/>
      <c r="C527" s="225"/>
      <c r="D527" s="19"/>
    </row>
    <row r="528" spans="1:4" ht="29.25" customHeight="1">
      <c r="A528" s="11"/>
      <c r="B528" s="226"/>
      <c r="C528" s="226"/>
      <c r="D528" s="17"/>
    </row>
    <row r="529" spans="1:4" ht="29.25" customHeight="1">
      <c r="A529" s="11"/>
      <c r="B529" s="226"/>
      <c r="C529" s="226"/>
      <c r="D529" s="17"/>
    </row>
    <row r="530" spans="1:4" ht="29.25" customHeight="1">
      <c r="A530" s="11"/>
      <c r="B530" s="226"/>
      <c r="C530" s="226"/>
      <c r="D530" s="17"/>
    </row>
    <row r="531" spans="1:4" ht="29.25" customHeight="1" thickBot="1">
      <c r="A531" s="15"/>
      <c r="B531" s="227"/>
      <c r="C531" s="227"/>
      <c r="D531" s="20"/>
    </row>
    <row r="532" spans="1:4" ht="29.25" customHeight="1">
      <c r="A532" s="14"/>
      <c r="B532" s="225"/>
      <c r="C532" s="225"/>
      <c r="D532" s="19"/>
    </row>
    <row r="533" spans="1:4" ht="29.25" customHeight="1">
      <c r="A533" s="11"/>
      <c r="B533" s="226"/>
      <c r="C533" s="226"/>
      <c r="D533" s="17"/>
    </row>
    <row r="534" spans="1:4" ht="29.25" customHeight="1">
      <c r="A534" s="11"/>
      <c r="B534" s="226"/>
      <c r="C534" s="226"/>
      <c r="D534" s="17"/>
    </row>
    <row r="535" spans="1:4" ht="29.25" customHeight="1">
      <c r="A535" s="11"/>
      <c r="B535" s="226"/>
      <c r="C535" s="226"/>
      <c r="D535" s="17"/>
    </row>
    <row r="536" spans="1:4" ht="29.25" customHeight="1" thickBot="1">
      <c r="A536" s="15"/>
      <c r="B536" s="227"/>
      <c r="C536" s="227"/>
      <c r="D536" s="20"/>
    </row>
    <row r="537" spans="1:4" ht="29.25" customHeight="1">
      <c r="A537" s="14"/>
      <c r="B537" s="225"/>
      <c r="C537" s="225"/>
      <c r="D537" s="19"/>
    </row>
    <row r="538" spans="1:4" ht="29.25" customHeight="1">
      <c r="A538" s="11"/>
      <c r="B538" s="226"/>
      <c r="C538" s="226"/>
      <c r="D538" s="17"/>
    </row>
    <row r="539" spans="1:4" ht="29.25" customHeight="1">
      <c r="A539" s="11"/>
      <c r="B539" s="226"/>
      <c r="C539" s="226"/>
      <c r="D539" s="17"/>
    </row>
    <row r="540" spans="1:4" ht="29.25" customHeight="1">
      <c r="A540" s="11"/>
      <c r="B540" s="226"/>
      <c r="C540" s="226"/>
      <c r="D540" s="17"/>
    </row>
    <row r="541" spans="1:4" ht="29.25" customHeight="1" thickBot="1">
      <c r="A541" s="15"/>
      <c r="B541" s="227"/>
      <c r="C541" s="227"/>
      <c r="D541" s="20"/>
    </row>
    <row r="542" spans="1:4" ht="29.25" customHeight="1">
      <c r="A542" s="14"/>
      <c r="B542" s="225"/>
      <c r="C542" s="225"/>
      <c r="D542" s="16"/>
    </row>
    <row r="543" spans="1:4" ht="29.25" customHeight="1">
      <c r="A543" s="11"/>
      <c r="B543" s="226"/>
      <c r="C543" s="226"/>
      <c r="D543" s="17"/>
    </row>
    <row r="544" spans="1:4" ht="29.25" customHeight="1">
      <c r="A544" s="11"/>
      <c r="B544" s="226"/>
      <c r="C544" s="226"/>
      <c r="D544" s="17"/>
    </row>
    <row r="545" spans="1:4" ht="29.25" customHeight="1">
      <c r="A545" s="11"/>
      <c r="B545" s="226"/>
      <c r="C545" s="226"/>
      <c r="D545" s="17"/>
    </row>
    <row r="546" spans="1:4" ht="29.25" customHeight="1" thickBot="1">
      <c r="A546" s="11"/>
      <c r="B546" s="226"/>
      <c r="C546" s="226"/>
      <c r="D546" s="18"/>
    </row>
    <row r="547" spans="1:4" ht="29.25" customHeight="1">
      <c r="A547" s="14"/>
      <c r="B547" s="225"/>
      <c r="C547" s="225"/>
      <c r="D547" s="19"/>
    </row>
    <row r="548" spans="1:4" ht="29.25" customHeight="1">
      <c r="A548" s="11"/>
      <c r="B548" s="226"/>
      <c r="C548" s="226"/>
      <c r="D548" s="17"/>
    </row>
    <row r="549" spans="1:4" ht="29.25" customHeight="1">
      <c r="A549" s="11"/>
      <c r="B549" s="226"/>
      <c r="C549" s="226"/>
      <c r="D549" s="17"/>
    </row>
    <row r="550" spans="1:4" ht="29.25" customHeight="1">
      <c r="A550" s="11"/>
      <c r="B550" s="226"/>
      <c r="C550" s="226"/>
      <c r="D550" s="17"/>
    </row>
    <row r="551" spans="1:4" ht="29.25" customHeight="1" thickBot="1">
      <c r="A551" s="15"/>
      <c r="B551" s="227"/>
      <c r="C551" s="227"/>
      <c r="D551" s="20"/>
    </row>
    <row r="552" spans="1:4" ht="29.25" customHeight="1">
      <c r="A552" s="11"/>
      <c r="B552" s="226"/>
      <c r="C552" s="226"/>
      <c r="D552" s="21"/>
    </row>
    <row r="553" spans="1:4" ht="29.25" customHeight="1">
      <c r="A553" s="11"/>
      <c r="B553" s="226"/>
      <c r="C553" s="226"/>
      <c r="D553" s="17"/>
    </row>
    <row r="554" spans="1:4" ht="29.25" customHeight="1">
      <c r="A554" s="11"/>
      <c r="B554" s="226"/>
      <c r="C554" s="226"/>
      <c r="D554" s="17"/>
    </row>
    <row r="555" spans="1:4" ht="29.25" customHeight="1">
      <c r="A555" s="11"/>
      <c r="B555" s="226"/>
      <c r="C555" s="226"/>
      <c r="D555" s="17"/>
    </row>
    <row r="556" spans="1:4" ht="29.25" customHeight="1" thickBot="1">
      <c r="A556" s="11"/>
      <c r="B556" s="226"/>
      <c r="C556" s="226"/>
      <c r="D556" s="18"/>
    </row>
    <row r="557" spans="1:4" ht="29.25" customHeight="1">
      <c r="A557" s="14"/>
      <c r="B557" s="225"/>
      <c r="C557" s="225"/>
      <c r="D557" s="19"/>
    </row>
    <row r="558" spans="1:4" ht="29.25" customHeight="1">
      <c r="A558" s="11"/>
      <c r="B558" s="226"/>
      <c r="C558" s="226"/>
      <c r="D558" s="17"/>
    </row>
    <row r="559" spans="1:4" ht="29.25" customHeight="1">
      <c r="A559" s="11"/>
      <c r="B559" s="226"/>
      <c r="C559" s="226"/>
      <c r="D559" s="17"/>
    </row>
    <row r="560" spans="1:4" ht="29.25" customHeight="1">
      <c r="A560" s="11"/>
      <c r="B560" s="226"/>
      <c r="C560" s="226"/>
      <c r="D560" s="17"/>
    </row>
    <row r="561" spans="1:4" ht="29.25" customHeight="1" thickBot="1">
      <c r="A561" s="15"/>
      <c r="B561" s="227"/>
      <c r="C561" s="227"/>
      <c r="D561" s="20"/>
    </row>
    <row r="562" spans="1:4" ht="29.25" customHeight="1">
      <c r="A562" s="11"/>
      <c r="B562" s="226"/>
      <c r="C562" s="226"/>
      <c r="D562" s="21"/>
    </row>
    <row r="563" spans="1:4" ht="29.25" customHeight="1">
      <c r="A563" s="11"/>
      <c r="B563" s="226"/>
      <c r="C563" s="226"/>
      <c r="D563" s="17"/>
    </row>
    <row r="564" spans="1:4" ht="29.25" customHeight="1">
      <c r="A564" s="11"/>
      <c r="B564" s="226"/>
      <c r="C564" s="226"/>
      <c r="D564" s="17"/>
    </row>
    <row r="565" spans="1:4" ht="29.25" customHeight="1">
      <c r="A565" s="11"/>
      <c r="B565" s="226"/>
      <c r="C565" s="226"/>
      <c r="D565" s="17"/>
    </row>
    <row r="566" spans="1:4" ht="29.25" customHeight="1" thickBot="1">
      <c r="A566" s="11"/>
      <c r="B566" s="226"/>
      <c r="C566" s="226"/>
      <c r="D566" s="18"/>
    </row>
    <row r="567" spans="1:4" ht="29.25" customHeight="1">
      <c r="A567" s="14"/>
      <c r="B567" s="225"/>
      <c r="C567" s="225"/>
      <c r="D567" s="19"/>
    </row>
    <row r="568" spans="1:4" ht="29.25" customHeight="1">
      <c r="A568" s="11"/>
      <c r="B568" s="226"/>
      <c r="C568" s="226"/>
      <c r="D568" s="17"/>
    </row>
    <row r="569" spans="1:4" ht="29.25" customHeight="1">
      <c r="A569" s="11"/>
      <c r="B569" s="226"/>
      <c r="C569" s="226"/>
      <c r="D569" s="17"/>
    </row>
    <row r="570" spans="1:4" ht="29.25" customHeight="1">
      <c r="A570" s="11"/>
      <c r="B570" s="226"/>
      <c r="C570" s="226"/>
      <c r="D570" s="17"/>
    </row>
    <row r="571" spans="1:4" ht="29.25" customHeight="1" thickBot="1">
      <c r="A571" s="15"/>
      <c r="B571" s="227"/>
      <c r="C571" s="227"/>
      <c r="D571" s="20"/>
    </row>
    <row r="572" spans="1:4" ht="29.25" customHeight="1">
      <c r="A572" s="14"/>
      <c r="B572" s="225"/>
      <c r="C572" s="225"/>
      <c r="D572" s="19"/>
    </row>
    <row r="573" spans="1:4" ht="29.25" customHeight="1">
      <c r="A573" s="11"/>
      <c r="B573" s="226"/>
      <c r="C573" s="226"/>
      <c r="D573" s="17"/>
    </row>
    <row r="574" spans="1:4" ht="29.25" customHeight="1">
      <c r="A574" s="11"/>
      <c r="B574" s="226"/>
      <c r="C574" s="226"/>
      <c r="D574" s="17"/>
    </row>
    <row r="575" spans="1:4" ht="29.25" customHeight="1">
      <c r="A575" s="11"/>
      <c r="B575" s="226"/>
      <c r="C575" s="226"/>
      <c r="D575" s="17"/>
    </row>
    <row r="576" spans="1:4" ht="29.25" customHeight="1" thickBot="1">
      <c r="A576" s="15"/>
      <c r="B576" s="227"/>
      <c r="C576" s="227"/>
      <c r="D576" s="20"/>
    </row>
    <row r="577" spans="1:4" ht="29.25" customHeight="1">
      <c r="A577" s="11"/>
      <c r="B577" s="226"/>
      <c r="C577" s="226"/>
      <c r="D577" s="21"/>
    </row>
    <row r="578" spans="1:4" ht="29.25" customHeight="1">
      <c r="A578" s="11"/>
      <c r="B578" s="226"/>
      <c r="C578" s="226"/>
      <c r="D578" s="17"/>
    </row>
    <row r="579" spans="1:4" ht="29.25" customHeight="1">
      <c r="A579" s="11"/>
      <c r="B579" s="226"/>
      <c r="C579" s="226"/>
      <c r="D579" s="17"/>
    </row>
    <row r="580" spans="1:4" ht="29.25" customHeight="1">
      <c r="A580" s="11"/>
      <c r="B580" s="226"/>
      <c r="C580" s="226"/>
      <c r="D580" s="17"/>
    </row>
    <row r="581" spans="1:4" ht="29.25" customHeight="1" thickBot="1">
      <c r="A581" s="11"/>
      <c r="B581" s="226"/>
      <c r="C581" s="226"/>
      <c r="D581" s="18"/>
    </row>
    <row r="582" spans="1:4" ht="29.25" customHeight="1">
      <c r="A582" s="14"/>
      <c r="B582" s="225"/>
      <c r="C582" s="225"/>
      <c r="D582" s="19"/>
    </row>
    <row r="583" spans="1:4" ht="29.25" customHeight="1">
      <c r="A583" s="11"/>
      <c r="B583" s="226"/>
      <c r="C583" s="226"/>
      <c r="D583" s="17"/>
    </row>
    <row r="584" spans="1:4" ht="29.25" customHeight="1">
      <c r="A584" s="11"/>
      <c r="B584" s="226"/>
      <c r="C584" s="226"/>
      <c r="D584" s="17"/>
    </row>
    <row r="585" spans="1:4" ht="29.25" customHeight="1">
      <c r="A585" s="11"/>
      <c r="B585" s="226"/>
      <c r="C585" s="226"/>
      <c r="D585" s="17"/>
    </row>
    <row r="586" spans="1:4" ht="29.25" customHeight="1" thickBot="1">
      <c r="A586" s="15"/>
      <c r="B586" s="227"/>
      <c r="C586" s="227"/>
      <c r="D586" s="20"/>
    </row>
    <row r="587" spans="1:4" ht="29.25" customHeight="1">
      <c r="A587" s="14"/>
      <c r="B587" s="225"/>
      <c r="C587" s="225"/>
      <c r="D587" s="19"/>
    </row>
    <row r="588" spans="1:4" ht="29.25" customHeight="1">
      <c r="A588" s="11"/>
      <c r="B588" s="226"/>
      <c r="C588" s="226"/>
      <c r="D588" s="17"/>
    </row>
    <row r="589" spans="1:4" ht="29.25" customHeight="1">
      <c r="A589" s="11"/>
      <c r="B589" s="226"/>
      <c r="C589" s="226"/>
      <c r="D589" s="17"/>
    </row>
    <row r="590" spans="1:4" ht="29.25" customHeight="1">
      <c r="A590" s="11"/>
      <c r="B590" s="226"/>
      <c r="C590" s="226"/>
      <c r="D590" s="17"/>
    </row>
    <row r="591" spans="1:4" ht="29.25" customHeight="1" thickBot="1">
      <c r="A591" s="15"/>
      <c r="B591" s="227"/>
      <c r="C591" s="227"/>
      <c r="D591" s="20"/>
    </row>
    <row r="592" spans="1:4" ht="29.25" customHeight="1">
      <c r="A592" s="14"/>
      <c r="B592" s="225"/>
      <c r="C592" s="225"/>
      <c r="D592" s="19"/>
    </row>
    <row r="593" spans="1:4" ht="29.25" customHeight="1">
      <c r="A593" s="11"/>
      <c r="B593" s="226"/>
      <c r="C593" s="226"/>
      <c r="D593" s="17"/>
    </row>
    <row r="594" spans="1:4" ht="29.25" customHeight="1">
      <c r="A594" s="11"/>
      <c r="B594" s="226"/>
      <c r="C594" s="226"/>
      <c r="D594" s="17"/>
    </row>
    <row r="595" spans="1:4" ht="29.25" customHeight="1">
      <c r="A595" s="11"/>
      <c r="B595" s="226"/>
      <c r="C595" s="226"/>
      <c r="D595" s="17"/>
    </row>
    <row r="596" spans="1:4" ht="29.25" customHeight="1" thickBot="1">
      <c r="A596" s="15"/>
      <c r="B596" s="227"/>
      <c r="C596" s="227"/>
      <c r="D596" s="20"/>
    </row>
    <row r="597" spans="1:4" ht="29.25" customHeight="1">
      <c r="A597" s="14"/>
      <c r="B597" s="225"/>
      <c r="C597" s="225"/>
      <c r="D597" s="19"/>
    </row>
    <row r="598" spans="1:4" ht="29.25" customHeight="1">
      <c r="A598" s="11"/>
      <c r="B598" s="226"/>
      <c r="C598" s="226"/>
      <c r="D598" s="17"/>
    </row>
    <row r="599" spans="1:4" ht="29.25" customHeight="1">
      <c r="A599" s="11"/>
      <c r="B599" s="226"/>
      <c r="C599" s="226"/>
      <c r="D599" s="17"/>
    </row>
    <row r="600" spans="1:4" ht="29.25" customHeight="1">
      <c r="A600" s="11"/>
      <c r="B600" s="226"/>
      <c r="C600" s="226"/>
      <c r="D600" s="17"/>
    </row>
    <row r="601" spans="1:4" ht="29.25" customHeight="1" thickBot="1">
      <c r="A601" s="15"/>
      <c r="B601" s="227"/>
      <c r="C601" s="227"/>
      <c r="D601" s="20"/>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KennisLoad">
                <anchor moveWithCells="1" sizeWithCells="1">
                  <from>
                    <xdr:col>3</xdr:col>
                    <xdr:colOff>11639550</xdr:colOff>
                    <xdr:row>0</xdr:row>
                    <xdr:rowOff>38100</xdr:rowOff>
                  </from>
                  <to>
                    <xdr:col>3</xdr:col>
                    <xdr:colOff>13106400</xdr:colOff>
                    <xdr:row>0</xdr:row>
                    <xdr:rowOff>276225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466C6-0DF8-45F3-997E-E5F3E83535CC}">
  <sheetPr codeName="RGA"/>
  <dimension ref="A1:G601"/>
  <sheetViews>
    <sheetView showRowColHeaders="0" zoomScale="53" zoomScaleNormal="53" workbookViewId="0">
      <selection sqref="A1:D1"/>
    </sheetView>
  </sheetViews>
  <sheetFormatPr defaultRowHeight="29.25" customHeight="1"/>
  <cols>
    <col min="1" max="1" width="31.42578125" style="1" bestFit="1" customWidth="1"/>
    <col min="2" max="2" width="31.42578125" style="1" customWidth="1"/>
    <col min="3" max="3" width="5.140625" style="1" bestFit="1" customWidth="1"/>
    <col min="4" max="4" width="197.42578125" customWidth="1"/>
    <col min="5" max="5" width="9.140625" style="9"/>
  </cols>
  <sheetData>
    <row r="1" spans="1:7" s="1" customFormat="1" ht="24" thickBot="1">
      <c r="A1" s="12" t="s">
        <v>476</v>
      </c>
      <c r="B1" s="224" t="s">
        <v>1576</v>
      </c>
      <c r="C1" s="224" t="s">
        <v>1575</v>
      </c>
      <c r="D1" s="13" t="s">
        <v>478</v>
      </c>
      <c r="E1" s="32"/>
      <c r="F1" s="2"/>
      <c r="G1" s="2"/>
    </row>
    <row r="2" spans="1:7" s="1" customFormat="1" ht="29.25" customHeight="1">
      <c r="A2" s="14" t="s">
        <v>503</v>
      </c>
      <c r="B2" s="225"/>
      <c r="C2" s="225">
        <v>1</v>
      </c>
      <c r="D2" s="16"/>
      <c r="E2" s="9"/>
      <c r="F2" s="2"/>
      <c r="G2" s="2"/>
    </row>
    <row r="3" spans="1:7" s="1" customFormat="1" ht="29.25" customHeight="1">
      <c r="A3" s="11"/>
      <c r="B3" s="226"/>
      <c r="C3" s="226">
        <v>2</v>
      </c>
      <c r="D3" s="17"/>
      <c r="E3" s="9"/>
      <c r="F3" s="2"/>
      <c r="G3" s="2"/>
    </row>
    <row r="4" spans="1:7" s="1" customFormat="1" ht="29.25" customHeight="1">
      <c r="A4" s="11"/>
      <c r="B4" s="226"/>
      <c r="C4" s="226">
        <v>3</v>
      </c>
      <c r="D4" s="17"/>
      <c r="E4" s="9"/>
      <c r="F4" s="2"/>
      <c r="G4" s="2"/>
    </row>
    <row r="5" spans="1:7" s="1" customFormat="1" ht="29.25" customHeight="1">
      <c r="A5" s="11"/>
      <c r="B5" s="226"/>
      <c r="C5" s="226">
        <v>4</v>
      </c>
      <c r="D5" s="17"/>
      <c r="E5" s="9"/>
      <c r="F5" s="2"/>
      <c r="G5" s="2"/>
    </row>
    <row r="6" spans="1:7" s="1" customFormat="1" ht="29.25" customHeight="1" thickBot="1">
      <c r="A6" s="11"/>
      <c r="B6" s="226"/>
      <c r="C6" s="226">
        <v>5</v>
      </c>
      <c r="D6" s="18"/>
      <c r="E6" s="9"/>
      <c r="F6" s="2"/>
      <c r="G6" s="2"/>
    </row>
    <row r="7" spans="1:7" ht="29.25" customHeight="1">
      <c r="A7" s="14" t="s">
        <v>480</v>
      </c>
      <c r="B7" s="225" t="s">
        <v>593</v>
      </c>
      <c r="C7" s="225">
        <v>1</v>
      </c>
      <c r="D7" s="19"/>
    </row>
    <row r="8" spans="1:7" s="1" customFormat="1" ht="29.25" customHeight="1">
      <c r="A8" s="11"/>
      <c r="B8" s="226"/>
      <c r="C8" s="226">
        <v>2</v>
      </c>
      <c r="D8" s="17"/>
      <c r="E8" s="9"/>
      <c r="F8" s="2"/>
      <c r="G8" s="2"/>
    </row>
    <row r="9" spans="1:7" s="1" customFormat="1" ht="29.25" customHeight="1">
      <c r="A9" s="11"/>
      <c r="B9" s="226"/>
      <c r="C9" s="226">
        <v>3</v>
      </c>
      <c r="D9" s="17"/>
      <c r="E9" s="9"/>
      <c r="F9" s="2"/>
      <c r="G9" s="2"/>
    </row>
    <row r="10" spans="1:7" s="1" customFormat="1" ht="29.25" customHeight="1">
      <c r="A10" s="11"/>
      <c r="B10" s="226"/>
      <c r="C10" s="226">
        <v>4</v>
      </c>
      <c r="D10" s="17"/>
      <c r="E10" s="9"/>
      <c r="F10" s="2"/>
      <c r="G10" s="2"/>
    </row>
    <row r="11" spans="1:7" s="1" customFormat="1" ht="29.25" customHeight="1" thickBot="1">
      <c r="A11" s="15"/>
      <c r="B11" s="227"/>
      <c r="C11" s="227">
        <v>5</v>
      </c>
      <c r="D11" s="20"/>
      <c r="E11" s="9"/>
      <c r="F11" s="2"/>
      <c r="G11" s="2"/>
    </row>
    <row r="12" spans="1:7" ht="29.25" customHeight="1">
      <c r="A12" s="11" t="s">
        <v>481</v>
      </c>
      <c r="B12" s="226" t="s">
        <v>963</v>
      </c>
      <c r="C12" s="226">
        <v>1</v>
      </c>
      <c r="D12" s="21"/>
    </row>
    <row r="13" spans="1:7" s="1" customFormat="1" ht="29.25" customHeight="1">
      <c r="A13" s="11"/>
      <c r="B13" s="226"/>
      <c r="C13" s="226">
        <v>2</v>
      </c>
      <c r="D13" s="17"/>
      <c r="E13" s="9"/>
      <c r="F13" s="2"/>
      <c r="G13" s="2"/>
    </row>
    <row r="14" spans="1:7" s="1" customFormat="1" ht="29.25" customHeight="1">
      <c r="A14" s="11"/>
      <c r="B14" s="226"/>
      <c r="C14" s="226">
        <v>3</v>
      </c>
      <c r="D14" s="17"/>
      <c r="E14" s="9"/>
      <c r="F14" s="2"/>
      <c r="G14" s="2"/>
    </row>
    <row r="15" spans="1:7" s="1" customFormat="1" ht="29.25" customHeight="1">
      <c r="A15" s="11"/>
      <c r="B15" s="226"/>
      <c r="C15" s="226">
        <v>4</v>
      </c>
      <c r="D15" s="17"/>
      <c r="E15" s="9"/>
      <c r="F15" s="2"/>
      <c r="G15" s="2"/>
    </row>
    <row r="16" spans="1:7" s="1" customFormat="1" ht="29.25" customHeight="1" thickBot="1">
      <c r="A16" s="11"/>
      <c r="B16" s="226"/>
      <c r="C16" s="226">
        <v>5</v>
      </c>
      <c r="D16" s="20"/>
      <c r="E16" s="9"/>
      <c r="F16" s="2"/>
      <c r="G16" s="2"/>
    </row>
    <row r="17" spans="1:7" ht="29.25" customHeight="1">
      <c r="A17" s="14" t="s">
        <v>482</v>
      </c>
      <c r="B17" s="225" t="s">
        <v>754</v>
      </c>
      <c r="C17" s="225">
        <v>1</v>
      </c>
      <c r="D17" s="21"/>
    </row>
    <row r="18" spans="1:7" s="1" customFormat="1" ht="29.25" customHeight="1">
      <c r="A18" s="11"/>
      <c r="B18" s="226"/>
      <c r="C18" s="226">
        <v>2</v>
      </c>
      <c r="D18" s="17"/>
      <c r="E18" s="9"/>
      <c r="F18" s="2"/>
      <c r="G18" s="2"/>
    </row>
    <row r="19" spans="1:7" s="1" customFormat="1" ht="29.25" customHeight="1">
      <c r="A19" s="11"/>
      <c r="B19" s="226"/>
      <c r="C19" s="226">
        <v>3</v>
      </c>
      <c r="D19" s="17"/>
      <c r="E19" s="9"/>
      <c r="F19" s="2"/>
      <c r="G19" s="2"/>
    </row>
    <row r="20" spans="1:7" s="1" customFormat="1" ht="29.25" customHeight="1">
      <c r="A20" s="11"/>
      <c r="B20" s="226"/>
      <c r="C20" s="226">
        <v>4</v>
      </c>
      <c r="D20" s="17"/>
      <c r="E20" s="9"/>
      <c r="F20" s="2"/>
      <c r="G20" s="2"/>
    </row>
    <row r="21" spans="1:7" s="1" customFormat="1" ht="29.25" customHeight="1" thickBot="1">
      <c r="A21" s="15"/>
      <c r="B21" s="227"/>
      <c r="C21" s="227">
        <v>5</v>
      </c>
      <c r="D21" s="20"/>
      <c r="E21" s="9"/>
      <c r="F21" s="2"/>
      <c r="G21" s="2"/>
    </row>
    <row r="22" spans="1:7" ht="29.25" customHeight="1">
      <c r="A22" s="11" t="s">
        <v>482</v>
      </c>
      <c r="B22" s="226" t="s">
        <v>612</v>
      </c>
      <c r="C22" s="226">
        <v>1</v>
      </c>
      <c r="D22" s="21"/>
    </row>
    <row r="23" spans="1:7" s="1" customFormat="1" ht="29.25" customHeight="1">
      <c r="A23" s="11"/>
      <c r="B23" s="226"/>
      <c r="C23" s="226">
        <v>2</v>
      </c>
      <c r="D23" s="17"/>
      <c r="E23" s="9"/>
      <c r="F23" s="2"/>
      <c r="G23" s="2"/>
    </row>
    <row r="24" spans="1:7" s="1" customFormat="1" ht="29.25" customHeight="1">
      <c r="A24" s="11"/>
      <c r="B24" s="226"/>
      <c r="C24" s="226">
        <v>3</v>
      </c>
      <c r="D24" s="17"/>
      <c r="E24" s="9"/>
      <c r="F24" s="2"/>
      <c r="G24" s="2"/>
    </row>
    <row r="25" spans="1:7" s="1" customFormat="1" ht="29.25" customHeight="1">
      <c r="A25" s="11"/>
      <c r="B25" s="226"/>
      <c r="C25" s="226">
        <v>4</v>
      </c>
      <c r="D25" s="17"/>
      <c r="E25" s="9"/>
      <c r="F25" s="2"/>
      <c r="G25" s="2"/>
    </row>
    <row r="26" spans="1:7" s="1" customFormat="1" ht="29.25" customHeight="1" thickBot="1">
      <c r="A26" s="11"/>
      <c r="B26" s="226"/>
      <c r="C26" s="226">
        <v>5</v>
      </c>
      <c r="D26" s="18"/>
      <c r="E26" s="9"/>
      <c r="F26" s="2"/>
      <c r="G26" s="2"/>
    </row>
    <row r="27" spans="1:7" ht="29.25" customHeight="1">
      <c r="A27" s="14" t="s">
        <v>482</v>
      </c>
      <c r="B27" s="225" t="s">
        <v>613</v>
      </c>
      <c r="C27" s="225">
        <v>1</v>
      </c>
      <c r="D27" s="19"/>
    </row>
    <row r="28" spans="1:7" s="1" customFormat="1" ht="29.25" customHeight="1">
      <c r="A28" s="11"/>
      <c r="B28" s="226"/>
      <c r="C28" s="226">
        <v>2</v>
      </c>
      <c r="D28" s="17"/>
      <c r="E28" s="9"/>
      <c r="F28" s="2"/>
      <c r="G28" s="2"/>
    </row>
    <row r="29" spans="1:7" s="1" customFormat="1" ht="29.25" customHeight="1">
      <c r="A29" s="11"/>
      <c r="B29" s="226"/>
      <c r="C29" s="226">
        <v>3</v>
      </c>
      <c r="D29" s="17"/>
      <c r="E29" s="9"/>
      <c r="F29" s="2"/>
      <c r="G29" s="2"/>
    </row>
    <row r="30" spans="1:7" s="1" customFormat="1" ht="29.25" customHeight="1">
      <c r="A30" s="11"/>
      <c r="B30" s="226"/>
      <c r="C30" s="226">
        <v>4</v>
      </c>
      <c r="D30" s="17"/>
      <c r="E30" s="9"/>
      <c r="F30" s="2"/>
      <c r="G30" s="2"/>
    </row>
    <row r="31" spans="1:7" s="1" customFormat="1" ht="29.25" customHeight="1" thickBot="1">
      <c r="A31" s="15"/>
      <c r="B31" s="227"/>
      <c r="C31" s="227">
        <v>5</v>
      </c>
      <c r="D31" s="20"/>
      <c r="E31" s="9"/>
      <c r="F31" s="2"/>
      <c r="G31" s="2"/>
    </row>
    <row r="32" spans="1:7" ht="29.25" customHeight="1">
      <c r="A32" s="14" t="s">
        <v>482</v>
      </c>
      <c r="B32" s="225" t="s">
        <v>763</v>
      </c>
      <c r="C32" s="225">
        <v>1</v>
      </c>
      <c r="D32" s="21" t="s">
        <v>1618</v>
      </c>
    </row>
    <row r="33" spans="1:7" s="1" customFormat="1" ht="29.25" customHeight="1">
      <c r="A33" s="11"/>
      <c r="B33" s="226"/>
      <c r="C33" s="226">
        <v>2</v>
      </c>
      <c r="D33" s="17" t="s">
        <v>1619</v>
      </c>
      <c r="E33" s="9"/>
      <c r="F33" s="2"/>
      <c r="G33" s="2"/>
    </row>
    <row r="34" spans="1:7" s="1" customFormat="1" ht="29.25" customHeight="1">
      <c r="A34" s="11"/>
      <c r="B34" s="226"/>
      <c r="C34" s="226">
        <v>3</v>
      </c>
      <c r="D34" s="17"/>
      <c r="E34" s="9"/>
      <c r="F34" s="2"/>
      <c r="G34" s="2"/>
    </row>
    <row r="35" spans="1:7" s="1" customFormat="1" ht="29.25" customHeight="1">
      <c r="A35" s="11"/>
      <c r="B35" s="226"/>
      <c r="C35" s="226">
        <v>4</v>
      </c>
      <c r="D35" s="17" t="s">
        <v>1620</v>
      </c>
      <c r="E35" s="9"/>
      <c r="F35" s="2"/>
      <c r="G35" s="2"/>
    </row>
    <row r="36" spans="1:7" s="1" customFormat="1" ht="29.25" customHeight="1" thickBot="1">
      <c r="A36" s="15"/>
      <c r="B36" s="227"/>
      <c r="C36" s="227">
        <v>5</v>
      </c>
      <c r="D36" s="18" t="s">
        <v>1620</v>
      </c>
      <c r="E36" s="9"/>
      <c r="F36" s="2"/>
      <c r="G36" s="2"/>
    </row>
    <row r="37" spans="1:7" ht="29.25" customHeight="1">
      <c r="A37" s="11" t="s">
        <v>483</v>
      </c>
      <c r="B37" s="226" t="s">
        <v>595</v>
      </c>
      <c r="C37" s="226">
        <v>1</v>
      </c>
      <c r="D37" s="21" t="s">
        <v>1618</v>
      </c>
    </row>
    <row r="38" spans="1:7" s="1" customFormat="1" ht="29.25" customHeight="1">
      <c r="A38" s="11"/>
      <c r="B38" s="226"/>
      <c r="C38" s="226">
        <v>2</v>
      </c>
      <c r="D38" s="17" t="s">
        <v>1619</v>
      </c>
      <c r="E38" s="9"/>
      <c r="F38" s="2"/>
      <c r="G38" s="2"/>
    </row>
    <row r="39" spans="1:7" s="1" customFormat="1" ht="29.25" customHeight="1">
      <c r="A39" s="11"/>
      <c r="B39" s="226"/>
      <c r="C39" s="226">
        <v>3</v>
      </c>
      <c r="D39" s="17"/>
      <c r="E39" s="9"/>
      <c r="F39" s="2"/>
      <c r="G39" s="2"/>
    </row>
    <row r="40" spans="1:7" s="1" customFormat="1" ht="29.25" customHeight="1">
      <c r="A40" s="11"/>
      <c r="B40" s="226"/>
      <c r="C40" s="226">
        <v>4</v>
      </c>
      <c r="D40" s="17" t="s">
        <v>1620</v>
      </c>
      <c r="E40" s="9"/>
      <c r="F40" s="2"/>
      <c r="G40" s="2"/>
    </row>
    <row r="41" spans="1:7" s="1" customFormat="1" ht="29.25" customHeight="1" thickBot="1">
      <c r="A41" s="11"/>
      <c r="B41" s="226"/>
      <c r="C41" s="226">
        <v>5</v>
      </c>
      <c r="D41" s="18" t="s">
        <v>1620</v>
      </c>
      <c r="E41" s="9"/>
      <c r="F41" s="2"/>
      <c r="G41" s="2"/>
    </row>
    <row r="42" spans="1:7" ht="29.25" customHeight="1">
      <c r="A42" s="14" t="s">
        <v>483</v>
      </c>
      <c r="B42" s="225" t="s">
        <v>921</v>
      </c>
      <c r="C42" s="225">
        <v>1</v>
      </c>
      <c r="D42" s="19"/>
    </row>
    <row r="43" spans="1:7" s="1" customFormat="1" ht="29.25" customHeight="1">
      <c r="A43" s="11"/>
      <c r="B43" s="226"/>
      <c r="C43" s="226">
        <v>2</v>
      </c>
      <c r="D43" s="17"/>
      <c r="E43" s="9"/>
      <c r="F43" s="2"/>
      <c r="G43" s="2"/>
    </row>
    <row r="44" spans="1:7" s="1" customFormat="1" ht="29.25" customHeight="1">
      <c r="A44" s="11"/>
      <c r="B44" s="226"/>
      <c r="C44" s="226">
        <v>3</v>
      </c>
      <c r="D44" s="17"/>
      <c r="E44" s="9"/>
      <c r="F44" s="2"/>
      <c r="G44" s="2"/>
    </row>
    <row r="45" spans="1:7" s="1" customFormat="1" ht="29.25" customHeight="1">
      <c r="A45" s="11"/>
      <c r="B45" s="226"/>
      <c r="C45" s="226">
        <v>4</v>
      </c>
      <c r="D45" s="17"/>
      <c r="E45" s="9"/>
      <c r="F45" s="2"/>
      <c r="G45" s="2"/>
    </row>
    <row r="46" spans="1:7" s="1" customFormat="1" ht="29.25" customHeight="1" thickBot="1">
      <c r="A46" s="15"/>
      <c r="B46" s="227"/>
      <c r="C46" s="227">
        <v>5</v>
      </c>
      <c r="D46" s="20"/>
      <c r="E46" s="9"/>
      <c r="F46" s="2"/>
      <c r="G46" s="2"/>
    </row>
    <row r="47" spans="1:7" ht="29.25" customHeight="1">
      <c r="A47" s="14" t="s">
        <v>489</v>
      </c>
      <c r="B47" s="225" t="s">
        <v>761</v>
      </c>
      <c r="C47" s="225">
        <v>1</v>
      </c>
      <c r="D47" s="19"/>
    </row>
    <row r="48" spans="1:7" s="1" customFormat="1" ht="29.25" customHeight="1">
      <c r="A48" s="11"/>
      <c r="B48" s="226"/>
      <c r="C48" s="226">
        <v>2</v>
      </c>
      <c r="D48" s="17"/>
      <c r="E48" s="9"/>
      <c r="F48" s="2"/>
      <c r="G48" s="2"/>
    </row>
    <row r="49" spans="1:7" s="1" customFormat="1" ht="29.25" customHeight="1">
      <c r="A49" s="11"/>
      <c r="B49" s="226"/>
      <c r="C49" s="226">
        <v>3</v>
      </c>
      <c r="D49" s="17"/>
      <c r="E49" s="9"/>
      <c r="F49" s="2"/>
      <c r="G49" s="2"/>
    </row>
    <row r="50" spans="1:7" s="1" customFormat="1" ht="29.25" customHeight="1">
      <c r="A50" s="11"/>
      <c r="B50" s="226"/>
      <c r="C50" s="226">
        <v>4</v>
      </c>
      <c r="D50" s="17"/>
      <c r="E50" s="9"/>
      <c r="F50" s="2"/>
      <c r="G50" s="2"/>
    </row>
    <row r="51" spans="1:7" s="1" customFormat="1" ht="29.25" customHeight="1" thickBot="1">
      <c r="A51" s="15"/>
      <c r="B51" s="227"/>
      <c r="C51" s="227">
        <v>5</v>
      </c>
      <c r="D51" s="20"/>
      <c r="E51" s="9"/>
      <c r="F51" s="2"/>
      <c r="G51" s="2"/>
    </row>
    <row r="52" spans="1:7" ht="29.25" customHeight="1">
      <c r="A52" s="14" t="s">
        <v>490</v>
      </c>
      <c r="B52" s="225" t="s">
        <v>762</v>
      </c>
      <c r="C52" s="225">
        <v>1</v>
      </c>
      <c r="D52" s="19"/>
    </row>
    <row r="53" spans="1:7" s="1" customFormat="1" ht="29.25" customHeight="1">
      <c r="A53" s="11"/>
      <c r="B53" s="226"/>
      <c r="C53" s="226">
        <v>2</v>
      </c>
      <c r="D53" s="17"/>
      <c r="E53" s="9"/>
      <c r="F53" s="2"/>
      <c r="G53" s="2"/>
    </row>
    <row r="54" spans="1:7" s="1" customFormat="1" ht="29.25" customHeight="1">
      <c r="A54" s="11"/>
      <c r="B54" s="226"/>
      <c r="C54" s="226">
        <v>3</v>
      </c>
      <c r="D54" s="17"/>
      <c r="E54" s="9"/>
      <c r="F54" s="2"/>
      <c r="G54" s="2"/>
    </row>
    <row r="55" spans="1:7" s="1" customFormat="1" ht="29.25" customHeight="1">
      <c r="A55" s="11"/>
      <c r="B55" s="226"/>
      <c r="C55" s="226">
        <v>4</v>
      </c>
      <c r="D55" s="17"/>
      <c r="E55" s="9"/>
      <c r="F55" s="2"/>
      <c r="G55" s="2"/>
    </row>
    <row r="56" spans="1:7" s="1" customFormat="1" ht="29.25" customHeight="1" thickBot="1">
      <c r="A56" s="15"/>
      <c r="B56" s="227"/>
      <c r="C56" s="227">
        <v>5</v>
      </c>
      <c r="D56" s="20"/>
      <c r="E56" s="9"/>
      <c r="F56" s="2"/>
      <c r="G56" s="2"/>
    </row>
    <row r="57" spans="1:7" ht="29.25" customHeight="1">
      <c r="A57" s="14" t="s">
        <v>491</v>
      </c>
      <c r="B57" s="225" t="s">
        <v>609</v>
      </c>
      <c r="C57" s="225">
        <v>1</v>
      </c>
      <c r="D57" s="19"/>
    </row>
    <row r="58" spans="1:7" s="1" customFormat="1" ht="29.25" customHeight="1">
      <c r="A58" s="11"/>
      <c r="B58" s="226"/>
      <c r="C58" s="226">
        <v>2</v>
      </c>
      <c r="D58" s="17"/>
      <c r="E58" s="9"/>
      <c r="F58" s="2"/>
      <c r="G58" s="2"/>
    </row>
    <row r="59" spans="1:7" s="1" customFormat="1" ht="29.25" customHeight="1">
      <c r="A59" s="11"/>
      <c r="B59" s="226"/>
      <c r="C59" s="226">
        <v>3</v>
      </c>
      <c r="D59" s="17"/>
      <c r="E59" s="9"/>
      <c r="F59" s="2"/>
      <c r="G59" s="2"/>
    </row>
    <row r="60" spans="1:7" s="1" customFormat="1" ht="29.25" customHeight="1">
      <c r="A60" s="11"/>
      <c r="B60" s="226"/>
      <c r="C60" s="226">
        <v>4</v>
      </c>
      <c r="D60" s="17"/>
      <c r="E60" s="9"/>
      <c r="F60" s="2"/>
      <c r="G60" s="2"/>
    </row>
    <row r="61" spans="1:7" s="1" customFormat="1" ht="29.25" customHeight="1" thickBot="1">
      <c r="A61" s="15"/>
      <c r="B61" s="227"/>
      <c r="C61" s="227">
        <v>5</v>
      </c>
      <c r="D61" s="20"/>
      <c r="E61" s="9"/>
      <c r="F61" s="2"/>
      <c r="G61" s="2"/>
    </row>
    <row r="62" spans="1:7" ht="29.25" customHeight="1">
      <c r="A62" s="14" t="s">
        <v>484</v>
      </c>
      <c r="B62" s="225" t="s">
        <v>596</v>
      </c>
      <c r="C62" s="225">
        <v>1</v>
      </c>
      <c r="D62" s="16"/>
    </row>
    <row r="63" spans="1:7" s="1" customFormat="1" ht="29.25" customHeight="1">
      <c r="A63" s="11"/>
      <c r="B63" s="226"/>
      <c r="C63" s="226">
        <v>2</v>
      </c>
      <c r="D63" s="17"/>
      <c r="E63" s="9"/>
      <c r="F63" s="2"/>
      <c r="G63" s="2"/>
    </row>
    <row r="64" spans="1:7" s="1" customFormat="1" ht="29.25" customHeight="1">
      <c r="A64" s="11"/>
      <c r="B64" s="226"/>
      <c r="C64" s="226">
        <v>3</v>
      </c>
      <c r="D64" s="17"/>
      <c r="E64" s="9"/>
      <c r="F64" s="2"/>
      <c r="G64" s="2"/>
    </row>
    <row r="65" spans="1:7" s="1" customFormat="1" ht="29.25" customHeight="1">
      <c r="A65" s="11"/>
      <c r="B65" s="226"/>
      <c r="C65" s="226">
        <v>4</v>
      </c>
      <c r="D65" s="17"/>
      <c r="E65" s="9"/>
      <c r="F65" s="2"/>
      <c r="G65" s="2"/>
    </row>
    <row r="66" spans="1:7" s="1" customFormat="1" ht="29.25" customHeight="1" thickBot="1">
      <c r="A66" s="11"/>
      <c r="B66" s="226"/>
      <c r="C66" s="226">
        <v>5</v>
      </c>
      <c r="D66" s="18"/>
      <c r="E66" s="9"/>
      <c r="F66" s="2"/>
      <c r="G66" s="2"/>
    </row>
    <row r="67" spans="1:7" ht="29.25" customHeight="1">
      <c r="A67" s="14" t="s">
        <v>485</v>
      </c>
      <c r="B67" s="225" t="s">
        <v>753</v>
      </c>
      <c r="C67" s="225">
        <v>1</v>
      </c>
      <c r="D67" s="19"/>
    </row>
    <row r="68" spans="1:7" s="1" customFormat="1" ht="29.25" customHeight="1">
      <c r="A68" s="11"/>
      <c r="B68" s="226"/>
      <c r="C68" s="226">
        <v>2</v>
      </c>
      <c r="D68" s="17"/>
      <c r="E68" s="9"/>
      <c r="F68" s="2"/>
      <c r="G68" s="2"/>
    </row>
    <row r="69" spans="1:7" s="1" customFormat="1" ht="29.25" customHeight="1">
      <c r="A69" s="11"/>
      <c r="B69" s="226"/>
      <c r="C69" s="226">
        <v>3</v>
      </c>
      <c r="D69" s="17"/>
      <c r="E69" s="9"/>
      <c r="F69" s="2"/>
      <c r="G69" s="2"/>
    </row>
    <row r="70" spans="1:7" s="1" customFormat="1" ht="29.25" customHeight="1">
      <c r="A70" s="11"/>
      <c r="B70" s="226"/>
      <c r="C70" s="226">
        <v>4</v>
      </c>
      <c r="D70" s="17"/>
      <c r="E70" s="9"/>
      <c r="F70" s="2"/>
      <c r="G70" s="2"/>
    </row>
    <row r="71" spans="1:7" s="1" customFormat="1" ht="29.25" customHeight="1" thickBot="1">
      <c r="A71" s="15"/>
      <c r="B71" s="227"/>
      <c r="C71" s="227">
        <v>5</v>
      </c>
      <c r="D71" s="20"/>
      <c r="E71" s="9"/>
      <c r="F71" s="2"/>
      <c r="G71" s="2"/>
    </row>
    <row r="72" spans="1:7" ht="29.25" customHeight="1">
      <c r="A72" s="11" t="s">
        <v>486</v>
      </c>
      <c r="B72" s="226" t="s">
        <v>598</v>
      </c>
      <c r="C72" s="226">
        <v>1</v>
      </c>
      <c r="D72" s="21"/>
    </row>
    <row r="73" spans="1:7" s="1" customFormat="1" ht="29.25" customHeight="1">
      <c r="A73" s="11"/>
      <c r="B73" s="226"/>
      <c r="C73" s="226">
        <v>2</v>
      </c>
      <c r="D73" s="17"/>
      <c r="E73" s="9"/>
      <c r="F73" s="2"/>
      <c r="G73" s="2"/>
    </row>
    <row r="74" spans="1:7" s="1" customFormat="1" ht="29.25" customHeight="1">
      <c r="A74" s="11"/>
      <c r="B74" s="226"/>
      <c r="C74" s="226">
        <v>3</v>
      </c>
      <c r="D74" s="17"/>
      <c r="E74" s="9"/>
      <c r="F74" s="2"/>
      <c r="G74" s="2"/>
    </row>
    <row r="75" spans="1:7" s="1" customFormat="1" ht="29.25" customHeight="1">
      <c r="A75" s="11"/>
      <c r="B75" s="226"/>
      <c r="C75" s="226">
        <v>4</v>
      </c>
      <c r="D75" s="17"/>
      <c r="E75" s="9"/>
      <c r="F75" s="2"/>
      <c r="G75" s="2"/>
    </row>
    <row r="76" spans="1:7" s="1" customFormat="1" ht="29.25" customHeight="1" thickBot="1">
      <c r="A76" s="11"/>
      <c r="B76" s="226"/>
      <c r="C76" s="226">
        <v>5</v>
      </c>
      <c r="D76" s="18"/>
      <c r="E76" s="9"/>
      <c r="F76" s="2"/>
      <c r="G76" s="2"/>
    </row>
    <row r="77" spans="1:7" ht="29.25" customHeight="1">
      <c r="A77" s="14" t="s">
        <v>486</v>
      </c>
      <c r="B77" s="225" t="s">
        <v>764</v>
      </c>
      <c r="C77" s="225">
        <v>1</v>
      </c>
      <c r="D77" s="19"/>
    </row>
    <row r="78" spans="1:7" s="1" customFormat="1" ht="29.25" customHeight="1">
      <c r="A78" s="11"/>
      <c r="B78" s="226"/>
      <c r="C78" s="226">
        <v>2</v>
      </c>
      <c r="D78" s="17"/>
      <c r="E78" s="9"/>
      <c r="F78" s="2"/>
      <c r="G78" s="2"/>
    </row>
    <row r="79" spans="1:7" s="1" customFormat="1" ht="29.25" customHeight="1">
      <c r="A79" s="11"/>
      <c r="B79" s="226"/>
      <c r="C79" s="226">
        <v>3</v>
      </c>
      <c r="D79" s="17"/>
      <c r="E79" s="9"/>
      <c r="F79" s="2"/>
      <c r="G79" s="2"/>
    </row>
    <row r="80" spans="1:7" s="1" customFormat="1" ht="29.25" customHeight="1">
      <c r="A80" s="11"/>
      <c r="B80" s="226"/>
      <c r="C80" s="226">
        <v>4</v>
      </c>
      <c r="D80" s="17"/>
      <c r="E80" s="9"/>
      <c r="F80" s="2"/>
      <c r="G80" s="2"/>
    </row>
    <row r="81" spans="1:7" s="1" customFormat="1" ht="29.25" customHeight="1" thickBot="1">
      <c r="A81" s="15"/>
      <c r="B81" s="227"/>
      <c r="C81" s="227">
        <v>5</v>
      </c>
      <c r="D81" s="20"/>
      <c r="E81" s="9"/>
      <c r="F81" s="2"/>
      <c r="G81" s="2"/>
    </row>
    <row r="82" spans="1:7" ht="29.25" customHeight="1">
      <c r="A82" s="11" t="s">
        <v>952</v>
      </c>
      <c r="B82" s="226" t="s">
        <v>765</v>
      </c>
      <c r="C82" s="226">
        <v>1</v>
      </c>
      <c r="D82" s="21"/>
    </row>
    <row r="83" spans="1:7" s="1" customFormat="1" ht="29.25" customHeight="1">
      <c r="A83" s="11"/>
      <c r="B83" s="226"/>
      <c r="C83" s="226">
        <v>2</v>
      </c>
      <c r="D83" s="17"/>
      <c r="E83" s="9"/>
      <c r="F83" s="2"/>
      <c r="G83" s="2"/>
    </row>
    <row r="84" spans="1:7" s="1" customFormat="1" ht="29.25" customHeight="1">
      <c r="A84" s="11"/>
      <c r="B84" s="226"/>
      <c r="C84" s="226">
        <v>3</v>
      </c>
      <c r="D84" s="17"/>
      <c r="E84" s="9"/>
      <c r="F84" s="2"/>
      <c r="G84" s="2"/>
    </row>
    <row r="85" spans="1:7" s="1" customFormat="1" ht="29.25" customHeight="1">
      <c r="A85" s="11"/>
      <c r="B85" s="226"/>
      <c r="C85" s="226">
        <v>4</v>
      </c>
      <c r="D85" s="17"/>
      <c r="E85" s="9"/>
      <c r="F85" s="2"/>
      <c r="G85" s="2"/>
    </row>
    <row r="86" spans="1:7" s="1" customFormat="1" ht="29.25" customHeight="1" thickBot="1">
      <c r="A86" s="11"/>
      <c r="B86" s="226"/>
      <c r="C86" s="226">
        <v>5</v>
      </c>
      <c r="D86" s="18"/>
      <c r="E86" s="9"/>
      <c r="F86" s="2"/>
      <c r="G86" s="2"/>
    </row>
    <row r="87" spans="1:7" ht="29.25" customHeight="1">
      <c r="A87" s="14" t="s">
        <v>487</v>
      </c>
      <c r="B87" s="225" t="s">
        <v>599</v>
      </c>
      <c r="C87" s="225">
        <v>1</v>
      </c>
      <c r="D87" s="19"/>
    </row>
    <row r="88" spans="1:7" s="1" customFormat="1" ht="29.25" customHeight="1">
      <c r="A88" s="11"/>
      <c r="B88" s="226"/>
      <c r="C88" s="226">
        <v>2</v>
      </c>
      <c r="D88" s="17"/>
      <c r="E88" s="9"/>
      <c r="F88" s="2"/>
      <c r="G88" s="2"/>
    </row>
    <row r="89" spans="1:7" s="1" customFormat="1" ht="29.25" customHeight="1">
      <c r="A89" s="11"/>
      <c r="B89" s="226"/>
      <c r="C89" s="226">
        <v>3</v>
      </c>
      <c r="D89" s="17"/>
      <c r="E89" s="9"/>
      <c r="F89" s="2"/>
      <c r="G89" s="2"/>
    </row>
    <row r="90" spans="1:7" s="1" customFormat="1" ht="29.25" customHeight="1">
      <c r="A90" s="11"/>
      <c r="B90" s="226"/>
      <c r="C90" s="226">
        <v>4</v>
      </c>
      <c r="D90" s="17"/>
      <c r="E90" s="9"/>
      <c r="F90" s="2"/>
      <c r="G90" s="2"/>
    </row>
    <row r="91" spans="1:7" s="1" customFormat="1" ht="29.25" customHeight="1" thickBot="1">
      <c r="A91" s="15"/>
      <c r="B91" s="227"/>
      <c r="C91" s="227">
        <v>5</v>
      </c>
      <c r="D91" s="20"/>
      <c r="E91" s="9"/>
      <c r="F91" s="2"/>
      <c r="G91" s="2"/>
    </row>
    <row r="92" spans="1:7" ht="29.25" customHeight="1">
      <c r="A92" s="14" t="s">
        <v>767</v>
      </c>
      <c r="B92" s="225" t="s">
        <v>594</v>
      </c>
      <c r="C92" s="225">
        <v>1</v>
      </c>
      <c r="D92" s="19"/>
    </row>
    <row r="93" spans="1:7" s="1" customFormat="1" ht="29.25" customHeight="1">
      <c r="A93" s="11"/>
      <c r="B93" s="226"/>
      <c r="C93" s="226">
        <v>2</v>
      </c>
      <c r="D93" s="17"/>
      <c r="E93" s="9"/>
      <c r="F93" s="2"/>
      <c r="G93" s="2"/>
    </row>
    <row r="94" spans="1:7" s="1" customFormat="1" ht="29.25" customHeight="1">
      <c r="A94" s="11"/>
      <c r="B94" s="226"/>
      <c r="C94" s="226">
        <v>3</v>
      </c>
      <c r="D94" s="17"/>
      <c r="E94" s="9"/>
      <c r="F94" s="2"/>
      <c r="G94" s="2"/>
    </row>
    <row r="95" spans="1:7" s="1" customFormat="1" ht="29.25" customHeight="1">
      <c r="A95" s="11"/>
      <c r="B95" s="226"/>
      <c r="C95" s="226">
        <v>4</v>
      </c>
      <c r="D95" s="17"/>
      <c r="E95" s="9"/>
      <c r="F95" s="2"/>
      <c r="G95" s="2"/>
    </row>
    <row r="96" spans="1:7" s="1" customFormat="1" ht="29.25" customHeight="1" thickBot="1">
      <c r="A96" s="15"/>
      <c r="B96" s="227"/>
      <c r="C96" s="227">
        <v>5</v>
      </c>
      <c r="D96" s="20"/>
      <c r="E96" s="9"/>
      <c r="F96" s="2"/>
      <c r="G96" s="2"/>
    </row>
    <row r="97" spans="1:7" ht="29.25" customHeight="1">
      <c r="A97" s="11" t="s">
        <v>768</v>
      </c>
      <c r="B97" s="226" t="s">
        <v>756</v>
      </c>
      <c r="C97" s="226">
        <v>1</v>
      </c>
      <c r="D97" s="21"/>
    </row>
    <row r="98" spans="1:7" s="1" customFormat="1" ht="29.25" customHeight="1">
      <c r="A98" s="11"/>
      <c r="B98" s="226"/>
      <c r="C98" s="226">
        <v>2</v>
      </c>
      <c r="D98" s="17"/>
      <c r="E98" s="9"/>
      <c r="F98" s="2"/>
      <c r="G98" s="2"/>
    </row>
    <row r="99" spans="1:7" s="1" customFormat="1" ht="29.25" customHeight="1">
      <c r="A99" s="11"/>
      <c r="B99" s="226"/>
      <c r="C99" s="226">
        <v>3</v>
      </c>
      <c r="D99" s="17"/>
      <c r="E99" s="9"/>
      <c r="F99" s="2"/>
      <c r="G99" s="2"/>
    </row>
    <row r="100" spans="1:7" s="1" customFormat="1" ht="29.25" customHeight="1">
      <c r="A100" s="11"/>
      <c r="B100" s="226"/>
      <c r="C100" s="226">
        <v>4</v>
      </c>
      <c r="D100" s="17"/>
      <c r="E100" s="9"/>
      <c r="F100" s="2"/>
      <c r="G100" s="2"/>
    </row>
    <row r="101" spans="1:7" s="1" customFormat="1" ht="29.25" customHeight="1" thickBot="1">
      <c r="A101" s="11"/>
      <c r="B101" s="226"/>
      <c r="C101" s="226">
        <v>5</v>
      </c>
      <c r="D101" s="18"/>
      <c r="E101" s="9"/>
      <c r="F101" s="2"/>
      <c r="G101" s="2"/>
    </row>
    <row r="102" spans="1:7" ht="29.25" customHeight="1">
      <c r="A102" s="14" t="s">
        <v>962</v>
      </c>
      <c r="B102" s="225" t="s">
        <v>755</v>
      </c>
      <c r="C102" s="225">
        <v>1</v>
      </c>
      <c r="D102" s="19"/>
    </row>
    <row r="103" spans="1:7" s="1" customFormat="1" ht="29.25" customHeight="1">
      <c r="A103" s="11"/>
      <c r="B103" s="226"/>
      <c r="C103" s="226">
        <v>2</v>
      </c>
      <c r="D103" s="17"/>
      <c r="E103" s="9"/>
      <c r="F103" s="2"/>
      <c r="G103" s="2"/>
    </row>
    <row r="104" spans="1:7" s="1" customFormat="1" ht="29.25" customHeight="1">
      <c r="A104" s="11"/>
      <c r="B104" s="226"/>
      <c r="C104" s="226">
        <v>3</v>
      </c>
      <c r="D104" s="17"/>
      <c r="E104" s="9"/>
      <c r="F104" s="2"/>
      <c r="G104" s="2"/>
    </row>
    <row r="105" spans="1:7" s="1" customFormat="1" ht="29.25" customHeight="1">
      <c r="A105" s="11"/>
      <c r="B105" s="226"/>
      <c r="C105" s="226">
        <v>4</v>
      </c>
      <c r="D105" s="17"/>
      <c r="E105" s="9"/>
      <c r="F105" s="2"/>
      <c r="G105" s="2"/>
    </row>
    <row r="106" spans="1:7" s="1" customFormat="1" ht="29.25" customHeight="1" thickBot="1">
      <c r="A106" s="15"/>
      <c r="B106" s="227"/>
      <c r="C106" s="227">
        <v>5</v>
      </c>
      <c r="D106" s="20"/>
      <c r="E106" s="9"/>
      <c r="F106" s="2"/>
      <c r="G106" s="2"/>
    </row>
    <row r="107" spans="1:7" ht="29.25" customHeight="1">
      <c r="A107" s="14" t="s">
        <v>944</v>
      </c>
      <c r="B107" s="225" t="s">
        <v>610</v>
      </c>
      <c r="C107" s="225">
        <v>1</v>
      </c>
      <c r="D107" s="19"/>
    </row>
    <row r="108" spans="1:7" s="1" customFormat="1" ht="29.25" customHeight="1">
      <c r="A108" s="11"/>
      <c r="B108" s="226"/>
      <c r="C108" s="226">
        <v>2</v>
      </c>
      <c r="D108" s="17"/>
      <c r="E108" s="9"/>
      <c r="F108" s="2"/>
      <c r="G108" s="2"/>
    </row>
    <row r="109" spans="1:7" s="1" customFormat="1" ht="29.25" customHeight="1">
      <c r="A109" s="11"/>
      <c r="B109" s="226"/>
      <c r="C109" s="226">
        <v>3</v>
      </c>
      <c r="D109" s="17"/>
      <c r="E109" s="9"/>
      <c r="F109" s="2"/>
      <c r="G109" s="2"/>
    </row>
    <row r="110" spans="1:7" s="1" customFormat="1" ht="29.25" customHeight="1">
      <c r="A110" s="11"/>
      <c r="B110" s="226"/>
      <c r="C110" s="226">
        <v>4</v>
      </c>
      <c r="D110" s="17"/>
      <c r="E110" s="9"/>
      <c r="F110" s="2"/>
      <c r="G110" s="2"/>
    </row>
    <row r="111" spans="1:7" s="1" customFormat="1" ht="29.25" customHeight="1" thickBot="1">
      <c r="A111" s="15"/>
      <c r="B111" s="227"/>
      <c r="C111" s="227">
        <v>5</v>
      </c>
      <c r="D111" s="20"/>
      <c r="E111" s="9"/>
      <c r="F111" s="2"/>
      <c r="G111" s="2"/>
    </row>
    <row r="112" spans="1:7" ht="29.25" customHeight="1">
      <c r="A112" s="14" t="s">
        <v>946</v>
      </c>
      <c r="B112" s="225" t="s">
        <v>606</v>
      </c>
      <c r="C112" s="225">
        <v>1</v>
      </c>
      <c r="D112" s="19"/>
    </row>
    <row r="113" spans="1:7" s="1" customFormat="1" ht="29.25" customHeight="1">
      <c r="A113" s="11"/>
      <c r="B113" s="226"/>
      <c r="C113" s="226">
        <v>2</v>
      </c>
      <c r="D113" s="17"/>
      <c r="E113" s="9"/>
      <c r="F113" s="2"/>
      <c r="G113" s="2"/>
    </row>
    <row r="114" spans="1:7" s="1" customFormat="1" ht="29.25" customHeight="1">
      <c r="A114" s="11"/>
      <c r="B114" s="226"/>
      <c r="C114" s="226">
        <v>3</v>
      </c>
      <c r="D114" s="17"/>
      <c r="E114" s="9"/>
      <c r="F114" s="2"/>
      <c r="G114" s="2"/>
    </row>
    <row r="115" spans="1:7" s="1" customFormat="1" ht="29.25" customHeight="1">
      <c r="A115" s="11"/>
      <c r="B115" s="226"/>
      <c r="C115" s="226">
        <v>4</v>
      </c>
      <c r="D115" s="17"/>
      <c r="E115" s="9"/>
      <c r="F115" s="2"/>
      <c r="G115" s="2"/>
    </row>
    <row r="116" spans="1:7" s="1" customFormat="1" ht="29.25" customHeight="1" thickBot="1">
      <c r="A116" s="15"/>
      <c r="B116" s="227"/>
      <c r="C116" s="227">
        <v>5</v>
      </c>
      <c r="D116" s="20"/>
      <c r="E116" s="9"/>
      <c r="F116" s="2"/>
      <c r="G116" s="2"/>
    </row>
    <row r="117" spans="1:7" ht="29.25" customHeight="1">
      <c r="A117" s="14" t="s">
        <v>750</v>
      </c>
      <c r="B117" s="225" t="s">
        <v>757</v>
      </c>
      <c r="C117" s="225">
        <v>1</v>
      </c>
      <c r="D117" s="19"/>
    </row>
    <row r="118" spans="1:7" s="1" customFormat="1" ht="29.25" customHeight="1">
      <c r="A118" s="11"/>
      <c r="B118" s="226"/>
      <c r="C118" s="226">
        <v>2</v>
      </c>
      <c r="D118" s="17"/>
      <c r="E118" s="9"/>
      <c r="F118" s="2"/>
      <c r="G118" s="2"/>
    </row>
    <row r="119" spans="1:7" s="1" customFormat="1" ht="29.25" customHeight="1">
      <c r="A119" s="11"/>
      <c r="B119" s="226"/>
      <c r="C119" s="226">
        <v>3</v>
      </c>
      <c r="D119" s="17"/>
      <c r="E119" s="9"/>
      <c r="F119" s="2"/>
      <c r="G119" s="2"/>
    </row>
    <row r="120" spans="1:7" s="1" customFormat="1" ht="29.25" customHeight="1">
      <c r="A120" s="11"/>
      <c r="B120" s="226"/>
      <c r="C120" s="226">
        <v>4</v>
      </c>
      <c r="D120" s="17"/>
      <c r="E120" s="9"/>
      <c r="F120" s="2"/>
      <c r="G120" s="2"/>
    </row>
    <row r="121" spans="1:7" s="1" customFormat="1" ht="29.25" customHeight="1" thickBot="1">
      <c r="A121" s="15"/>
      <c r="B121" s="227"/>
      <c r="C121" s="227">
        <v>5</v>
      </c>
      <c r="D121" s="20"/>
      <c r="E121" s="9"/>
      <c r="F121" s="2"/>
      <c r="G121" s="2"/>
    </row>
    <row r="122" spans="1:7" ht="29.25" customHeight="1">
      <c r="A122" s="14" t="s">
        <v>751</v>
      </c>
      <c r="B122" s="225" t="s">
        <v>611</v>
      </c>
      <c r="C122" s="225">
        <v>1</v>
      </c>
      <c r="D122" s="16"/>
    </row>
    <row r="123" spans="1:7" ht="29.25" customHeight="1">
      <c r="A123" s="11"/>
      <c r="B123" s="226"/>
      <c r="C123" s="226">
        <v>2</v>
      </c>
      <c r="D123" s="17"/>
    </row>
    <row r="124" spans="1:7" ht="29.25" customHeight="1">
      <c r="A124" s="11"/>
      <c r="B124" s="226"/>
      <c r="C124" s="226">
        <v>3</v>
      </c>
      <c r="D124" s="17"/>
    </row>
    <row r="125" spans="1:7" ht="29.25" customHeight="1">
      <c r="A125" s="11"/>
      <c r="B125" s="226"/>
      <c r="C125" s="226">
        <v>4</v>
      </c>
      <c r="D125" s="17"/>
    </row>
    <row r="126" spans="1:7" ht="29.25" customHeight="1" thickBot="1">
      <c r="A126" s="11"/>
      <c r="B126" s="226"/>
      <c r="C126" s="226">
        <v>5</v>
      </c>
      <c r="D126" s="18"/>
    </row>
    <row r="127" spans="1:7" ht="29.25" customHeight="1">
      <c r="A127" s="14" t="s">
        <v>751</v>
      </c>
      <c r="B127" s="225" t="s">
        <v>759</v>
      </c>
      <c r="C127" s="225">
        <v>1</v>
      </c>
      <c r="D127" s="19"/>
    </row>
    <row r="128" spans="1:7" ht="29.25" customHeight="1">
      <c r="A128" s="11"/>
      <c r="B128" s="226"/>
      <c r="C128" s="226">
        <v>2</v>
      </c>
      <c r="D128" s="17"/>
    </row>
    <row r="129" spans="1:4" ht="29.25" customHeight="1">
      <c r="A129" s="11"/>
      <c r="B129" s="226"/>
      <c r="C129" s="226">
        <v>3</v>
      </c>
      <c r="D129" s="17"/>
    </row>
    <row r="130" spans="1:4" ht="29.25" customHeight="1">
      <c r="A130" s="11"/>
      <c r="B130" s="226"/>
      <c r="C130" s="226">
        <v>4</v>
      </c>
      <c r="D130" s="17"/>
    </row>
    <row r="131" spans="1:4" ht="29.25" customHeight="1" thickBot="1">
      <c r="A131" s="15"/>
      <c r="B131" s="227"/>
      <c r="C131" s="227">
        <v>5</v>
      </c>
      <c r="D131" s="20"/>
    </row>
    <row r="132" spans="1:4" ht="29.25" customHeight="1">
      <c r="A132" s="11" t="s">
        <v>949</v>
      </c>
      <c r="B132" s="226" t="s">
        <v>601</v>
      </c>
      <c r="C132" s="226">
        <v>1</v>
      </c>
      <c r="D132" s="21"/>
    </row>
    <row r="133" spans="1:4" ht="29.25" customHeight="1">
      <c r="A133" s="11"/>
      <c r="B133" s="226"/>
      <c r="C133" s="226">
        <v>2</v>
      </c>
      <c r="D133" s="17"/>
    </row>
    <row r="134" spans="1:4" ht="29.25" customHeight="1">
      <c r="A134" s="11"/>
      <c r="B134" s="226"/>
      <c r="C134" s="226">
        <v>3</v>
      </c>
      <c r="D134" s="17"/>
    </row>
    <row r="135" spans="1:4" ht="29.25" customHeight="1">
      <c r="A135" s="11"/>
      <c r="B135" s="226"/>
      <c r="C135" s="226">
        <v>4</v>
      </c>
      <c r="D135" s="17"/>
    </row>
    <row r="136" spans="1:4" ht="29.25" customHeight="1" thickBot="1">
      <c r="A136" s="11"/>
      <c r="B136" s="226"/>
      <c r="C136" s="226">
        <v>5</v>
      </c>
      <c r="D136" s="18"/>
    </row>
    <row r="137" spans="1:4" ht="29.25" customHeight="1">
      <c r="A137" s="14" t="s">
        <v>949</v>
      </c>
      <c r="B137" s="225" t="s">
        <v>597</v>
      </c>
      <c r="C137" s="225">
        <v>1</v>
      </c>
      <c r="D137" s="19"/>
    </row>
    <row r="138" spans="1:4" ht="29.25" customHeight="1">
      <c r="A138" s="11"/>
      <c r="B138" s="226"/>
      <c r="C138" s="226">
        <v>2</v>
      </c>
      <c r="D138" s="17"/>
    </row>
    <row r="139" spans="1:4" ht="29.25" customHeight="1">
      <c r="A139" s="11"/>
      <c r="B139" s="226"/>
      <c r="C139" s="226">
        <v>3</v>
      </c>
      <c r="D139" s="17"/>
    </row>
    <row r="140" spans="1:4" ht="29.25" customHeight="1">
      <c r="A140" s="11"/>
      <c r="B140" s="226"/>
      <c r="C140" s="226">
        <v>4</v>
      </c>
      <c r="D140" s="17"/>
    </row>
    <row r="141" spans="1:4" ht="29.25" customHeight="1" thickBot="1">
      <c r="A141" s="15"/>
      <c r="B141" s="227"/>
      <c r="C141" s="227">
        <v>5</v>
      </c>
      <c r="D141" s="20"/>
    </row>
    <row r="142" spans="1:4" ht="29.25" customHeight="1">
      <c r="A142" s="11" t="s">
        <v>949</v>
      </c>
      <c r="B142" s="226" t="s">
        <v>602</v>
      </c>
      <c r="C142" s="226">
        <v>1</v>
      </c>
      <c r="D142" s="21"/>
    </row>
    <row r="143" spans="1:4" ht="29.25" customHeight="1">
      <c r="A143" s="11"/>
      <c r="B143" s="226"/>
      <c r="C143" s="226">
        <v>2</v>
      </c>
      <c r="D143" s="17"/>
    </row>
    <row r="144" spans="1:4" ht="29.25" customHeight="1">
      <c r="A144" s="11"/>
      <c r="B144" s="226"/>
      <c r="C144" s="226">
        <v>3</v>
      </c>
      <c r="D144" s="17"/>
    </row>
    <row r="145" spans="1:4" ht="29.25" customHeight="1">
      <c r="A145" s="11"/>
      <c r="B145" s="226"/>
      <c r="C145" s="226">
        <v>4</v>
      </c>
      <c r="D145" s="17"/>
    </row>
    <row r="146" spans="1:4" ht="29.25" customHeight="1" thickBot="1">
      <c r="A146" s="11"/>
      <c r="B146" s="226"/>
      <c r="C146" s="226">
        <v>5</v>
      </c>
      <c r="D146" s="18"/>
    </row>
    <row r="147" spans="1:4" ht="29.25" customHeight="1">
      <c r="A147" s="14" t="s">
        <v>949</v>
      </c>
      <c r="B147" s="225" t="s">
        <v>758</v>
      </c>
      <c r="C147" s="225">
        <v>1</v>
      </c>
      <c r="D147" s="19"/>
    </row>
    <row r="148" spans="1:4" ht="29.25" customHeight="1">
      <c r="A148" s="11"/>
      <c r="B148" s="226"/>
      <c r="C148" s="226">
        <v>2</v>
      </c>
      <c r="D148" s="17"/>
    </row>
    <row r="149" spans="1:4" ht="29.25" customHeight="1">
      <c r="A149" s="11"/>
      <c r="B149" s="226"/>
      <c r="C149" s="226">
        <v>3</v>
      </c>
      <c r="D149" s="17"/>
    </row>
    <row r="150" spans="1:4" ht="29.25" customHeight="1">
      <c r="A150" s="11"/>
      <c r="B150" s="226"/>
      <c r="C150" s="226">
        <v>4</v>
      </c>
      <c r="D150" s="17"/>
    </row>
    <row r="151" spans="1:4" ht="29.25" customHeight="1" thickBot="1">
      <c r="A151" s="15"/>
      <c r="B151" s="227"/>
      <c r="C151" s="227">
        <v>5</v>
      </c>
      <c r="D151" s="20"/>
    </row>
    <row r="152" spans="1:4" ht="29.25" customHeight="1">
      <c r="A152" s="14" t="s">
        <v>488</v>
      </c>
      <c r="B152" s="225" t="s">
        <v>603</v>
      </c>
      <c r="C152" s="225">
        <v>1</v>
      </c>
      <c r="D152" s="19"/>
    </row>
    <row r="153" spans="1:4" ht="29.25" customHeight="1">
      <c r="A153" s="11"/>
      <c r="B153" s="226"/>
      <c r="C153" s="226">
        <v>2</v>
      </c>
      <c r="D153" s="17"/>
    </row>
    <row r="154" spans="1:4" ht="29.25" customHeight="1">
      <c r="A154" s="11"/>
      <c r="B154" s="226"/>
      <c r="C154" s="226">
        <v>3</v>
      </c>
      <c r="D154" s="17"/>
    </row>
    <row r="155" spans="1:4" ht="29.25" customHeight="1">
      <c r="A155" s="11"/>
      <c r="B155" s="226"/>
      <c r="C155" s="226">
        <v>4</v>
      </c>
      <c r="D155" s="17"/>
    </row>
    <row r="156" spans="1:4" ht="29.25" customHeight="1" thickBot="1">
      <c r="A156" s="15"/>
      <c r="B156" s="227"/>
      <c r="C156" s="227">
        <v>5</v>
      </c>
      <c r="D156" s="20"/>
    </row>
    <row r="157" spans="1:4" ht="29.25" customHeight="1">
      <c r="A157" s="11" t="s">
        <v>752</v>
      </c>
      <c r="B157" s="226" t="s">
        <v>605</v>
      </c>
      <c r="C157" s="226">
        <v>1</v>
      </c>
      <c r="D157" s="21"/>
    </row>
    <row r="158" spans="1:4" ht="29.25" customHeight="1">
      <c r="A158" s="11"/>
      <c r="B158" s="226"/>
      <c r="C158" s="226">
        <v>2</v>
      </c>
      <c r="D158" s="17"/>
    </row>
    <row r="159" spans="1:4" ht="29.25" customHeight="1">
      <c r="A159" s="11"/>
      <c r="B159" s="226"/>
      <c r="C159" s="226">
        <v>3</v>
      </c>
      <c r="D159" s="17"/>
    </row>
    <row r="160" spans="1:4" ht="29.25" customHeight="1">
      <c r="A160" s="11"/>
      <c r="B160" s="226"/>
      <c r="C160" s="226">
        <v>4</v>
      </c>
      <c r="D160" s="17"/>
    </row>
    <row r="161" spans="1:4" ht="29.25" customHeight="1" thickBot="1">
      <c r="A161" s="11"/>
      <c r="B161" s="226"/>
      <c r="C161" s="226">
        <v>5</v>
      </c>
      <c r="D161" s="18"/>
    </row>
    <row r="162" spans="1:4" ht="29.25" customHeight="1">
      <c r="A162" s="14" t="s">
        <v>752</v>
      </c>
      <c r="B162" s="225" t="s">
        <v>600</v>
      </c>
      <c r="C162" s="225">
        <v>1</v>
      </c>
      <c r="D162" s="19"/>
    </row>
    <row r="163" spans="1:4" ht="29.25" customHeight="1">
      <c r="A163" s="11"/>
      <c r="B163" s="226"/>
      <c r="C163" s="226">
        <v>2</v>
      </c>
      <c r="D163" s="17"/>
    </row>
    <row r="164" spans="1:4" ht="29.25" customHeight="1">
      <c r="A164" s="11"/>
      <c r="B164" s="226"/>
      <c r="C164" s="226">
        <v>3</v>
      </c>
      <c r="D164" s="17"/>
    </row>
    <row r="165" spans="1:4" ht="29.25" customHeight="1">
      <c r="A165" s="11"/>
      <c r="B165" s="226"/>
      <c r="C165" s="226">
        <v>4</v>
      </c>
      <c r="D165" s="17"/>
    </row>
    <row r="166" spans="1:4" ht="29.25" customHeight="1" thickBot="1">
      <c r="A166" s="15"/>
      <c r="B166" s="227"/>
      <c r="C166" s="227">
        <v>5</v>
      </c>
      <c r="D166" s="20"/>
    </row>
    <row r="167" spans="1:4" ht="29.25" customHeight="1">
      <c r="A167" s="14" t="s">
        <v>951</v>
      </c>
      <c r="B167" s="225" t="s">
        <v>604</v>
      </c>
      <c r="C167" s="225">
        <v>1</v>
      </c>
      <c r="D167" s="19"/>
    </row>
    <row r="168" spans="1:4" ht="29.25" customHeight="1">
      <c r="A168" s="11"/>
      <c r="B168" s="226"/>
      <c r="C168" s="226">
        <v>2</v>
      </c>
      <c r="D168" s="17"/>
    </row>
    <row r="169" spans="1:4" ht="29.25" customHeight="1">
      <c r="A169" s="11"/>
      <c r="B169" s="226"/>
      <c r="C169" s="226">
        <v>3</v>
      </c>
      <c r="D169" s="17"/>
    </row>
    <row r="170" spans="1:4" ht="29.25" customHeight="1">
      <c r="A170" s="11"/>
      <c r="B170" s="226"/>
      <c r="C170" s="226">
        <v>4</v>
      </c>
      <c r="D170" s="17"/>
    </row>
    <row r="171" spans="1:4" ht="29.25" customHeight="1" thickBot="1">
      <c r="A171" s="15"/>
      <c r="B171" s="227"/>
      <c r="C171" s="227">
        <v>5</v>
      </c>
      <c r="D171" s="20"/>
    </row>
    <row r="172" spans="1:4" ht="29.25" customHeight="1">
      <c r="A172" s="14" t="s">
        <v>951</v>
      </c>
      <c r="B172" s="225" t="s">
        <v>760</v>
      </c>
      <c r="C172" s="225">
        <v>1</v>
      </c>
      <c r="D172" s="19"/>
    </row>
    <row r="173" spans="1:4" ht="29.25" customHeight="1">
      <c r="A173" s="11"/>
      <c r="B173" s="226"/>
      <c r="C173" s="226">
        <v>2</v>
      </c>
      <c r="D173" s="17"/>
    </row>
    <row r="174" spans="1:4" ht="29.25" customHeight="1">
      <c r="A174" s="11"/>
      <c r="B174" s="226"/>
      <c r="C174" s="226">
        <v>3</v>
      </c>
      <c r="D174" s="17"/>
    </row>
    <row r="175" spans="1:4" ht="29.25" customHeight="1">
      <c r="A175" s="11"/>
      <c r="B175" s="226"/>
      <c r="C175" s="226">
        <v>4</v>
      </c>
      <c r="D175" s="17"/>
    </row>
    <row r="176" spans="1:4" ht="29.25" customHeight="1" thickBot="1">
      <c r="A176" s="15"/>
      <c r="B176" s="227"/>
      <c r="C176" s="227">
        <v>5</v>
      </c>
      <c r="D176" s="20"/>
    </row>
    <row r="177" spans="1:4" ht="29.25" customHeight="1">
      <c r="A177" s="14" t="s">
        <v>951</v>
      </c>
      <c r="B177" s="225" t="s">
        <v>607</v>
      </c>
      <c r="C177" s="225">
        <v>1</v>
      </c>
      <c r="D177" s="19"/>
    </row>
    <row r="178" spans="1:4" ht="29.25" customHeight="1">
      <c r="A178" s="11"/>
      <c r="B178" s="226"/>
      <c r="C178" s="226">
        <v>2</v>
      </c>
      <c r="D178" s="17"/>
    </row>
    <row r="179" spans="1:4" ht="29.25" customHeight="1">
      <c r="A179" s="11"/>
      <c r="B179" s="226"/>
      <c r="C179" s="226">
        <v>3</v>
      </c>
      <c r="D179" s="17"/>
    </row>
    <row r="180" spans="1:4" ht="29.25" customHeight="1">
      <c r="A180" s="11"/>
      <c r="B180" s="226"/>
      <c r="C180" s="226">
        <v>4</v>
      </c>
      <c r="D180" s="17"/>
    </row>
    <row r="181" spans="1:4" ht="29.25" customHeight="1" thickBot="1">
      <c r="A181" s="15"/>
      <c r="B181" s="227"/>
      <c r="C181" s="227">
        <v>5</v>
      </c>
      <c r="D181" s="20"/>
    </row>
    <row r="182" spans="1:4" ht="29.25" customHeight="1">
      <c r="A182" s="14" t="s">
        <v>951</v>
      </c>
      <c r="B182" s="225" t="s">
        <v>608</v>
      </c>
      <c r="C182" s="225">
        <v>1</v>
      </c>
      <c r="D182" s="16"/>
    </row>
    <row r="183" spans="1:4" ht="29.25" customHeight="1">
      <c r="A183" s="11"/>
      <c r="B183" s="226"/>
      <c r="C183" s="226">
        <v>2</v>
      </c>
      <c r="D183" s="17"/>
    </row>
    <row r="184" spans="1:4" ht="29.25" customHeight="1">
      <c r="A184" s="11"/>
      <c r="B184" s="226"/>
      <c r="C184" s="226">
        <v>3</v>
      </c>
      <c r="D184" s="17"/>
    </row>
    <row r="185" spans="1:4" ht="29.25" customHeight="1">
      <c r="A185" s="11"/>
      <c r="B185" s="226"/>
      <c r="C185" s="226">
        <v>4</v>
      </c>
      <c r="D185" s="17"/>
    </row>
    <row r="186" spans="1:4" ht="29.25" customHeight="1" thickBot="1">
      <c r="A186" s="11"/>
      <c r="B186" s="226"/>
      <c r="C186" s="226">
        <v>5</v>
      </c>
      <c r="D186" s="18"/>
    </row>
    <row r="187" spans="1:4" ht="29.25" customHeight="1">
      <c r="A187" s="14"/>
      <c r="B187" s="225"/>
      <c r="C187" s="225">
        <v>1</v>
      </c>
      <c r="D187" s="19"/>
    </row>
    <row r="188" spans="1:4" ht="29.25" customHeight="1">
      <c r="A188" s="11"/>
      <c r="B188" s="226"/>
      <c r="C188" s="226">
        <v>2</v>
      </c>
      <c r="D188" s="17"/>
    </row>
    <row r="189" spans="1:4" ht="29.25" customHeight="1">
      <c r="A189" s="11"/>
      <c r="B189" s="226"/>
      <c r="C189" s="226">
        <v>3</v>
      </c>
      <c r="D189" s="17"/>
    </row>
    <row r="190" spans="1:4" ht="29.25" customHeight="1">
      <c r="A190" s="11"/>
      <c r="B190" s="226"/>
      <c r="C190" s="226">
        <v>4</v>
      </c>
      <c r="D190" s="17"/>
    </row>
    <row r="191" spans="1:4" ht="29.25" customHeight="1" thickBot="1">
      <c r="A191" s="15"/>
      <c r="B191" s="227"/>
      <c r="C191" s="227">
        <v>5</v>
      </c>
      <c r="D191" s="20"/>
    </row>
    <row r="192" spans="1:4" ht="29.25" customHeight="1">
      <c r="A192" s="11"/>
      <c r="B192" s="226"/>
      <c r="C192" s="226">
        <v>1</v>
      </c>
      <c r="D192" s="21"/>
    </row>
    <row r="193" spans="1:4" ht="29.25" customHeight="1">
      <c r="A193" s="11"/>
      <c r="B193" s="226"/>
      <c r="C193" s="226">
        <v>2</v>
      </c>
      <c r="D193" s="17"/>
    </row>
    <row r="194" spans="1:4" ht="29.25" customHeight="1">
      <c r="A194" s="11"/>
      <c r="B194" s="226"/>
      <c r="C194" s="226">
        <v>3</v>
      </c>
      <c r="D194" s="17"/>
    </row>
    <row r="195" spans="1:4" ht="29.25" customHeight="1">
      <c r="A195" s="11"/>
      <c r="B195" s="226"/>
      <c r="C195" s="226">
        <v>4</v>
      </c>
      <c r="D195" s="17"/>
    </row>
    <row r="196" spans="1:4" ht="29.25" customHeight="1" thickBot="1">
      <c r="A196" s="11"/>
      <c r="B196" s="226"/>
      <c r="C196" s="226">
        <v>5</v>
      </c>
      <c r="D196" s="18"/>
    </row>
    <row r="197" spans="1:4" ht="29.25" customHeight="1">
      <c r="A197" s="14"/>
      <c r="B197" s="225"/>
      <c r="C197" s="225">
        <v>1</v>
      </c>
      <c r="D197" s="19"/>
    </row>
    <row r="198" spans="1:4" ht="29.25" customHeight="1">
      <c r="A198" s="11"/>
      <c r="B198" s="226"/>
      <c r="C198" s="226">
        <v>2</v>
      </c>
      <c r="D198" s="17"/>
    </row>
    <row r="199" spans="1:4" ht="29.25" customHeight="1">
      <c r="A199" s="11"/>
      <c r="B199" s="226"/>
      <c r="C199" s="226">
        <v>3</v>
      </c>
      <c r="D199" s="17"/>
    </row>
    <row r="200" spans="1:4" ht="29.25" customHeight="1">
      <c r="A200" s="11"/>
      <c r="B200" s="226"/>
      <c r="C200" s="226">
        <v>4</v>
      </c>
      <c r="D200" s="17"/>
    </row>
    <row r="201" spans="1:4" ht="29.25" customHeight="1" thickBot="1">
      <c r="A201" s="15"/>
      <c r="B201" s="227"/>
      <c r="C201" s="227">
        <v>5</v>
      </c>
      <c r="D201" s="20"/>
    </row>
    <row r="202" spans="1:4" ht="29.25" customHeight="1">
      <c r="A202" s="11"/>
      <c r="B202" s="226"/>
      <c r="C202" s="226">
        <v>1</v>
      </c>
      <c r="D202" s="21"/>
    </row>
    <row r="203" spans="1:4" ht="29.25" customHeight="1">
      <c r="A203" s="11"/>
      <c r="B203" s="226"/>
      <c r="C203" s="226">
        <v>2</v>
      </c>
      <c r="D203" s="17"/>
    </row>
    <row r="204" spans="1:4" ht="29.25" customHeight="1">
      <c r="A204" s="11"/>
      <c r="B204" s="226"/>
      <c r="C204" s="226">
        <v>3</v>
      </c>
      <c r="D204" s="17"/>
    </row>
    <row r="205" spans="1:4" ht="29.25" customHeight="1">
      <c r="A205" s="11"/>
      <c r="B205" s="226"/>
      <c r="C205" s="226">
        <v>4</v>
      </c>
      <c r="D205" s="17"/>
    </row>
    <row r="206" spans="1:4" ht="29.25" customHeight="1" thickBot="1">
      <c r="A206" s="11"/>
      <c r="B206" s="226"/>
      <c r="C206" s="226">
        <v>5</v>
      </c>
      <c r="D206" s="18"/>
    </row>
    <row r="207" spans="1:4" ht="29.25" customHeight="1">
      <c r="A207" s="14"/>
      <c r="B207" s="225"/>
      <c r="C207" s="225">
        <v>1</v>
      </c>
      <c r="D207" s="19"/>
    </row>
    <row r="208" spans="1:4" ht="29.25" customHeight="1">
      <c r="A208" s="11"/>
      <c r="B208" s="226"/>
      <c r="C208" s="226">
        <v>2</v>
      </c>
      <c r="D208" s="17"/>
    </row>
    <row r="209" spans="1:4" ht="29.25" customHeight="1">
      <c r="A209" s="11"/>
      <c r="B209" s="226"/>
      <c r="C209" s="226">
        <v>3</v>
      </c>
      <c r="D209" s="17"/>
    </row>
    <row r="210" spans="1:4" ht="29.25" customHeight="1">
      <c r="A210" s="11"/>
      <c r="B210" s="226"/>
      <c r="C210" s="226">
        <v>4</v>
      </c>
      <c r="D210" s="17"/>
    </row>
    <row r="211" spans="1:4" ht="29.25" customHeight="1" thickBot="1">
      <c r="A211" s="15"/>
      <c r="B211" s="227"/>
      <c r="C211" s="227">
        <v>5</v>
      </c>
      <c r="D211" s="20"/>
    </row>
    <row r="212" spans="1:4" ht="29.25" customHeight="1">
      <c r="A212" s="14"/>
      <c r="B212" s="225"/>
      <c r="C212" s="225">
        <v>1</v>
      </c>
      <c r="D212" s="19"/>
    </row>
    <row r="213" spans="1:4" ht="29.25" customHeight="1">
      <c r="A213" s="11"/>
      <c r="B213" s="226"/>
      <c r="C213" s="226">
        <v>2</v>
      </c>
      <c r="D213" s="17"/>
    </row>
    <row r="214" spans="1:4" ht="29.25" customHeight="1">
      <c r="A214" s="11"/>
      <c r="B214" s="226"/>
      <c r="C214" s="226">
        <v>3</v>
      </c>
      <c r="D214" s="17"/>
    </row>
    <row r="215" spans="1:4" ht="29.25" customHeight="1">
      <c r="A215" s="11"/>
      <c r="B215" s="226"/>
      <c r="C215" s="226">
        <v>4</v>
      </c>
      <c r="D215" s="17"/>
    </row>
    <row r="216" spans="1:4" ht="29.25" customHeight="1" thickBot="1">
      <c r="A216" s="15"/>
      <c r="B216" s="227"/>
      <c r="C216" s="227">
        <v>5</v>
      </c>
      <c r="D216" s="20"/>
    </row>
    <row r="217" spans="1:4" ht="29.25" customHeight="1">
      <c r="A217" s="11"/>
      <c r="B217" s="226"/>
      <c r="C217" s="226">
        <v>1</v>
      </c>
      <c r="D217" s="21"/>
    </row>
    <row r="218" spans="1:4" ht="29.25" customHeight="1">
      <c r="A218" s="11"/>
      <c r="B218" s="226"/>
      <c r="C218" s="226">
        <v>2</v>
      </c>
      <c r="D218" s="17"/>
    </row>
    <row r="219" spans="1:4" ht="29.25" customHeight="1">
      <c r="A219" s="11"/>
      <c r="B219" s="226"/>
      <c r="C219" s="226">
        <v>3</v>
      </c>
      <c r="D219" s="17"/>
    </row>
    <row r="220" spans="1:4" ht="29.25" customHeight="1">
      <c r="A220" s="11"/>
      <c r="B220" s="226"/>
      <c r="C220" s="226">
        <v>4</v>
      </c>
      <c r="D220" s="17"/>
    </row>
    <row r="221" spans="1:4" ht="29.25" customHeight="1" thickBot="1">
      <c r="A221" s="11"/>
      <c r="B221" s="226"/>
      <c r="C221" s="226">
        <v>5</v>
      </c>
      <c r="D221" s="18"/>
    </row>
    <row r="222" spans="1:4" ht="29.25" customHeight="1">
      <c r="A222" s="14"/>
      <c r="B222" s="225"/>
      <c r="C222" s="225">
        <v>1</v>
      </c>
      <c r="D222" s="19"/>
    </row>
    <row r="223" spans="1:4" ht="29.25" customHeight="1">
      <c r="A223" s="11"/>
      <c r="B223" s="226"/>
      <c r="C223" s="226">
        <v>2</v>
      </c>
      <c r="D223" s="17"/>
    </row>
    <row r="224" spans="1:4" ht="29.25" customHeight="1">
      <c r="A224" s="11"/>
      <c r="B224" s="226"/>
      <c r="C224" s="226">
        <v>3</v>
      </c>
      <c r="D224" s="17"/>
    </row>
    <row r="225" spans="1:4" ht="29.25" customHeight="1">
      <c r="A225" s="11"/>
      <c r="B225" s="226"/>
      <c r="C225" s="226">
        <v>4</v>
      </c>
      <c r="D225" s="17"/>
    </row>
    <row r="226" spans="1:4" ht="29.25" customHeight="1" thickBot="1">
      <c r="A226" s="15"/>
      <c r="B226" s="227"/>
      <c r="C226" s="227">
        <v>5</v>
      </c>
      <c r="D226" s="20"/>
    </row>
    <row r="227" spans="1:4" ht="29.25" customHeight="1">
      <c r="A227" s="14"/>
      <c r="B227" s="225"/>
      <c r="C227" s="225">
        <v>1</v>
      </c>
      <c r="D227" s="19"/>
    </row>
    <row r="228" spans="1:4" ht="29.25" customHeight="1">
      <c r="A228" s="11"/>
      <c r="B228" s="226"/>
      <c r="C228" s="226">
        <v>2</v>
      </c>
      <c r="D228" s="17"/>
    </row>
    <row r="229" spans="1:4" ht="29.25" customHeight="1">
      <c r="A229" s="11"/>
      <c r="B229" s="226"/>
      <c r="C229" s="226">
        <v>3</v>
      </c>
      <c r="D229" s="17"/>
    </row>
    <row r="230" spans="1:4" ht="29.25" customHeight="1">
      <c r="A230" s="11"/>
      <c r="B230" s="226"/>
      <c r="C230" s="226">
        <v>4</v>
      </c>
      <c r="D230" s="17"/>
    </row>
    <row r="231" spans="1:4" ht="29.25" customHeight="1" thickBot="1">
      <c r="A231" s="15"/>
      <c r="B231" s="227"/>
      <c r="C231" s="227">
        <v>5</v>
      </c>
      <c r="D231" s="20"/>
    </row>
    <row r="232" spans="1:4" ht="29.25" customHeight="1">
      <c r="A232" s="14"/>
      <c r="B232" s="225"/>
      <c r="C232" s="225">
        <v>1</v>
      </c>
      <c r="D232" s="19"/>
    </row>
    <row r="233" spans="1:4" ht="29.25" customHeight="1">
      <c r="A233" s="11"/>
      <c r="B233" s="226"/>
      <c r="C233" s="226">
        <v>2</v>
      </c>
      <c r="D233" s="17"/>
    </row>
    <row r="234" spans="1:4" ht="29.25" customHeight="1">
      <c r="A234" s="11"/>
      <c r="B234" s="226"/>
      <c r="C234" s="226">
        <v>3</v>
      </c>
      <c r="D234" s="17"/>
    </row>
    <row r="235" spans="1:4" ht="29.25" customHeight="1">
      <c r="A235" s="11"/>
      <c r="B235" s="226"/>
      <c r="C235" s="226">
        <v>4</v>
      </c>
      <c r="D235" s="17"/>
    </row>
    <row r="236" spans="1:4" ht="29.25" customHeight="1" thickBot="1">
      <c r="A236" s="15"/>
      <c r="B236" s="227"/>
      <c r="C236" s="227">
        <v>5</v>
      </c>
      <c r="D236" s="20"/>
    </row>
    <row r="237" spans="1:4" ht="29.25" customHeight="1">
      <c r="A237" s="14"/>
      <c r="B237" s="225"/>
      <c r="C237" s="225">
        <v>1</v>
      </c>
      <c r="D237" s="19"/>
    </row>
    <row r="238" spans="1:4" ht="29.25" customHeight="1">
      <c r="A238" s="11"/>
      <c r="B238" s="226"/>
      <c r="C238" s="226">
        <v>2</v>
      </c>
      <c r="D238" s="17"/>
    </row>
    <row r="239" spans="1:4" ht="29.25" customHeight="1">
      <c r="A239" s="11"/>
      <c r="B239" s="226"/>
      <c r="C239" s="226">
        <v>3</v>
      </c>
      <c r="D239" s="17"/>
    </row>
    <row r="240" spans="1:4" ht="29.25" customHeight="1">
      <c r="A240" s="11"/>
      <c r="B240" s="226"/>
      <c r="C240" s="226">
        <v>4</v>
      </c>
      <c r="D240" s="17"/>
    </row>
    <row r="241" spans="1:4" ht="29.25" customHeight="1" thickBot="1">
      <c r="A241" s="15"/>
      <c r="B241" s="227"/>
      <c r="C241" s="227">
        <v>5</v>
      </c>
      <c r="D241" s="20"/>
    </row>
    <row r="242" spans="1:4" ht="29.25" customHeight="1">
      <c r="A242" s="14"/>
      <c r="B242" s="225"/>
      <c r="C242" s="225">
        <v>1</v>
      </c>
      <c r="D242" s="16"/>
    </row>
    <row r="243" spans="1:4" ht="29.25" customHeight="1">
      <c r="A243" s="11"/>
      <c r="B243" s="226"/>
      <c r="C243" s="226">
        <v>2</v>
      </c>
      <c r="D243" s="17"/>
    </row>
    <row r="244" spans="1:4" ht="29.25" customHeight="1">
      <c r="A244" s="11"/>
      <c r="B244" s="226"/>
      <c r="C244" s="226">
        <v>3</v>
      </c>
      <c r="D244" s="17"/>
    </row>
    <row r="245" spans="1:4" ht="29.25" customHeight="1">
      <c r="A245" s="11"/>
      <c r="B245" s="226"/>
      <c r="C245" s="226">
        <v>4</v>
      </c>
      <c r="D245" s="17"/>
    </row>
    <row r="246" spans="1:4" ht="29.25" customHeight="1" thickBot="1">
      <c r="A246" s="11"/>
      <c r="B246" s="226"/>
      <c r="C246" s="226">
        <v>5</v>
      </c>
      <c r="D246" s="18"/>
    </row>
    <row r="247" spans="1:4" ht="29.25" customHeight="1">
      <c r="A247" s="14"/>
      <c r="B247" s="225"/>
      <c r="C247" s="225">
        <v>1</v>
      </c>
      <c r="D247" s="19"/>
    </row>
    <row r="248" spans="1:4" ht="29.25" customHeight="1">
      <c r="A248" s="11"/>
      <c r="B248" s="226"/>
      <c r="C248" s="226">
        <v>2</v>
      </c>
      <c r="D248" s="17"/>
    </row>
    <row r="249" spans="1:4" ht="29.25" customHeight="1">
      <c r="A249" s="11"/>
      <c r="B249" s="226"/>
      <c r="C249" s="226">
        <v>3</v>
      </c>
      <c r="D249" s="17"/>
    </row>
    <row r="250" spans="1:4" ht="29.25" customHeight="1">
      <c r="A250" s="11"/>
      <c r="B250" s="226"/>
      <c r="C250" s="226">
        <v>4</v>
      </c>
      <c r="D250" s="17"/>
    </row>
    <row r="251" spans="1:4" ht="29.25" customHeight="1" thickBot="1">
      <c r="A251" s="15"/>
      <c r="B251" s="227"/>
      <c r="C251" s="227">
        <v>5</v>
      </c>
      <c r="D251" s="20"/>
    </row>
    <row r="252" spans="1:4" ht="29.25" customHeight="1">
      <c r="A252" s="11"/>
      <c r="B252" s="226"/>
      <c r="C252" s="226">
        <v>1</v>
      </c>
      <c r="D252" s="21"/>
    </row>
    <row r="253" spans="1:4" ht="29.25" customHeight="1">
      <c r="A253" s="11"/>
      <c r="B253" s="226"/>
      <c r="C253" s="226">
        <v>2</v>
      </c>
      <c r="D253" s="17"/>
    </row>
    <row r="254" spans="1:4" ht="29.25" customHeight="1">
      <c r="A254" s="11"/>
      <c r="B254" s="226"/>
      <c r="C254" s="226">
        <v>3</v>
      </c>
      <c r="D254" s="17"/>
    </row>
    <row r="255" spans="1:4" ht="29.25" customHeight="1">
      <c r="A255" s="11"/>
      <c r="B255" s="226"/>
      <c r="C255" s="226">
        <v>4</v>
      </c>
      <c r="D255" s="17"/>
    </row>
    <row r="256" spans="1:4" ht="29.25" customHeight="1" thickBot="1">
      <c r="A256" s="11"/>
      <c r="B256" s="226"/>
      <c r="C256" s="226">
        <v>5</v>
      </c>
      <c r="D256" s="18"/>
    </row>
    <row r="257" spans="1:4" ht="29.25" customHeight="1">
      <c r="A257" s="14"/>
      <c r="B257" s="225"/>
      <c r="C257" s="225">
        <v>1</v>
      </c>
      <c r="D257" s="19"/>
    </row>
    <row r="258" spans="1:4" ht="29.25" customHeight="1">
      <c r="A258" s="11"/>
      <c r="B258" s="226"/>
      <c r="C258" s="226">
        <v>2</v>
      </c>
      <c r="D258" s="17"/>
    </row>
    <row r="259" spans="1:4" ht="29.25" customHeight="1">
      <c r="A259" s="11"/>
      <c r="B259" s="226"/>
      <c r="C259" s="226">
        <v>3</v>
      </c>
      <c r="D259" s="17"/>
    </row>
    <row r="260" spans="1:4" ht="29.25" customHeight="1">
      <c r="A260" s="11"/>
      <c r="B260" s="226"/>
      <c r="C260" s="226">
        <v>4</v>
      </c>
      <c r="D260" s="17"/>
    </row>
    <row r="261" spans="1:4" ht="29.25" customHeight="1" thickBot="1">
      <c r="A261" s="15"/>
      <c r="B261" s="227"/>
      <c r="C261" s="227">
        <v>5</v>
      </c>
      <c r="D261" s="20"/>
    </row>
    <row r="262" spans="1:4" ht="29.25" customHeight="1">
      <c r="A262" s="11"/>
      <c r="B262" s="226"/>
      <c r="C262" s="226">
        <v>1</v>
      </c>
      <c r="D262" s="21"/>
    </row>
    <row r="263" spans="1:4" ht="29.25" customHeight="1">
      <c r="A263" s="11"/>
      <c r="B263" s="226"/>
      <c r="C263" s="226">
        <v>2</v>
      </c>
      <c r="D263" s="17"/>
    </row>
    <row r="264" spans="1:4" ht="29.25" customHeight="1">
      <c r="A264" s="11"/>
      <c r="B264" s="226"/>
      <c r="C264" s="226">
        <v>3</v>
      </c>
      <c r="D264" s="17"/>
    </row>
    <row r="265" spans="1:4" ht="29.25" customHeight="1">
      <c r="A265" s="11"/>
      <c r="B265" s="226"/>
      <c r="C265" s="226">
        <v>4</v>
      </c>
      <c r="D265" s="17"/>
    </row>
    <row r="266" spans="1:4" ht="29.25" customHeight="1" thickBot="1">
      <c r="A266" s="11"/>
      <c r="B266" s="226"/>
      <c r="C266" s="226">
        <v>5</v>
      </c>
      <c r="D266" s="18"/>
    </row>
    <row r="267" spans="1:4" ht="29.25" customHeight="1">
      <c r="A267" s="14"/>
      <c r="B267" s="225"/>
      <c r="C267" s="225">
        <v>1</v>
      </c>
      <c r="D267" s="19"/>
    </row>
    <row r="268" spans="1:4" ht="29.25" customHeight="1">
      <c r="A268" s="11"/>
      <c r="B268" s="226"/>
      <c r="C268" s="226">
        <v>2</v>
      </c>
      <c r="D268" s="17"/>
    </row>
    <row r="269" spans="1:4" ht="29.25" customHeight="1">
      <c r="A269" s="11"/>
      <c r="B269" s="226"/>
      <c r="C269" s="226">
        <v>3</v>
      </c>
      <c r="D269" s="17"/>
    </row>
    <row r="270" spans="1:4" ht="29.25" customHeight="1">
      <c r="A270" s="11"/>
      <c r="B270" s="226"/>
      <c r="C270" s="226">
        <v>4</v>
      </c>
      <c r="D270" s="17"/>
    </row>
    <row r="271" spans="1:4" ht="29.25" customHeight="1" thickBot="1">
      <c r="A271" s="15"/>
      <c r="B271" s="227"/>
      <c r="C271" s="227">
        <v>5</v>
      </c>
      <c r="D271" s="20"/>
    </row>
    <row r="272" spans="1:4" ht="29.25" customHeight="1">
      <c r="A272" s="14"/>
      <c r="B272" s="225"/>
      <c r="C272" s="225">
        <v>1</v>
      </c>
      <c r="D272" s="19"/>
    </row>
    <row r="273" spans="1:4" ht="29.25" customHeight="1">
      <c r="A273" s="11"/>
      <c r="B273" s="226"/>
      <c r="C273" s="226">
        <v>2</v>
      </c>
      <c r="D273" s="17"/>
    </row>
    <row r="274" spans="1:4" ht="29.25" customHeight="1">
      <c r="A274" s="11"/>
      <c r="B274" s="226"/>
      <c r="C274" s="226">
        <v>3</v>
      </c>
      <c r="D274" s="17"/>
    </row>
    <row r="275" spans="1:4" ht="29.25" customHeight="1">
      <c r="A275" s="11"/>
      <c r="B275" s="226"/>
      <c r="C275" s="226">
        <v>4</v>
      </c>
      <c r="D275" s="17"/>
    </row>
    <row r="276" spans="1:4" ht="29.25" customHeight="1" thickBot="1">
      <c r="A276" s="15"/>
      <c r="B276" s="227"/>
      <c r="C276" s="227">
        <v>5</v>
      </c>
      <c r="D276" s="20"/>
    </row>
    <row r="277" spans="1:4" ht="29.25" customHeight="1">
      <c r="A277" s="11"/>
      <c r="B277" s="226"/>
      <c r="C277" s="226">
        <v>1</v>
      </c>
      <c r="D277" s="21"/>
    </row>
    <row r="278" spans="1:4" ht="29.25" customHeight="1">
      <c r="A278" s="11"/>
      <c r="B278" s="226"/>
      <c r="C278" s="226">
        <v>2</v>
      </c>
      <c r="D278" s="17"/>
    </row>
    <row r="279" spans="1:4" ht="29.25" customHeight="1">
      <c r="A279" s="11"/>
      <c r="B279" s="226"/>
      <c r="C279" s="226">
        <v>3</v>
      </c>
      <c r="D279" s="17"/>
    </row>
    <row r="280" spans="1:4" ht="29.25" customHeight="1">
      <c r="A280" s="11"/>
      <c r="B280" s="226"/>
      <c r="C280" s="226">
        <v>4</v>
      </c>
      <c r="D280" s="17"/>
    </row>
    <row r="281" spans="1:4" ht="29.25" customHeight="1" thickBot="1">
      <c r="A281" s="11"/>
      <c r="B281" s="226"/>
      <c r="C281" s="226">
        <v>5</v>
      </c>
      <c r="D281" s="18"/>
    </row>
    <row r="282" spans="1:4" ht="29.25" customHeight="1">
      <c r="A282" s="14"/>
      <c r="B282" s="225"/>
      <c r="C282" s="225">
        <v>1</v>
      </c>
      <c r="D282" s="19"/>
    </row>
    <row r="283" spans="1:4" ht="29.25" customHeight="1">
      <c r="A283" s="11"/>
      <c r="B283" s="226"/>
      <c r="C283" s="226">
        <v>2</v>
      </c>
      <c r="D283" s="17"/>
    </row>
    <row r="284" spans="1:4" ht="29.25" customHeight="1">
      <c r="A284" s="11"/>
      <c r="B284" s="226"/>
      <c r="C284" s="226">
        <v>3</v>
      </c>
      <c r="D284" s="17"/>
    </row>
    <row r="285" spans="1:4" ht="29.25" customHeight="1">
      <c r="A285" s="11"/>
      <c r="B285" s="226"/>
      <c r="C285" s="226">
        <v>4</v>
      </c>
      <c r="D285" s="17"/>
    </row>
    <row r="286" spans="1:4" ht="29.25" customHeight="1" thickBot="1">
      <c r="A286" s="15"/>
      <c r="B286" s="227"/>
      <c r="C286" s="227">
        <v>5</v>
      </c>
      <c r="D286" s="20"/>
    </row>
    <row r="287" spans="1:4" ht="29.25" customHeight="1">
      <c r="A287" s="14"/>
      <c r="B287" s="225"/>
      <c r="C287" s="225">
        <v>1</v>
      </c>
      <c r="D287" s="19"/>
    </row>
    <row r="288" spans="1:4" ht="29.25" customHeight="1">
      <c r="A288" s="11"/>
      <c r="B288" s="226"/>
      <c r="C288" s="226">
        <v>2</v>
      </c>
      <c r="D288" s="17"/>
    </row>
    <row r="289" spans="1:4" ht="29.25" customHeight="1">
      <c r="A289" s="11"/>
      <c r="B289" s="226"/>
      <c r="C289" s="226">
        <v>3</v>
      </c>
      <c r="D289" s="17"/>
    </row>
    <row r="290" spans="1:4" ht="29.25" customHeight="1">
      <c r="A290" s="11"/>
      <c r="B290" s="226"/>
      <c r="C290" s="226">
        <v>4</v>
      </c>
      <c r="D290" s="17"/>
    </row>
    <row r="291" spans="1:4" ht="29.25" customHeight="1" thickBot="1">
      <c r="A291" s="15"/>
      <c r="B291" s="227"/>
      <c r="C291" s="227">
        <v>5</v>
      </c>
      <c r="D291" s="20"/>
    </row>
    <row r="292" spans="1:4" ht="29.25" customHeight="1">
      <c r="A292" s="14"/>
      <c r="B292" s="225"/>
      <c r="C292" s="225">
        <v>1</v>
      </c>
      <c r="D292" s="19"/>
    </row>
    <row r="293" spans="1:4" ht="29.25" customHeight="1">
      <c r="A293" s="11"/>
      <c r="B293" s="226"/>
      <c r="C293" s="226">
        <v>2</v>
      </c>
      <c r="D293" s="17"/>
    </row>
    <row r="294" spans="1:4" ht="29.25" customHeight="1">
      <c r="A294" s="11"/>
      <c r="B294" s="226"/>
      <c r="C294" s="226">
        <v>3</v>
      </c>
      <c r="D294" s="17"/>
    </row>
    <row r="295" spans="1:4" ht="29.25" customHeight="1">
      <c r="A295" s="11"/>
      <c r="B295" s="226"/>
      <c r="C295" s="226">
        <v>4</v>
      </c>
      <c r="D295" s="17"/>
    </row>
    <row r="296" spans="1:4" ht="29.25" customHeight="1" thickBot="1">
      <c r="A296" s="15"/>
      <c r="B296" s="227"/>
      <c r="C296" s="227">
        <v>5</v>
      </c>
      <c r="D296" s="20"/>
    </row>
    <row r="297" spans="1:4" ht="29.25" customHeight="1">
      <c r="A297" s="14"/>
      <c r="B297" s="225"/>
      <c r="C297" s="225">
        <v>1</v>
      </c>
      <c r="D297" s="19"/>
    </row>
    <row r="298" spans="1:4" ht="29.25" customHeight="1">
      <c r="A298" s="11"/>
      <c r="B298" s="226"/>
      <c r="C298" s="226">
        <v>2</v>
      </c>
      <c r="D298" s="17"/>
    </row>
    <row r="299" spans="1:4" ht="29.25" customHeight="1">
      <c r="A299" s="11"/>
      <c r="B299" s="226"/>
      <c r="C299" s="226">
        <v>3</v>
      </c>
      <c r="D299" s="17"/>
    </row>
    <row r="300" spans="1:4" ht="29.25" customHeight="1">
      <c r="A300" s="11"/>
      <c r="B300" s="226"/>
      <c r="C300" s="226">
        <v>4</v>
      </c>
      <c r="D300" s="17"/>
    </row>
    <row r="301" spans="1:4" ht="29.25" customHeight="1" thickBot="1">
      <c r="A301" s="15"/>
      <c r="B301" s="227"/>
      <c r="C301" s="227">
        <v>5</v>
      </c>
      <c r="D301" s="20"/>
    </row>
    <row r="302" spans="1:4" ht="29.25" customHeight="1">
      <c r="A302" s="14"/>
      <c r="B302" s="225"/>
      <c r="C302" s="225">
        <v>1</v>
      </c>
      <c r="D302" s="16"/>
    </row>
    <row r="303" spans="1:4" ht="29.25" customHeight="1">
      <c r="A303" s="11"/>
      <c r="B303" s="226"/>
      <c r="C303" s="226">
        <v>2</v>
      </c>
      <c r="D303" s="17"/>
    </row>
    <row r="304" spans="1:4" ht="29.25" customHeight="1">
      <c r="A304" s="11"/>
      <c r="B304" s="226"/>
      <c r="C304" s="226">
        <v>3</v>
      </c>
      <c r="D304" s="17"/>
    </row>
    <row r="305" spans="1:4" ht="29.25" customHeight="1">
      <c r="A305" s="11"/>
      <c r="B305" s="226"/>
      <c r="C305" s="226">
        <v>4</v>
      </c>
      <c r="D305" s="17"/>
    </row>
    <row r="306" spans="1:4" ht="29.25" customHeight="1" thickBot="1">
      <c r="A306" s="11"/>
      <c r="B306" s="226"/>
      <c r="C306" s="226">
        <v>5</v>
      </c>
      <c r="D306" s="18"/>
    </row>
    <row r="307" spans="1:4" ht="29.25" customHeight="1">
      <c r="A307" s="14"/>
      <c r="B307" s="225"/>
      <c r="C307" s="225">
        <v>1</v>
      </c>
      <c r="D307" s="19"/>
    </row>
    <row r="308" spans="1:4" ht="29.25" customHeight="1">
      <c r="A308" s="11"/>
      <c r="B308" s="226"/>
      <c r="C308" s="226">
        <v>2</v>
      </c>
      <c r="D308" s="17"/>
    </row>
    <row r="309" spans="1:4" ht="29.25" customHeight="1">
      <c r="A309" s="11"/>
      <c r="B309" s="226"/>
      <c r="C309" s="226">
        <v>3</v>
      </c>
      <c r="D309" s="17"/>
    </row>
    <row r="310" spans="1:4" ht="29.25" customHeight="1">
      <c r="A310" s="11"/>
      <c r="B310" s="226"/>
      <c r="C310" s="226">
        <v>4</v>
      </c>
      <c r="D310" s="17"/>
    </row>
    <row r="311" spans="1:4" ht="29.25" customHeight="1" thickBot="1">
      <c r="A311" s="15"/>
      <c r="B311" s="227"/>
      <c r="C311" s="227">
        <v>5</v>
      </c>
      <c r="D311" s="20"/>
    </row>
    <row r="312" spans="1:4" ht="29.25" customHeight="1">
      <c r="A312" s="11"/>
      <c r="B312" s="226"/>
      <c r="C312" s="226">
        <v>1</v>
      </c>
      <c r="D312" s="21"/>
    </row>
    <row r="313" spans="1:4" ht="29.25" customHeight="1">
      <c r="A313" s="11"/>
      <c r="B313" s="226"/>
      <c r="C313" s="226">
        <v>2</v>
      </c>
      <c r="D313" s="17"/>
    </row>
    <row r="314" spans="1:4" ht="29.25" customHeight="1">
      <c r="A314" s="11"/>
      <c r="B314" s="226"/>
      <c r="C314" s="226">
        <v>3</v>
      </c>
      <c r="D314" s="17"/>
    </row>
    <row r="315" spans="1:4" ht="29.25" customHeight="1">
      <c r="A315" s="11"/>
      <c r="B315" s="226"/>
      <c r="C315" s="226">
        <v>4</v>
      </c>
      <c r="D315" s="17"/>
    </row>
    <row r="316" spans="1:4" ht="29.25" customHeight="1" thickBot="1">
      <c r="A316" s="11"/>
      <c r="B316" s="226"/>
      <c r="C316" s="226">
        <v>5</v>
      </c>
      <c r="D316" s="18"/>
    </row>
    <row r="317" spans="1:4" ht="29.25" customHeight="1">
      <c r="A317" s="14"/>
      <c r="B317" s="225"/>
      <c r="C317" s="225">
        <v>1</v>
      </c>
      <c r="D317" s="19"/>
    </row>
    <row r="318" spans="1:4" ht="29.25" customHeight="1">
      <c r="A318" s="11"/>
      <c r="B318" s="226"/>
      <c r="C318" s="226">
        <v>2</v>
      </c>
      <c r="D318" s="17"/>
    </row>
    <row r="319" spans="1:4" ht="29.25" customHeight="1">
      <c r="A319" s="11"/>
      <c r="B319" s="226"/>
      <c r="C319" s="226">
        <v>3</v>
      </c>
      <c r="D319" s="17"/>
    </row>
    <row r="320" spans="1:4" ht="29.25" customHeight="1">
      <c r="A320" s="11"/>
      <c r="B320" s="226"/>
      <c r="C320" s="226">
        <v>4</v>
      </c>
      <c r="D320" s="17"/>
    </row>
    <row r="321" spans="1:4" ht="29.25" customHeight="1" thickBot="1">
      <c r="A321" s="15"/>
      <c r="B321" s="227"/>
      <c r="C321" s="227">
        <v>5</v>
      </c>
      <c r="D321" s="20"/>
    </row>
    <row r="322" spans="1:4" ht="29.25" customHeight="1">
      <c r="A322" s="11"/>
      <c r="B322" s="226"/>
      <c r="C322" s="226">
        <v>1</v>
      </c>
      <c r="D322" s="21"/>
    </row>
    <row r="323" spans="1:4" ht="29.25" customHeight="1">
      <c r="A323" s="11"/>
      <c r="B323" s="226"/>
      <c r="C323" s="226">
        <v>2</v>
      </c>
      <c r="D323" s="17"/>
    </row>
    <row r="324" spans="1:4" ht="29.25" customHeight="1">
      <c r="A324" s="11"/>
      <c r="B324" s="226"/>
      <c r="C324" s="226">
        <v>3</v>
      </c>
      <c r="D324" s="17"/>
    </row>
    <row r="325" spans="1:4" ht="29.25" customHeight="1">
      <c r="A325" s="11"/>
      <c r="B325" s="226"/>
      <c r="C325" s="226">
        <v>4</v>
      </c>
      <c r="D325" s="17"/>
    </row>
    <row r="326" spans="1:4" ht="29.25" customHeight="1" thickBot="1">
      <c r="A326" s="11"/>
      <c r="B326" s="226"/>
      <c r="C326" s="226">
        <v>5</v>
      </c>
      <c r="D326" s="18"/>
    </row>
    <row r="327" spans="1:4" ht="29.25" customHeight="1">
      <c r="A327" s="14"/>
      <c r="B327" s="225"/>
      <c r="C327" s="225">
        <v>1</v>
      </c>
      <c r="D327" s="19"/>
    </row>
    <row r="328" spans="1:4" ht="29.25" customHeight="1">
      <c r="A328" s="11"/>
      <c r="B328" s="226"/>
      <c r="C328" s="226">
        <v>2</v>
      </c>
      <c r="D328" s="17"/>
    </row>
    <row r="329" spans="1:4" ht="29.25" customHeight="1">
      <c r="A329" s="11"/>
      <c r="B329" s="226"/>
      <c r="C329" s="226">
        <v>3</v>
      </c>
      <c r="D329" s="17"/>
    </row>
    <row r="330" spans="1:4" ht="29.25" customHeight="1">
      <c r="A330" s="11"/>
      <c r="B330" s="226"/>
      <c r="C330" s="226">
        <v>4</v>
      </c>
      <c r="D330" s="17"/>
    </row>
    <row r="331" spans="1:4" ht="29.25" customHeight="1" thickBot="1">
      <c r="A331" s="15"/>
      <c r="B331" s="227"/>
      <c r="C331" s="227">
        <v>5</v>
      </c>
      <c r="D331" s="20"/>
    </row>
    <row r="332" spans="1:4" ht="29.25" customHeight="1">
      <c r="A332" s="14"/>
      <c r="B332" s="225"/>
      <c r="C332" s="225">
        <v>1</v>
      </c>
      <c r="D332" s="19"/>
    </row>
    <row r="333" spans="1:4" ht="29.25" customHeight="1">
      <c r="A333" s="11"/>
      <c r="B333" s="226"/>
      <c r="C333" s="226">
        <v>2</v>
      </c>
      <c r="D333" s="17"/>
    </row>
    <row r="334" spans="1:4" ht="29.25" customHeight="1">
      <c r="A334" s="11"/>
      <c r="B334" s="226"/>
      <c r="C334" s="226">
        <v>3</v>
      </c>
      <c r="D334" s="17"/>
    </row>
    <row r="335" spans="1:4" ht="29.25" customHeight="1">
      <c r="A335" s="11"/>
      <c r="B335" s="226"/>
      <c r="C335" s="226">
        <v>4</v>
      </c>
      <c r="D335" s="17"/>
    </row>
    <row r="336" spans="1:4" ht="29.25" customHeight="1" thickBot="1">
      <c r="A336" s="15"/>
      <c r="B336" s="227"/>
      <c r="C336" s="227">
        <v>5</v>
      </c>
      <c r="D336" s="20"/>
    </row>
    <row r="337" spans="1:4" ht="29.25" customHeight="1">
      <c r="A337" s="11"/>
      <c r="B337" s="226"/>
      <c r="C337" s="226">
        <v>1</v>
      </c>
      <c r="D337" s="21"/>
    </row>
    <row r="338" spans="1:4" ht="29.25" customHeight="1">
      <c r="A338" s="11"/>
      <c r="B338" s="226"/>
      <c r="C338" s="226">
        <v>2</v>
      </c>
      <c r="D338" s="17"/>
    </row>
    <row r="339" spans="1:4" ht="29.25" customHeight="1">
      <c r="A339" s="11"/>
      <c r="B339" s="226"/>
      <c r="C339" s="226">
        <v>3</v>
      </c>
      <c r="D339" s="17"/>
    </row>
    <row r="340" spans="1:4" ht="29.25" customHeight="1">
      <c r="A340" s="11"/>
      <c r="B340" s="226"/>
      <c r="C340" s="226">
        <v>4</v>
      </c>
      <c r="D340" s="17"/>
    </row>
    <row r="341" spans="1:4" ht="29.25" customHeight="1" thickBot="1">
      <c r="A341" s="11"/>
      <c r="B341" s="226"/>
      <c r="C341" s="226">
        <v>5</v>
      </c>
      <c r="D341" s="18"/>
    </row>
    <row r="342" spans="1:4" ht="29.25" customHeight="1">
      <c r="A342" s="14"/>
      <c r="B342" s="225"/>
      <c r="C342" s="225">
        <v>1</v>
      </c>
      <c r="D342" s="19"/>
    </row>
    <row r="343" spans="1:4" ht="29.25" customHeight="1">
      <c r="A343" s="11"/>
      <c r="B343" s="226"/>
      <c r="C343" s="226">
        <v>2</v>
      </c>
      <c r="D343" s="17"/>
    </row>
    <row r="344" spans="1:4" ht="29.25" customHeight="1">
      <c r="A344" s="11"/>
      <c r="B344" s="226"/>
      <c r="C344" s="226">
        <v>3</v>
      </c>
      <c r="D344" s="17"/>
    </row>
    <row r="345" spans="1:4" ht="29.25" customHeight="1">
      <c r="A345" s="11"/>
      <c r="B345" s="226"/>
      <c r="C345" s="226">
        <v>4</v>
      </c>
      <c r="D345" s="17"/>
    </row>
    <row r="346" spans="1:4" ht="29.25" customHeight="1" thickBot="1">
      <c r="A346" s="15"/>
      <c r="B346" s="227"/>
      <c r="C346" s="227">
        <v>5</v>
      </c>
      <c r="D346" s="20"/>
    </row>
    <row r="347" spans="1:4" ht="29.25" customHeight="1">
      <c r="A347" s="14"/>
      <c r="B347" s="225"/>
      <c r="C347" s="225">
        <v>1</v>
      </c>
      <c r="D347" s="19"/>
    </row>
    <row r="348" spans="1:4" ht="29.25" customHeight="1">
      <c r="A348" s="11"/>
      <c r="B348" s="226"/>
      <c r="C348" s="226">
        <v>2</v>
      </c>
      <c r="D348" s="17"/>
    </row>
    <row r="349" spans="1:4" ht="29.25" customHeight="1">
      <c r="A349" s="11"/>
      <c r="B349" s="226"/>
      <c r="C349" s="226">
        <v>3</v>
      </c>
      <c r="D349" s="17"/>
    </row>
    <row r="350" spans="1:4" ht="29.25" customHeight="1">
      <c r="A350" s="11"/>
      <c r="B350" s="226"/>
      <c r="C350" s="226">
        <v>4</v>
      </c>
      <c r="D350" s="17"/>
    </row>
    <row r="351" spans="1:4" ht="29.25" customHeight="1" thickBot="1">
      <c r="A351" s="15"/>
      <c r="B351" s="227"/>
      <c r="C351" s="227">
        <v>5</v>
      </c>
      <c r="D351" s="20"/>
    </row>
    <row r="352" spans="1:4" ht="29.25" customHeight="1">
      <c r="A352" s="14"/>
      <c r="B352" s="225"/>
      <c r="C352" s="225">
        <v>1</v>
      </c>
      <c r="D352" s="19"/>
    </row>
    <row r="353" spans="1:4" ht="29.25" customHeight="1">
      <c r="A353" s="11"/>
      <c r="B353" s="226"/>
      <c r="C353" s="226">
        <v>2</v>
      </c>
      <c r="D353" s="17"/>
    </row>
    <row r="354" spans="1:4" ht="29.25" customHeight="1">
      <c r="A354" s="11"/>
      <c r="B354" s="226"/>
      <c r="C354" s="226">
        <v>3</v>
      </c>
      <c r="D354" s="17"/>
    </row>
    <row r="355" spans="1:4" ht="29.25" customHeight="1">
      <c r="A355" s="11"/>
      <c r="B355" s="226"/>
      <c r="C355" s="226">
        <v>4</v>
      </c>
      <c r="D355" s="17"/>
    </row>
    <row r="356" spans="1:4" ht="29.25" customHeight="1" thickBot="1">
      <c r="A356" s="15"/>
      <c r="B356" s="227"/>
      <c r="C356" s="227">
        <v>5</v>
      </c>
      <c r="D356" s="20"/>
    </row>
    <row r="357" spans="1:4" ht="29.25" customHeight="1">
      <c r="A357" s="14"/>
      <c r="B357" s="225"/>
      <c r="C357" s="225">
        <v>1</v>
      </c>
      <c r="D357" s="19"/>
    </row>
    <row r="358" spans="1:4" ht="29.25" customHeight="1">
      <c r="A358" s="11"/>
      <c r="B358" s="226"/>
      <c r="C358" s="226">
        <v>2</v>
      </c>
      <c r="D358" s="17"/>
    </row>
    <row r="359" spans="1:4" ht="29.25" customHeight="1">
      <c r="A359" s="11"/>
      <c r="B359" s="226"/>
      <c r="C359" s="226">
        <v>3</v>
      </c>
      <c r="D359" s="17"/>
    </row>
    <row r="360" spans="1:4" ht="29.25" customHeight="1">
      <c r="A360" s="11"/>
      <c r="B360" s="226"/>
      <c r="C360" s="226">
        <v>4</v>
      </c>
      <c r="D360" s="17"/>
    </row>
    <row r="361" spans="1:4" ht="29.25" customHeight="1" thickBot="1">
      <c r="A361" s="15"/>
      <c r="B361" s="227"/>
      <c r="C361" s="227">
        <v>5</v>
      </c>
      <c r="D361" s="20"/>
    </row>
    <row r="362" spans="1:4" ht="29.25" customHeight="1">
      <c r="A362" s="14"/>
      <c r="B362" s="225"/>
      <c r="C362" s="225">
        <v>1</v>
      </c>
      <c r="D362" s="16"/>
    </row>
    <row r="363" spans="1:4" ht="29.25" customHeight="1">
      <c r="A363" s="11"/>
      <c r="B363" s="226"/>
      <c r="C363" s="226">
        <v>2</v>
      </c>
      <c r="D363" s="17"/>
    </row>
    <row r="364" spans="1:4" ht="29.25" customHeight="1">
      <c r="A364" s="11"/>
      <c r="B364" s="226"/>
      <c r="C364" s="226">
        <v>3</v>
      </c>
      <c r="D364" s="17"/>
    </row>
    <row r="365" spans="1:4" ht="29.25" customHeight="1">
      <c r="A365" s="11"/>
      <c r="B365" s="226"/>
      <c r="C365" s="226">
        <v>4</v>
      </c>
      <c r="D365" s="17"/>
    </row>
    <row r="366" spans="1:4" ht="29.25" customHeight="1" thickBot="1">
      <c r="A366" s="11"/>
      <c r="B366" s="226"/>
      <c r="C366" s="226">
        <v>5</v>
      </c>
      <c r="D366" s="18"/>
    </row>
    <row r="367" spans="1:4" ht="29.25" customHeight="1">
      <c r="A367" s="14"/>
      <c r="B367" s="225"/>
      <c r="C367" s="225">
        <v>1</v>
      </c>
      <c r="D367" s="19"/>
    </row>
    <row r="368" spans="1:4" ht="29.25" customHeight="1">
      <c r="A368" s="11"/>
      <c r="B368" s="226"/>
      <c r="C368" s="226">
        <v>2</v>
      </c>
      <c r="D368" s="17"/>
    </row>
    <row r="369" spans="1:4" ht="29.25" customHeight="1">
      <c r="A369" s="11"/>
      <c r="B369" s="226"/>
      <c r="C369" s="226">
        <v>3</v>
      </c>
      <c r="D369" s="17"/>
    </row>
    <row r="370" spans="1:4" ht="29.25" customHeight="1">
      <c r="A370" s="11"/>
      <c r="B370" s="226"/>
      <c r="C370" s="226">
        <v>4</v>
      </c>
      <c r="D370" s="17"/>
    </row>
    <row r="371" spans="1:4" ht="29.25" customHeight="1" thickBot="1">
      <c r="A371" s="15"/>
      <c r="B371" s="227"/>
      <c r="C371" s="227">
        <v>5</v>
      </c>
      <c r="D371" s="20"/>
    </row>
    <row r="372" spans="1:4" ht="29.25" customHeight="1">
      <c r="A372" s="11"/>
      <c r="B372" s="226"/>
      <c r="C372" s="226">
        <v>1</v>
      </c>
      <c r="D372" s="21"/>
    </row>
    <row r="373" spans="1:4" ht="29.25" customHeight="1">
      <c r="A373" s="11"/>
      <c r="B373" s="226"/>
      <c r="C373" s="226">
        <v>2</v>
      </c>
      <c r="D373" s="17"/>
    </row>
    <row r="374" spans="1:4" ht="29.25" customHeight="1">
      <c r="A374" s="11"/>
      <c r="B374" s="226"/>
      <c r="C374" s="226">
        <v>3</v>
      </c>
      <c r="D374" s="17"/>
    </row>
    <row r="375" spans="1:4" ht="29.25" customHeight="1">
      <c r="A375" s="11"/>
      <c r="B375" s="226"/>
      <c r="C375" s="226">
        <v>4</v>
      </c>
      <c r="D375" s="17"/>
    </row>
    <row r="376" spans="1:4" ht="29.25" customHeight="1" thickBot="1">
      <c r="A376" s="11"/>
      <c r="B376" s="226"/>
      <c r="C376" s="226">
        <v>5</v>
      </c>
      <c r="D376" s="18"/>
    </row>
    <row r="377" spans="1:4" ht="29.25" customHeight="1">
      <c r="A377" s="14"/>
      <c r="B377" s="225"/>
      <c r="C377" s="225">
        <v>1</v>
      </c>
      <c r="D377" s="19"/>
    </row>
    <row r="378" spans="1:4" ht="29.25" customHeight="1">
      <c r="A378" s="11"/>
      <c r="B378" s="226"/>
      <c r="C378" s="226">
        <v>2</v>
      </c>
      <c r="D378" s="17"/>
    </row>
    <row r="379" spans="1:4" ht="29.25" customHeight="1">
      <c r="A379" s="11"/>
      <c r="B379" s="226"/>
      <c r="C379" s="226">
        <v>3</v>
      </c>
      <c r="D379" s="17"/>
    </row>
    <row r="380" spans="1:4" ht="29.25" customHeight="1">
      <c r="A380" s="11"/>
      <c r="B380" s="226"/>
      <c r="C380" s="226">
        <v>4</v>
      </c>
      <c r="D380" s="17"/>
    </row>
    <row r="381" spans="1:4" ht="29.25" customHeight="1" thickBot="1">
      <c r="A381" s="15"/>
      <c r="B381" s="227"/>
      <c r="C381" s="227">
        <v>5</v>
      </c>
      <c r="D381" s="20"/>
    </row>
    <row r="382" spans="1:4" ht="29.25" customHeight="1">
      <c r="A382" s="11"/>
      <c r="B382" s="226"/>
      <c r="C382" s="226">
        <v>1</v>
      </c>
      <c r="D382" s="21"/>
    </row>
    <row r="383" spans="1:4" ht="29.25" customHeight="1">
      <c r="A383" s="11"/>
      <c r="B383" s="226"/>
      <c r="C383" s="226">
        <v>2</v>
      </c>
      <c r="D383" s="17"/>
    </row>
    <row r="384" spans="1:4" ht="29.25" customHeight="1">
      <c r="A384" s="11"/>
      <c r="B384" s="226"/>
      <c r="C384" s="226">
        <v>3</v>
      </c>
      <c r="D384" s="17"/>
    </row>
    <row r="385" spans="1:4" ht="29.25" customHeight="1">
      <c r="A385" s="11"/>
      <c r="B385" s="226"/>
      <c r="C385" s="226">
        <v>4</v>
      </c>
      <c r="D385" s="17"/>
    </row>
    <row r="386" spans="1:4" ht="29.25" customHeight="1" thickBot="1">
      <c r="A386" s="11"/>
      <c r="B386" s="226"/>
      <c r="C386" s="226">
        <v>5</v>
      </c>
      <c r="D386" s="18"/>
    </row>
    <row r="387" spans="1:4" ht="29.25" customHeight="1">
      <c r="A387" s="14"/>
      <c r="B387" s="225"/>
      <c r="C387" s="225">
        <v>1</v>
      </c>
      <c r="D387" s="19"/>
    </row>
    <row r="388" spans="1:4" ht="29.25" customHeight="1">
      <c r="A388" s="11"/>
      <c r="B388" s="226"/>
      <c r="C388" s="226">
        <v>2</v>
      </c>
      <c r="D388" s="17"/>
    </row>
    <row r="389" spans="1:4" ht="29.25" customHeight="1">
      <c r="A389" s="11"/>
      <c r="B389" s="226"/>
      <c r="C389" s="226">
        <v>3</v>
      </c>
      <c r="D389" s="17"/>
    </row>
    <row r="390" spans="1:4" ht="29.25" customHeight="1">
      <c r="A390" s="11"/>
      <c r="B390" s="226"/>
      <c r="C390" s="226">
        <v>4</v>
      </c>
      <c r="D390" s="17"/>
    </row>
    <row r="391" spans="1:4" ht="29.25" customHeight="1" thickBot="1">
      <c r="A391" s="15"/>
      <c r="B391" s="227"/>
      <c r="C391" s="227">
        <v>5</v>
      </c>
      <c r="D391" s="20"/>
    </row>
    <row r="392" spans="1:4" ht="29.25" customHeight="1">
      <c r="A392" s="14"/>
      <c r="B392" s="225"/>
      <c r="C392" s="225">
        <v>1</v>
      </c>
      <c r="D392" s="19"/>
    </row>
    <row r="393" spans="1:4" ht="29.25" customHeight="1">
      <c r="A393" s="11"/>
      <c r="B393" s="226"/>
      <c r="C393" s="226">
        <v>2</v>
      </c>
      <c r="D393" s="17"/>
    </row>
    <row r="394" spans="1:4" ht="29.25" customHeight="1">
      <c r="A394" s="11"/>
      <c r="B394" s="226"/>
      <c r="C394" s="226">
        <v>3</v>
      </c>
      <c r="D394" s="17"/>
    </row>
    <row r="395" spans="1:4" ht="29.25" customHeight="1">
      <c r="A395" s="11"/>
      <c r="B395" s="226"/>
      <c r="C395" s="226">
        <v>4</v>
      </c>
      <c r="D395" s="17"/>
    </row>
    <row r="396" spans="1:4" ht="29.25" customHeight="1" thickBot="1">
      <c r="A396" s="15"/>
      <c r="B396" s="227"/>
      <c r="C396" s="227">
        <v>5</v>
      </c>
      <c r="D396" s="20"/>
    </row>
    <row r="397" spans="1:4" ht="29.25" customHeight="1">
      <c r="A397" s="11"/>
      <c r="B397" s="226"/>
      <c r="C397" s="226">
        <v>1</v>
      </c>
      <c r="D397" s="21"/>
    </row>
    <row r="398" spans="1:4" ht="29.25" customHeight="1">
      <c r="A398" s="11"/>
      <c r="B398" s="226"/>
      <c r="C398" s="226">
        <v>2</v>
      </c>
      <c r="D398" s="17"/>
    </row>
    <row r="399" spans="1:4" ht="29.25" customHeight="1">
      <c r="A399" s="11"/>
      <c r="B399" s="226"/>
      <c r="C399" s="226">
        <v>3</v>
      </c>
      <c r="D399" s="17"/>
    </row>
    <row r="400" spans="1:4" ht="29.25" customHeight="1">
      <c r="A400" s="11"/>
      <c r="B400" s="226"/>
      <c r="C400" s="226">
        <v>4</v>
      </c>
      <c r="D400" s="17"/>
    </row>
    <row r="401" spans="1:4" ht="29.25" customHeight="1" thickBot="1">
      <c r="A401" s="11"/>
      <c r="B401" s="226"/>
      <c r="C401" s="226">
        <v>5</v>
      </c>
      <c r="D401" s="18"/>
    </row>
    <row r="402" spans="1:4" ht="29.25" customHeight="1">
      <c r="A402" s="14"/>
      <c r="B402" s="225"/>
      <c r="C402" s="225">
        <v>1</v>
      </c>
      <c r="D402" s="19"/>
    </row>
    <row r="403" spans="1:4" ht="29.25" customHeight="1">
      <c r="A403" s="11"/>
      <c r="B403" s="226"/>
      <c r="C403" s="226">
        <v>2</v>
      </c>
      <c r="D403" s="17"/>
    </row>
    <row r="404" spans="1:4" ht="29.25" customHeight="1">
      <c r="A404" s="11"/>
      <c r="B404" s="226"/>
      <c r="C404" s="226">
        <v>3</v>
      </c>
      <c r="D404" s="17"/>
    </row>
    <row r="405" spans="1:4" ht="29.25" customHeight="1">
      <c r="A405" s="11"/>
      <c r="B405" s="226"/>
      <c r="C405" s="226">
        <v>4</v>
      </c>
      <c r="D405" s="17"/>
    </row>
    <row r="406" spans="1:4" ht="29.25" customHeight="1" thickBot="1">
      <c r="A406" s="15"/>
      <c r="B406" s="227"/>
      <c r="C406" s="227">
        <v>5</v>
      </c>
      <c r="D406" s="20"/>
    </row>
    <row r="407" spans="1:4" ht="29.25" customHeight="1">
      <c r="A407" s="14"/>
      <c r="B407" s="225"/>
      <c r="C407" s="225">
        <v>1</v>
      </c>
      <c r="D407" s="19"/>
    </row>
    <row r="408" spans="1:4" ht="29.25" customHeight="1">
      <c r="A408" s="11"/>
      <c r="B408" s="226"/>
      <c r="C408" s="226">
        <v>2</v>
      </c>
      <c r="D408" s="17"/>
    </row>
    <row r="409" spans="1:4" ht="29.25" customHeight="1">
      <c r="A409" s="11"/>
      <c r="B409" s="226"/>
      <c r="C409" s="226">
        <v>3</v>
      </c>
      <c r="D409" s="17"/>
    </row>
    <row r="410" spans="1:4" ht="29.25" customHeight="1">
      <c r="A410" s="11"/>
      <c r="B410" s="226"/>
      <c r="C410" s="226">
        <v>4</v>
      </c>
      <c r="D410" s="17"/>
    </row>
    <row r="411" spans="1:4" ht="29.25" customHeight="1" thickBot="1">
      <c r="A411" s="15"/>
      <c r="B411" s="227"/>
      <c r="C411" s="227">
        <v>5</v>
      </c>
      <c r="D411" s="20"/>
    </row>
    <row r="412" spans="1:4" ht="29.25" customHeight="1">
      <c r="A412" s="14"/>
      <c r="B412" s="225"/>
      <c r="C412" s="225">
        <v>1</v>
      </c>
      <c r="D412" s="19"/>
    </row>
    <row r="413" spans="1:4" ht="29.25" customHeight="1">
      <c r="A413" s="11"/>
      <c r="B413" s="226"/>
      <c r="C413" s="226">
        <v>2</v>
      </c>
      <c r="D413" s="17"/>
    </row>
    <row r="414" spans="1:4" ht="29.25" customHeight="1">
      <c r="A414" s="11"/>
      <c r="B414" s="226"/>
      <c r="C414" s="226">
        <v>3</v>
      </c>
      <c r="D414" s="17"/>
    </row>
    <row r="415" spans="1:4" ht="29.25" customHeight="1">
      <c r="A415" s="11"/>
      <c r="B415" s="226"/>
      <c r="C415" s="226">
        <v>4</v>
      </c>
      <c r="D415" s="17"/>
    </row>
    <row r="416" spans="1:4" ht="29.25" customHeight="1" thickBot="1">
      <c r="A416" s="15"/>
      <c r="B416" s="227"/>
      <c r="C416" s="227">
        <v>5</v>
      </c>
      <c r="D416" s="20"/>
    </row>
    <row r="417" spans="1:4" ht="29.25" customHeight="1">
      <c r="A417" s="14"/>
      <c r="B417" s="225"/>
      <c r="C417" s="225">
        <v>1</v>
      </c>
      <c r="D417" s="19"/>
    </row>
    <row r="418" spans="1:4" ht="29.25" customHeight="1">
      <c r="A418" s="11"/>
      <c r="B418" s="226"/>
      <c r="C418" s="226">
        <v>2</v>
      </c>
      <c r="D418" s="17"/>
    </row>
    <row r="419" spans="1:4" ht="29.25" customHeight="1">
      <c r="A419" s="11"/>
      <c r="B419" s="226"/>
      <c r="C419" s="226">
        <v>3</v>
      </c>
      <c r="D419" s="17"/>
    </row>
    <row r="420" spans="1:4" ht="29.25" customHeight="1">
      <c r="A420" s="11"/>
      <c r="B420" s="226"/>
      <c r="C420" s="226">
        <v>4</v>
      </c>
      <c r="D420" s="17"/>
    </row>
    <row r="421" spans="1:4" ht="29.25" customHeight="1" thickBot="1">
      <c r="A421" s="15"/>
      <c r="B421" s="227"/>
      <c r="C421" s="227">
        <v>5</v>
      </c>
      <c r="D421" s="20"/>
    </row>
    <row r="422" spans="1:4" ht="29.25" customHeight="1">
      <c r="A422" s="14"/>
      <c r="B422" s="225"/>
      <c r="C422" s="225">
        <v>1</v>
      </c>
      <c r="D422" s="16"/>
    </row>
    <row r="423" spans="1:4" ht="29.25" customHeight="1">
      <c r="A423" s="11"/>
      <c r="B423" s="226"/>
      <c r="C423" s="226">
        <v>2</v>
      </c>
      <c r="D423" s="17"/>
    </row>
    <row r="424" spans="1:4" ht="29.25" customHeight="1">
      <c r="A424" s="11"/>
      <c r="B424" s="226"/>
      <c r="C424" s="226">
        <v>3</v>
      </c>
      <c r="D424" s="17"/>
    </row>
    <row r="425" spans="1:4" ht="29.25" customHeight="1">
      <c r="A425" s="11"/>
      <c r="B425" s="226"/>
      <c r="C425" s="226">
        <v>4</v>
      </c>
      <c r="D425" s="17"/>
    </row>
    <row r="426" spans="1:4" ht="29.25" customHeight="1" thickBot="1">
      <c r="A426" s="11"/>
      <c r="B426" s="226"/>
      <c r="C426" s="226">
        <v>5</v>
      </c>
      <c r="D426" s="18"/>
    </row>
    <row r="427" spans="1:4" ht="29.25" customHeight="1">
      <c r="A427" s="14"/>
      <c r="B427" s="225"/>
      <c r="C427" s="225">
        <v>1</v>
      </c>
      <c r="D427" s="19"/>
    </row>
    <row r="428" spans="1:4" ht="29.25" customHeight="1">
      <c r="A428" s="11"/>
      <c r="B428" s="226"/>
      <c r="C428" s="226">
        <v>2</v>
      </c>
      <c r="D428" s="17"/>
    </row>
    <row r="429" spans="1:4" ht="29.25" customHeight="1">
      <c r="A429" s="11"/>
      <c r="B429" s="226"/>
      <c r="C429" s="226">
        <v>3</v>
      </c>
      <c r="D429" s="17"/>
    </row>
    <row r="430" spans="1:4" ht="29.25" customHeight="1">
      <c r="A430" s="11"/>
      <c r="B430" s="226"/>
      <c r="C430" s="226">
        <v>4</v>
      </c>
      <c r="D430" s="17"/>
    </row>
    <row r="431" spans="1:4" ht="29.25" customHeight="1" thickBot="1">
      <c r="A431" s="15"/>
      <c r="B431" s="227"/>
      <c r="C431" s="227">
        <v>5</v>
      </c>
      <c r="D431" s="20"/>
    </row>
    <row r="432" spans="1:4" ht="29.25" customHeight="1">
      <c r="A432" s="11"/>
      <c r="B432" s="226"/>
      <c r="C432" s="226">
        <v>1</v>
      </c>
      <c r="D432" s="21"/>
    </row>
    <row r="433" spans="1:4" ht="29.25" customHeight="1">
      <c r="A433" s="11"/>
      <c r="B433" s="226"/>
      <c r="C433" s="226">
        <v>2</v>
      </c>
      <c r="D433" s="17"/>
    </row>
    <row r="434" spans="1:4" ht="29.25" customHeight="1">
      <c r="A434" s="11"/>
      <c r="B434" s="226"/>
      <c r="C434" s="226">
        <v>3</v>
      </c>
      <c r="D434" s="17"/>
    </row>
    <row r="435" spans="1:4" ht="29.25" customHeight="1">
      <c r="A435" s="11"/>
      <c r="B435" s="226"/>
      <c r="C435" s="226">
        <v>4</v>
      </c>
      <c r="D435" s="17"/>
    </row>
    <row r="436" spans="1:4" ht="29.25" customHeight="1" thickBot="1">
      <c r="A436" s="11"/>
      <c r="B436" s="226"/>
      <c r="C436" s="226">
        <v>5</v>
      </c>
      <c r="D436" s="18"/>
    </row>
    <row r="437" spans="1:4" ht="29.25" customHeight="1">
      <c r="A437" s="14"/>
      <c r="B437" s="225"/>
      <c r="C437" s="225">
        <v>1</v>
      </c>
      <c r="D437" s="19"/>
    </row>
    <row r="438" spans="1:4" ht="29.25" customHeight="1">
      <c r="A438" s="11"/>
      <c r="B438" s="226"/>
      <c r="C438" s="226">
        <v>2</v>
      </c>
      <c r="D438" s="17"/>
    </row>
    <row r="439" spans="1:4" ht="29.25" customHeight="1">
      <c r="A439" s="11"/>
      <c r="B439" s="226"/>
      <c r="C439" s="226">
        <v>3</v>
      </c>
      <c r="D439" s="17"/>
    </row>
    <row r="440" spans="1:4" ht="29.25" customHeight="1">
      <c r="A440" s="11"/>
      <c r="B440" s="226"/>
      <c r="C440" s="226">
        <v>4</v>
      </c>
      <c r="D440" s="17"/>
    </row>
    <row r="441" spans="1:4" ht="29.25" customHeight="1" thickBot="1">
      <c r="A441" s="15"/>
      <c r="B441" s="227"/>
      <c r="C441" s="227">
        <v>5</v>
      </c>
      <c r="D441" s="20"/>
    </row>
    <row r="442" spans="1:4" ht="29.25" customHeight="1">
      <c r="A442" s="11"/>
      <c r="B442" s="226"/>
      <c r="C442" s="226">
        <v>1</v>
      </c>
      <c r="D442" s="21"/>
    </row>
    <row r="443" spans="1:4" ht="29.25" customHeight="1">
      <c r="A443" s="11"/>
      <c r="B443" s="226"/>
      <c r="C443" s="226">
        <v>2</v>
      </c>
      <c r="D443" s="17"/>
    </row>
    <row r="444" spans="1:4" ht="29.25" customHeight="1">
      <c r="A444" s="11"/>
      <c r="B444" s="226"/>
      <c r="C444" s="226">
        <v>3</v>
      </c>
      <c r="D444" s="17"/>
    </row>
    <row r="445" spans="1:4" ht="29.25" customHeight="1">
      <c r="A445" s="11"/>
      <c r="B445" s="226"/>
      <c r="C445" s="226">
        <v>4</v>
      </c>
      <c r="D445" s="17"/>
    </row>
    <row r="446" spans="1:4" ht="29.25" customHeight="1" thickBot="1">
      <c r="A446" s="11"/>
      <c r="B446" s="226"/>
      <c r="C446" s="226">
        <v>5</v>
      </c>
      <c r="D446" s="18"/>
    </row>
    <row r="447" spans="1:4" ht="29.25" customHeight="1">
      <c r="A447" s="14"/>
      <c r="B447" s="225"/>
      <c r="C447" s="225">
        <v>1</v>
      </c>
      <c r="D447" s="19"/>
    </row>
    <row r="448" spans="1:4" ht="29.25" customHeight="1">
      <c r="A448" s="11"/>
      <c r="B448" s="226"/>
      <c r="C448" s="226">
        <v>2</v>
      </c>
      <c r="D448" s="17"/>
    </row>
    <row r="449" spans="1:4" ht="29.25" customHeight="1">
      <c r="A449" s="11"/>
      <c r="B449" s="226"/>
      <c r="C449" s="226">
        <v>3</v>
      </c>
      <c r="D449" s="17"/>
    </row>
    <row r="450" spans="1:4" ht="29.25" customHeight="1">
      <c r="A450" s="11"/>
      <c r="B450" s="226"/>
      <c r="C450" s="226">
        <v>4</v>
      </c>
      <c r="D450" s="17"/>
    </row>
    <row r="451" spans="1:4" ht="29.25" customHeight="1" thickBot="1">
      <c r="A451" s="15"/>
      <c r="B451" s="227"/>
      <c r="C451" s="227">
        <v>5</v>
      </c>
      <c r="D451" s="20"/>
    </row>
    <row r="452" spans="1:4" ht="29.25" customHeight="1">
      <c r="A452" s="14"/>
      <c r="B452" s="225"/>
      <c r="C452" s="225">
        <v>1</v>
      </c>
      <c r="D452" s="19"/>
    </row>
    <row r="453" spans="1:4" ht="29.25" customHeight="1">
      <c r="A453" s="11"/>
      <c r="B453" s="226"/>
      <c r="C453" s="226">
        <v>2</v>
      </c>
      <c r="D453" s="17"/>
    </row>
    <row r="454" spans="1:4" ht="29.25" customHeight="1">
      <c r="A454" s="11"/>
      <c r="B454" s="226"/>
      <c r="C454" s="226">
        <v>3</v>
      </c>
      <c r="D454" s="17"/>
    </row>
    <row r="455" spans="1:4" ht="29.25" customHeight="1">
      <c r="A455" s="11"/>
      <c r="B455" s="226"/>
      <c r="C455" s="226">
        <v>4</v>
      </c>
      <c r="D455" s="17"/>
    </row>
    <row r="456" spans="1:4" ht="29.25" customHeight="1" thickBot="1">
      <c r="A456" s="15"/>
      <c r="B456" s="227"/>
      <c r="C456" s="227">
        <v>5</v>
      </c>
      <c r="D456" s="20"/>
    </row>
    <row r="457" spans="1:4" ht="29.25" customHeight="1">
      <c r="A457" s="11"/>
      <c r="B457" s="226"/>
      <c r="C457" s="226">
        <v>1</v>
      </c>
      <c r="D457" s="21"/>
    </row>
    <row r="458" spans="1:4" ht="29.25" customHeight="1">
      <c r="A458" s="11"/>
      <c r="B458" s="226"/>
      <c r="C458" s="226">
        <v>2</v>
      </c>
      <c r="D458" s="17"/>
    </row>
    <row r="459" spans="1:4" ht="29.25" customHeight="1">
      <c r="A459" s="11"/>
      <c r="B459" s="226"/>
      <c r="C459" s="226">
        <v>3</v>
      </c>
      <c r="D459" s="17"/>
    </row>
    <row r="460" spans="1:4" ht="29.25" customHeight="1">
      <c r="A460" s="11"/>
      <c r="B460" s="226"/>
      <c r="C460" s="226">
        <v>4</v>
      </c>
      <c r="D460" s="17"/>
    </row>
    <row r="461" spans="1:4" ht="29.25" customHeight="1" thickBot="1">
      <c r="A461" s="11"/>
      <c r="B461" s="226"/>
      <c r="C461" s="226">
        <v>5</v>
      </c>
      <c r="D461" s="18"/>
    </row>
    <row r="462" spans="1:4" ht="29.25" customHeight="1">
      <c r="A462" s="14"/>
      <c r="B462" s="225"/>
      <c r="C462" s="225">
        <v>1</v>
      </c>
      <c r="D462" s="19"/>
    </row>
    <row r="463" spans="1:4" ht="29.25" customHeight="1">
      <c r="A463" s="11"/>
      <c r="B463" s="226"/>
      <c r="C463" s="226">
        <v>2</v>
      </c>
      <c r="D463" s="17"/>
    </row>
    <row r="464" spans="1:4" ht="29.25" customHeight="1">
      <c r="A464" s="11"/>
      <c r="B464" s="226"/>
      <c r="C464" s="226">
        <v>3</v>
      </c>
      <c r="D464" s="17"/>
    </row>
    <row r="465" spans="1:4" ht="29.25" customHeight="1">
      <c r="A465" s="11"/>
      <c r="B465" s="226"/>
      <c r="C465" s="226">
        <v>4</v>
      </c>
      <c r="D465" s="17"/>
    </row>
    <row r="466" spans="1:4" ht="29.25" customHeight="1" thickBot="1">
      <c r="A466" s="15"/>
      <c r="B466" s="227"/>
      <c r="C466" s="227">
        <v>5</v>
      </c>
      <c r="D466" s="20"/>
    </row>
    <row r="467" spans="1:4" ht="29.25" customHeight="1">
      <c r="A467" s="14"/>
      <c r="B467" s="225"/>
      <c r="C467" s="225">
        <v>1</v>
      </c>
      <c r="D467" s="19"/>
    </row>
    <row r="468" spans="1:4" ht="29.25" customHeight="1">
      <c r="A468" s="11"/>
      <c r="B468" s="226"/>
      <c r="C468" s="226">
        <v>2</v>
      </c>
      <c r="D468" s="17"/>
    </row>
    <row r="469" spans="1:4" ht="29.25" customHeight="1">
      <c r="A469" s="11"/>
      <c r="B469" s="226"/>
      <c r="C469" s="226">
        <v>3</v>
      </c>
      <c r="D469" s="17"/>
    </row>
    <row r="470" spans="1:4" ht="29.25" customHeight="1">
      <c r="A470" s="11"/>
      <c r="B470" s="226"/>
      <c r="C470" s="226">
        <v>4</v>
      </c>
      <c r="D470" s="17"/>
    </row>
    <row r="471" spans="1:4" ht="29.25" customHeight="1" thickBot="1">
      <c r="A471" s="15"/>
      <c r="B471" s="227"/>
      <c r="C471" s="227">
        <v>5</v>
      </c>
      <c r="D471" s="20"/>
    </row>
    <row r="472" spans="1:4" ht="29.25" customHeight="1">
      <c r="A472" s="14"/>
      <c r="B472" s="225"/>
      <c r="C472" s="225">
        <v>1</v>
      </c>
      <c r="D472" s="19"/>
    </row>
    <row r="473" spans="1:4" ht="29.25" customHeight="1">
      <c r="A473" s="11"/>
      <c r="B473" s="226"/>
      <c r="C473" s="226">
        <v>2</v>
      </c>
      <c r="D473" s="17"/>
    </row>
    <row r="474" spans="1:4" ht="29.25" customHeight="1">
      <c r="A474" s="11"/>
      <c r="B474" s="226"/>
      <c r="C474" s="226">
        <v>3</v>
      </c>
      <c r="D474" s="17"/>
    </row>
    <row r="475" spans="1:4" ht="29.25" customHeight="1">
      <c r="A475" s="11"/>
      <c r="B475" s="226"/>
      <c r="C475" s="226">
        <v>4</v>
      </c>
      <c r="D475" s="17"/>
    </row>
    <row r="476" spans="1:4" ht="29.25" customHeight="1" thickBot="1">
      <c r="A476" s="15"/>
      <c r="B476" s="227"/>
      <c r="C476" s="227">
        <v>5</v>
      </c>
      <c r="D476" s="20"/>
    </row>
    <row r="477" spans="1:4" ht="29.25" customHeight="1">
      <c r="A477" s="14"/>
      <c r="B477" s="225"/>
      <c r="C477" s="225">
        <v>1</v>
      </c>
      <c r="D477" s="19"/>
    </row>
    <row r="478" spans="1:4" ht="29.25" customHeight="1">
      <c r="A478" s="11"/>
      <c r="B478" s="226"/>
      <c r="C478" s="226">
        <v>2</v>
      </c>
      <c r="D478" s="17"/>
    </row>
    <row r="479" spans="1:4" ht="29.25" customHeight="1">
      <c r="A479" s="11"/>
      <c r="B479" s="226"/>
      <c r="C479" s="226">
        <v>3</v>
      </c>
      <c r="D479" s="17"/>
    </row>
    <row r="480" spans="1:4" ht="29.25" customHeight="1">
      <c r="A480" s="11"/>
      <c r="B480" s="226"/>
      <c r="C480" s="226">
        <v>4</v>
      </c>
      <c r="D480" s="17"/>
    </row>
    <row r="481" spans="1:4" ht="29.25" customHeight="1" thickBot="1">
      <c r="A481" s="15"/>
      <c r="B481" s="227"/>
      <c r="C481" s="227">
        <v>5</v>
      </c>
      <c r="D481" s="20"/>
    </row>
    <row r="482" spans="1:4" ht="29.25" customHeight="1">
      <c r="A482" s="14"/>
      <c r="B482" s="225"/>
      <c r="C482" s="225">
        <v>1</v>
      </c>
      <c r="D482" s="16"/>
    </row>
    <row r="483" spans="1:4" ht="29.25" customHeight="1">
      <c r="A483" s="11"/>
      <c r="B483" s="226"/>
      <c r="C483" s="226">
        <v>2</v>
      </c>
      <c r="D483" s="17"/>
    </row>
    <row r="484" spans="1:4" ht="29.25" customHeight="1">
      <c r="A484" s="11"/>
      <c r="B484" s="226"/>
      <c r="C484" s="226">
        <v>3</v>
      </c>
      <c r="D484" s="17"/>
    </row>
    <row r="485" spans="1:4" ht="29.25" customHeight="1">
      <c r="A485" s="11"/>
      <c r="B485" s="226"/>
      <c r="C485" s="226">
        <v>4</v>
      </c>
      <c r="D485" s="17"/>
    </row>
    <row r="486" spans="1:4" ht="29.25" customHeight="1" thickBot="1">
      <c r="A486" s="11"/>
      <c r="B486" s="226"/>
      <c r="C486" s="226">
        <v>5</v>
      </c>
      <c r="D486" s="18"/>
    </row>
    <row r="487" spans="1:4" ht="29.25" customHeight="1">
      <c r="A487" s="14"/>
      <c r="B487" s="225"/>
      <c r="C487" s="225">
        <v>1</v>
      </c>
      <c r="D487" s="19"/>
    </row>
    <row r="488" spans="1:4" ht="29.25" customHeight="1">
      <c r="A488" s="11"/>
      <c r="B488" s="226"/>
      <c r="C488" s="226">
        <v>2</v>
      </c>
      <c r="D488" s="17"/>
    </row>
    <row r="489" spans="1:4" ht="29.25" customHeight="1">
      <c r="A489" s="11"/>
      <c r="B489" s="226"/>
      <c r="C489" s="226">
        <v>3</v>
      </c>
      <c r="D489" s="17"/>
    </row>
    <row r="490" spans="1:4" ht="29.25" customHeight="1">
      <c r="A490" s="11"/>
      <c r="B490" s="226"/>
      <c r="C490" s="226">
        <v>4</v>
      </c>
      <c r="D490" s="17"/>
    </row>
    <row r="491" spans="1:4" ht="29.25" customHeight="1" thickBot="1">
      <c r="A491" s="15"/>
      <c r="B491" s="227"/>
      <c r="C491" s="227">
        <v>5</v>
      </c>
      <c r="D491" s="20"/>
    </row>
    <row r="492" spans="1:4" ht="29.25" customHeight="1">
      <c r="A492" s="11"/>
      <c r="B492" s="226"/>
      <c r="C492" s="226">
        <v>1</v>
      </c>
      <c r="D492" s="21"/>
    </row>
    <row r="493" spans="1:4" ht="29.25" customHeight="1">
      <c r="A493" s="11"/>
      <c r="B493" s="226"/>
      <c r="C493" s="226">
        <v>2</v>
      </c>
      <c r="D493" s="17"/>
    </row>
    <row r="494" spans="1:4" ht="29.25" customHeight="1">
      <c r="A494" s="11"/>
      <c r="B494" s="226"/>
      <c r="C494" s="226">
        <v>3</v>
      </c>
      <c r="D494" s="17"/>
    </row>
    <row r="495" spans="1:4" ht="29.25" customHeight="1">
      <c r="A495" s="11"/>
      <c r="B495" s="226"/>
      <c r="C495" s="226">
        <v>4</v>
      </c>
      <c r="D495" s="17"/>
    </row>
    <row r="496" spans="1:4" ht="29.25" customHeight="1" thickBot="1">
      <c r="A496" s="11"/>
      <c r="B496" s="226"/>
      <c r="C496" s="226">
        <v>5</v>
      </c>
      <c r="D496" s="18"/>
    </row>
    <row r="497" spans="1:4" ht="29.25" customHeight="1">
      <c r="A497" s="14"/>
      <c r="B497" s="225"/>
      <c r="C497" s="225">
        <v>1</v>
      </c>
      <c r="D497" s="19"/>
    </row>
    <row r="498" spans="1:4" ht="29.25" customHeight="1">
      <c r="A498" s="11"/>
      <c r="B498" s="226"/>
      <c r="C498" s="226">
        <v>2</v>
      </c>
      <c r="D498" s="17"/>
    </row>
    <row r="499" spans="1:4" ht="29.25" customHeight="1">
      <c r="A499" s="11"/>
      <c r="B499" s="226"/>
      <c r="C499" s="226">
        <v>3</v>
      </c>
      <c r="D499" s="17"/>
    </row>
    <row r="500" spans="1:4" ht="29.25" customHeight="1">
      <c r="A500" s="11"/>
      <c r="B500" s="226"/>
      <c r="C500" s="226">
        <v>4</v>
      </c>
      <c r="D500" s="17"/>
    </row>
    <row r="501" spans="1:4" ht="29.25" customHeight="1" thickBot="1">
      <c r="A501" s="15"/>
      <c r="B501" s="227"/>
      <c r="C501" s="227">
        <v>5</v>
      </c>
      <c r="D501" s="20"/>
    </row>
    <row r="502" spans="1:4" ht="29.25" customHeight="1">
      <c r="A502" s="11"/>
      <c r="B502" s="226"/>
      <c r="C502" s="226"/>
      <c r="D502" s="21"/>
    </row>
    <row r="503" spans="1:4" ht="29.25" customHeight="1">
      <c r="A503" s="11"/>
      <c r="B503" s="226"/>
      <c r="C503" s="226"/>
      <c r="D503" s="17"/>
    </row>
    <row r="504" spans="1:4" ht="29.25" customHeight="1">
      <c r="A504" s="11"/>
      <c r="B504" s="226"/>
      <c r="C504" s="226"/>
      <c r="D504" s="17"/>
    </row>
    <row r="505" spans="1:4" ht="29.25" customHeight="1">
      <c r="A505" s="11"/>
      <c r="B505" s="226"/>
      <c r="C505" s="226"/>
      <c r="D505" s="17"/>
    </row>
    <row r="506" spans="1:4" ht="29.25" customHeight="1" thickBot="1">
      <c r="A506" s="11"/>
      <c r="B506" s="226"/>
      <c r="C506" s="226"/>
      <c r="D506" s="18"/>
    </row>
    <row r="507" spans="1:4" ht="29.25" customHeight="1">
      <c r="A507" s="14"/>
      <c r="B507" s="225"/>
      <c r="C507" s="225"/>
      <c r="D507" s="19"/>
    </row>
    <row r="508" spans="1:4" ht="29.25" customHeight="1">
      <c r="A508" s="11"/>
      <c r="B508" s="226"/>
      <c r="C508" s="226"/>
      <c r="D508" s="17"/>
    </row>
    <row r="509" spans="1:4" ht="29.25" customHeight="1">
      <c r="A509" s="11"/>
      <c r="B509" s="226"/>
      <c r="C509" s="226"/>
      <c r="D509" s="17"/>
    </row>
    <row r="510" spans="1:4" ht="29.25" customHeight="1">
      <c r="A510" s="11"/>
      <c r="B510" s="226"/>
      <c r="C510" s="226"/>
      <c r="D510" s="17"/>
    </row>
    <row r="511" spans="1:4" ht="29.25" customHeight="1" thickBot="1">
      <c r="A511" s="15"/>
      <c r="B511" s="227"/>
      <c r="C511" s="227"/>
      <c r="D511" s="20"/>
    </row>
    <row r="512" spans="1:4" ht="29.25" customHeight="1">
      <c r="A512" s="14"/>
      <c r="B512" s="225"/>
      <c r="C512" s="225"/>
      <c r="D512" s="19"/>
    </row>
    <row r="513" spans="1:4" ht="29.25" customHeight="1">
      <c r="A513" s="11"/>
      <c r="B513" s="226"/>
      <c r="C513" s="226"/>
      <c r="D513" s="17"/>
    </row>
    <row r="514" spans="1:4" ht="29.25" customHeight="1">
      <c r="A514" s="11"/>
      <c r="B514" s="226"/>
      <c r="C514" s="226"/>
      <c r="D514" s="17"/>
    </row>
    <row r="515" spans="1:4" ht="29.25" customHeight="1">
      <c r="A515" s="11"/>
      <c r="B515" s="226"/>
      <c r="C515" s="226"/>
      <c r="D515" s="17"/>
    </row>
    <row r="516" spans="1:4" ht="29.25" customHeight="1" thickBot="1">
      <c r="A516" s="15"/>
      <c r="B516" s="227"/>
      <c r="C516" s="227"/>
      <c r="D516" s="20"/>
    </row>
    <row r="517" spans="1:4" ht="29.25" customHeight="1">
      <c r="A517" s="11"/>
      <c r="B517" s="226"/>
      <c r="C517" s="226"/>
      <c r="D517" s="21"/>
    </row>
    <row r="518" spans="1:4" ht="29.25" customHeight="1">
      <c r="A518" s="11"/>
      <c r="B518" s="226"/>
      <c r="C518" s="226"/>
      <c r="D518" s="17"/>
    </row>
    <row r="519" spans="1:4" ht="29.25" customHeight="1">
      <c r="A519" s="11"/>
      <c r="B519" s="226"/>
      <c r="C519" s="226"/>
      <c r="D519" s="17"/>
    </row>
    <row r="520" spans="1:4" ht="29.25" customHeight="1">
      <c r="A520" s="11"/>
      <c r="B520" s="226"/>
      <c r="C520" s="226"/>
      <c r="D520" s="17"/>
    </row>
    <row r="521" spans="1:4" ht="29.25" customHeight="1" thickBot="1">
      <c r="A521" s="11"/>
      <c r="B521" s="226"/>
      <c r="C521" s="226"/>
      <c r="D521" s="18"/>
    </row>
    <row r="522" spans="1:4" ht="29.25" customHeight="1">
      <c r="A522" s="14"/>
      <c r="B522" s="225"/>
      <c r="C522" s="225"/>
      <c r="D522" s="19"/>
    </row>
    <row r="523" spans="1:4" ht="29.25" customHeight="1">
      <c r="A523" s="11"/>
      <c r="B523" s="226"/>
      <c r="C523" s="226"/>
      <c r="D523" s="17"/>
    </row>
    <row r="524" spans="1:4" ht="29.25" customHeight="1">
      <c r="A524" s="11"/>
      <c r="B524" s="226"/>
      <c r="C524" s="226"/>
      <c r="D524" s="17"/>
    </row>
    <row r="525" spans="1:4" ht="29.25" customHeight="1">
      <c r="A525" s="11"/>
      <c r="B525" s="226"/>
      <c r="C525" s="226"/>
      <c r="D525" s="17"/>
    </row>
    <row r="526" spans="1:4" ht="29.25" customHeight="1" thickBot="1">
      <c r="A526" s="15"/>
      <c r="B526" s="227"/>
      <c r="C526" s="227"/>
      <c r="D526" s="20"/>
    </row>
    <row r="527" spans="1:4" ht="29.25" customHeight="1">
      <c r="A527" s="14"/>
      <c r="B527" s="225"/>
      <c r="C527" s="225"/>
      <c r="D527" s="19"/>
    </row>
    <row r="528" spans="1:4" ht="29.25" customHeight="1">
      <c r="A528" s="11"/>
      <c r="B528" s="226"/>
      <c r="C528" s="226"/>
      <c r="D528" s="17"/>
    </row>
    <row r="529" spans="1:4" ht="29.25" customHeight="1">
      <c r="A529" s="11"/>
      <c r="B529" s="226"/>
      <c r="C529" s="226"/>
      <c r="D529" s="17"/>
    </row>
    <row r="530" spans="1:4" ht="29.25" customHeight="1">
      <c r="A530" s="11"/>
      <c r="B530" s="226"/>
      <c r="C530" s="226"/>
      <c r="D530" s="17"/>
    </row>
    <row r="531" spans="1:4" ht="29.25" customHeight="1" thickBot="1">
      <c r="A531" s="15"/>
      <c r="B531" s="227"/>
      <c r="C531" s="227"/>
      <c r="D531" s="20"/>
    </row>
    <row r="532" spans="1:4" ht="29.25" customHeight="1">
      <c r="A532" s="14"/>
      <c r="B532" s="225"/>
      <c r="C532" s="225"/>
      <c r="D532" s="19"/>
    </row>
    <row r="533" spans="1:4" ht="29.25" customHeight="1">
      <c r="A533" s="11"/>
      <c r="B533" s="226"/>
      <c r="C533" s="226"/>
      <c r="D533" s="17"/>
    </row>
    <row r="534" spans="1:4" ht="29.25" customHeight="1">
      <c r="A534" s="11"/>
      <c r="B534" s="226"/>
      <c r="C534" s="226"/>
      <c r="D534" s="17"/>
    </row>
    <row r="535" spans="1:4" ht="29.25" customHeight="1">
      <c r="A535" s="11"/>
      <c r="B535" s="226"/>
      <c r="C535" s="226"/>
      <c r="D535" s="17"/>
    </row>
    <row r="536" spans="1:4" ht="29.25" customHeight="1" thickBot="1">
      <c r="A536" s="15"/>
      <c r="B536" s="227"/>
      <c r="C536" s="227"/>
      <c r="D536" s="20"/>
    </row>
    <row r="537" spans="1:4" ht="29.25" customHeight="1">
      <c r="A537" s="14"/>
      <c r="B537" s="225"/>
      <c r="C537" s="225"/>
      <c r="D537" s="19"/>
    </row>
    <row r="538" spans="1:4" ht="29.25" customHeight="1">
      <c r="A538" s="11"/>
      <c r="B538" s="226"/>
      <c r="C538" s="226"/>
      <c r="D538" s="17"/>
    </row>
    <row r="539" spans="1:4" ht="29.25" customHeight="1">
      <c r="A539" s="11"/>
      <c r="B539" s="226"/>
      <c r="C539" s="226"/>
      <c r="D539" s="17"/>
    </row>
    <row r="540" spans="1:4" ht="29.25" customHeight="1">
      <c r="A540" s="11"/>
      <c r="B540" s="226"/>
      <c r="C540" s="226"/>
      <c r="D540" s="17"/>
    </row>
    <row r="541" spans="1:4" ht="29.25" customHeight="1" thickBot="1">
      <c r="A541" s="15"/>
      <c r="B541" s="227"/>
      <c r="C541" s="227"/>
      <c r="D541" s="20"/>
    </row>
    <row r="542" spans="1:4" ht="29.25" customHeight="1">
      <c r="A542" s="14"/>
      <c r="B542" s="225"/>
      <c r="C542" s="225"/>
      <c r="D542" s="16"/>
    </row>
    <row r="543" spans="1:4" ht="29.25" customHeight="1">
      <c r="A543" s="11"/>
      <c r="B543" s="226"/>
      <c r="C543" s="226"/>
      <c r="D543" s="17"/>
    </row>
    <row r="544" spans="1:4" ht="29.25" customHeight="1">
      <c r="A544" s="11"/>
      <c r="B544" s="226"/>
      <c r="C544" s="226"/>
      <c r="D544" s="17"/>
    </row>
    <row r="545" spans="1:4" ht="29.25" customHeight="1">
      <c r="A545" s="11"/>
      <c r="B545" s="226"/>
      <c r="C545" s="226"/>
      <c r="D545" s="17"/>
    </row>
    <row r="546" spans="1:4" ht="29.25" customHeight="1" thickBot="1">
      <c r="A546" s="11"/>
      <c r="B546" s="226"/>
      <c r="C546" s="226"/>
      <c r="D546" s="18"/>
    </row>
    <row r="547" spans="1:4" ht="29.25" customHeight="1">
      <c r="A547" s="14"/>
      <c r="B547" s="225"/>
      <c r="C547" s="225"/>
      <c r="D547" s="19"/>
    </row>
    <row r="548" spans="1:4" ht="29.25" customHeight="1">
      <c r="A548" s="11"/>
      <c r="B548" s="226"/>
      <c r="C548" s="226"/>
      <c r="D548" s="17"/>
    </row>
    <row r="549" spans="1:4" ht="29.25" customHeight="1">
      <c r="A549" s="11"/>
      <c r="B549" s="226"/>
      <c r="C549" s="226"/>
      <c r="D549" s="17"/>
    </row>
    <row r="550" spans="1:4" ht="29.25" customHeight="1">
      <c r="A550" s="11"/>
      <c r="B550" s="226"/>
      <c r="C550" s="226"/>
      <c r="D550" s="17"/>
    </row>
    <row r="551" spans="1:4" ht="29.25" customHeight="1" thickBot="1">
      <c r="A551" s="15"/>
      <c r="B551" s="227"/>
      <c r="C551" s="227"/>
      <c r="D551" s="20"/>
    </row>
    <row r="552" spans="1:4" ht="29.25" customHeight="1">
      <c r="A552" s="11"/>
      <c r="B552" s="226"/>
      <c r="C552" s="226"/>
      <c r="D552" s="21"/>
    </row>
    <row r="553" spans="1:4" ht="29.25" customHeight="1">
      <c r="A553" s="11"/>
      <c r="B553" s="226"/>
      <c r="C553" s="226"/>
      <c r="D553" s="17"/>
    </row>
    <row r="554" spans="1:4" ht="29.25" customHeight="1">
      <c r="A554" s="11"/>
      <c r="B554" s="226"/>
      <c r="C554" s="226"/>
      <c r="D554" s="17"/>
    </row>
    <row r="555" spans="1:4" ht="29.25" customHeight="1">
      <c r="A555" s="11"/>
      <c r="B555" s="226"/>
      <c r="C555" s="226"/>
      <c r="D555" s="17"/>
    </row>
    <row r="556" spans="1:4" ht="29.25" customHeight="1" thickBot="1">
      <c r="A556" s="11"/>
      <c r="B556" s="226"/>
      <c r="C556" s="226"/>
      <c r="D556" s="18"/>
    </row>
    <row r="557" spans="1:4" ht="29.25" customHeight="1">
      <c r="A557" s="14"/>
      <c r="B557" s="225"/>
      <c r="C557" s="225"/>
      <c r="D557" s="19"/>
    </row>
    <row r="558" spans="1:4" ht="29.25" customHeight="1">
      <c r="A558" s="11"/>
      <c r="B558" s="226"/>
      <c r="C558" s="226"/>
      <c r="D558" s="17"/>
    </row>
    <row r="559" spans="1:4" ht="29.25" customHeight="1">
      <c r="A559" s="11"/>
      <c r="B559" s="226"/>
      <c r="C559" s="226"/>
      <c r="D559" s="17"/>
    </row>
    <row r="560" spans="1:4" ht="29.25" customHeight="1">
      <c r="A560" s="11"/>
      <c r="B560" s="226"/>
      <c r="C560" s="226"/>
      <c r="D560" s="17"/>
    </row>
    <row r="561" spans="1:4" ht="29.25" customHeight="1" thickBot="1">
      <c r="A561" s="15"/>
      <c r="B561" s="227"/>
      <c r="C561" s="227"/>
      <c r="D561" s="20"/>
    </row>
    <row r="562" spans="1:4" ht="29.25" customHeight="1">
      <c r="A562" s="11"/>
      <c r="B562" s="226"/>
      <c r="C562" s="226"/>
      <c r="D562" s="21"/>
    </row>
    <row r="563" spans="1:4" ht="29.25" customHeight="1">
      <c r="A563" s="11"/>
      <c r="B563" s="226"/>
      <c r="C563" s="226"/>
      <c r="D563" s="17"/>
    </row>
    <row r="564" spans="1:4" ht="29.25" customHeight="1">
      <c r="A564" s="11"/>
      <c r="B564" s="226"/>
      <c r="C564" s="226"/>
      <c r="D564" s="17"/>
    </row>
    <row r="565" spans="1:4" ht="29.25" customHeight="1">
      <c r="A565" s="11"/>
      <c r="B565" s="226"/>
      <c r="C565" s="226"/>
      <c r="D565" s="17"/>
    </row>
    <row r="566" spans="1:4" ht="29.25" customHeight="1" thickBot="1">
      <c r="A566" s="11"/>
      <c r="B566" s="226"/>
      <c r="C566" s="226"/>
      <c r="D566" s="18"/>
    </row>
    <row r="567" spans="1:4" ht="29.25" customHeight="1">
      <c r="A567" s="14"/>
      <c r="B567" s="225"/>
      <c r="C567" s="225"/>
      <c r="D567" s="19"/>
    </row>
    <row r="568" spans="1:4" ht="29.25" customHeight="1">
      <c r="A568" s="11"/>
      <c r="B568" s="226"/>
      <c r="C568" s="226"/>
      <c r="D568" s="17"/>
    </row>
    <row r="569" spans="1:4" ht="29.25" customHeight="1">
      <c r="A569" s="11"/>
      <c r="B569" s="226"/>
      <c r="C569" s="226"/>
      <c r="D569" s="17"/>
    </row>
    <row r="570" spans="1:4" ht="29.25" customHeight="1">
      <c r="A570" s="11"/>
      <c r="B570" s="226"/>
      <c r="C570" s="226"/>
      <c r="D570" s="17"/>
    </row>
    <row r="571" spans="1:4" ht="29.25" customHeight="1" thickBot="1">
      <c r="A571" s="15"/>
      <c r="B571" s="227"/>
      <c r="C571" s="227"/>
      <c r="D571" s="20"/>
    </row>
    <row r="572" spans="1:4" ht="29.25" customHeight="1">
      <c r="A572" s="14"/>
      <c r="B572" s="225"/>
      <c r="C572" s="225"/>
      <c r="D572" s="19"/>
    </row>
    <row r="573" spans="1:4" ht="29.25" customHeight="1">
      <c r="A573" s="11"/>
      <c r="B573" s="226"/>
      <c r="C573" s="226"/>
      <c r="D573" s="17"/>
    </row>
    <row r="574" spans="1:4" ht="29.25" customHeight="1">
      <c r="A574" s="11"/>
      <c r="B574" s="226"/>
      <c r="C574" s="226"/>
      <c r="D574" s="17"/>
    </row>
    <row r="575" spans="1:4" ht="29.25" customHeight="1">
      <c r="A575" s="11"/>
      <c r="B575" s="226"/>
      <c r="C575" s="226"/>
      <c r="D575" s="17"/>
    </row>
    <row r="576" spans="1:4" ht="29.25" customHeight="1" thickBot="1">
      <c r="A576" s="15"/>
      <c r="B576" s="227"/>
      <c r="C576" s="227"/>
      <c r="D576" s="20"/>
    </row>
    <row r="577" spans="1:4" ht="29.25" customHeight="1">
      <c r="A577" s="11"/>
      <c r="B577" s="226"/>
      <c r="C577" s="226"/>
      <c r="D577" s="21"/>
    </row>
    <row r="578" spans="1:4" ht="29.25" customHeight="1">
      <c r="A578" s="11"/>
      <c r="B578" s="226"/>
      <c r="C578" s="226"/>
      <c r="D578" s="17"/>
    </row>
    <row r="579" spans="1:4" ht="29.25" customHeight="1">
      <c r="A579" s="11"/>
      <c r="B579" s="226"/>
      <c r="C579" s="226"/>
      <c r="D579" s="17"/>
    </row>
    <row r="580" spans="1:4" ht="29.25" customHeight="1">
      <c r="A580" s="11"/>
      <c r="B580" s="226"/>
      <c r="C580" s="226"/>
      <c r="D580" s="17"/>
    </row>
    <row r="581" spans="1:4" ht="29.25" customHeight="1" thickBot="1">
      <c r="A581" s="11"/>
      <c r="B581" s="226"/>
      <c r="C581" s="226"/>
      <c r="D581" s="18"/>
    </row>
    <row r="582" spans="1:4" ht="29.25" customHeight="1">
      <c r="A582" s="14"/>
      <c r="B582" s="225"/>
      <c r="C582" s="225"/>
      <c r="D582" s="19"/>
    </row>
    <row r="583" spans="1:4" ht="29.25" customHeight="1">
      <c r="A583" s="11"/>
      <c r="B583" s="226"/>
      <c r="C583" s="226"/>
      <c r="D583" s="17"/>
    </row>
    <row r="584" spans="1:4" ht="29.25" customHeight="1">
      <c r="A584" s="11"/>
      <c r="B584" s="226"/>
      <c r="C584" s="226"/>
      <c r="D584" s="17"/>
    </row>
    <row r="585" spans="1:4" ht="29.25" customHeight="1">
      <c r="A585" s="11"/>
      <c r="B585" s="226"/>
      <c r="C585" s="226"/>
      <c r="D585" s="17"/>
    </row>
    <row r="586" spans="1:4" ht="29.25" customHeight="1" thickBot="1">
      <c r="A586" s="15"/>
      <c r="B586" s="227"/>
      <c r="C586" s="227"/>
      <c r="D586" s="20"/>
    </row>
    <row r="587" spans="1:4" ht="29.25" customHeight="1">
      <c r="A587" s="14"/>
      <c r="B587" s="225"/>
      <c r="C587" s="225"/>
      <c r="D587" s="19"/>
    </row>
    <row r="588" spans="1:4" ht="29.25" customHeight="1">
      <c r="A588" s="11"/>
      <c r="B588" s="226"/>
      <c r="C588" s="226"/>
      <c r="D588" s="17"/>
    </row>
    <row r="589" spans="1:4" ht="29.25" customHeight="1">
      <c r="A589" s="11"/>
      <c r="B589" s="226"/>
      <c r="C589" s="226"/>
      <c r="D589" s="17"/>
    </row>
    <row r="590" spans="1:4" ht="29.25" customHeight="1">
      <c r="A590" s="11"/>
      <c r="B590" s="226"/>
      <c r="C590" s="226"/>
      <c r="D590" s="17"/>
    </row>
    <row r="591" spans="1:4" ht="29.25" customHeight="1" thickBot="1">
      <c r="A591" s="15"/>
      <c r="B591" s="227"/>
      <c r="C591" s="227"/>
      <c r="D591" s="20"/>
    </row>
    <row r="592" spans="1:4" ht="29.25" customHeight="1">
      <c r="A592" s="14"/>
      <c r="B592" s="225"/>
      <c r="C592" s="225"/>
      <c r="D592" s="19"/>
    </row>
    <row r="593" spans="1:4" ht="29.25" customHeight="1">
      <c r="A593" s="11"/>
      <c r="B593" s="226"/>
      <c r="C593" s="226"/>
      <c r="D593" s="17"/>
    </row>
    <row r="594" spans="1:4" ht="29.25" customHeight="1">
      <c r="A594" s="11"/>
      <c r="B594" s="226"/>
      <c r="C594" s="226"/>
      <c r="D594" s="17"/>
    </row>
    <row r="595" spans="1:4" ht="29.25" customHeight="1">
      <c r="A595" s="11"/>
      <c r="B595" s="226"/>
      <c r="C595" s="226"/>
      <c r="D595" s="17"/>
    </row>
    <row r="596" spans="1:4" ht="29.25" customHeight="1" thickBot="1">
      <c r="A596" s="15"/>
      <c r="B596" s="227"/>
      <c r="C596" s="227"/>
      <c r="D596" s="20"/>
    </row>
    <row r="597" spans="1:4" ht="29.25" customHeight="1">
      <c r="A597" s="14"/>
      <c r="B597" s="225"/>
      <c r="C597" s="225"/>
      <c r="D597" s="19"/>
    </row>
    <row r="598" spans="1:4" ht="29.25" customHeight="1">
      <c r="A598" s="11"/>
      <c r="B598" s="226"/>
      <c r="C598" s="226"/>
      <c r="D598" s="17"/>
    </row>
    <row r="599" spans="1:4" ht="29.25" customHeight="1">
      <c r="A599" s="11"/>
      <c r="B599" s="226"/>
      <c r="C599" s="226"/>
      <c r="D599" s="17"/>
    </row>
    <row r="600" spans="1:4" ht="29.25" customHeight="1">
      <c r="A600" s="11"/>
      <c r="B600" s="226"/>
      <c r="C600" s="226"/>
      <c r="D600" s="17"/>
    </row>
    <row r="601" spans="1:4" ht="29.25" customHeight="1" thickBot="1">
      <c r="A601" s="15"/>
      <c r="B601" s="227"/>
      <c r="C601" s="227"/>
      <c r="D601" s="20"/>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RGALoad">
                <anchor moveWithCells="1" sizeWithCells="1">
                  <from>
                    <xdr:col>3</xdr:col>
                    <xdr:colOff>11639550</xdr:colOff>
                    <xdr:row>0</xdr:row>
                    <xdr:rowOff>38100</xdr:rowOff>
                  </from>
                  <to>
                    <xdr:col>3</xdr:col>
                    <xdr:colOff>13106400</xdr:colOff>
                    <xdr:row>0</xdr:row>
                    <xdr:rowOff>276225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AB3A9-D02F-408C-9423-03DBA806F759}">
  <sheetPr codeName="Language"/>
  <dimension ref="A1:C44"/>
  <sheetViews>
    <sheetView tabSelected="1" topLeftCell="A34" workbookViewId="0">
      <selection activeCell="C42" sqref="C42"/>
    </sheetView>
  </sheetViews>
  <sheetFormatPr defaultRowHeight="15"/>
  <cols>
    <col min="1" max="1" width="16.85546875" style="1" customWidth="1"/>
    <col min="2" max="3" width="39" style="1" customWidth="1"/>
    <col min="4" max="16384" width="9.140625" style="1"/>
  </cols>
  <sheetData>
    <row r="1" spans="1:3" ht="59.25" customHeight="1">
      <c r="A1" s="249" t="s">
        <v>2178</v>
      </c>
      <c r="B1" s="249" t="s">
        <v>2176</v>
      </c>
      <c r="C1" s="249" t="s">
        <v>2177</v>
      </c>
    </row>
    <row r="2" spans="1:3">
      <c r="A2" s="1">
        <v>2</v>
      </c>
      <c r="B2" s="1" t="s">
        <v>617</v>
      </c>
      <c r="C2" s="1" t="s">
        <v>2115</v>
      </c>
    </row>
    <row r="3" spans="1:3">
      <c r="A3" s="1">
        <v>3</v>
      </c>
      <c r="B3" s="1" t="s">
        <v>2116</v>
      </c>
      <c r="C3" s="1" t="s">
        <v>2117</v>
      </c>
    </row>
    <row r="4" spans="1:3">
      <c r="A4" s="1">
        <v>4</v>
      </c>
      <c r="B4" s="1" t="s">
        <v>2118</v>
      </c>
      <c r="C4" s="1" t="s">
        <v>2119</v>
      </c>
    </row>
    <row r="5" spans="1:3">
      <c r="A5" s="1">
        <v>5</v>
      </c>
      <c r="B5" s="1" t="s">
        <v>2120</v>
      </c>
      <c r="C5" s="1" t="s">
        <v>2121</v>
      </c>
    </row>
    <row r="6" spans="1:3">
      <c r="A6" s="1">
        <v>6</v>
      </c>
      <c r="B6" s="1" t="s">
        <v>2122</v>
      </c>
      <c r="C6" s="1" t="s">
        <v>2123</v>
      </c>
    </row>
    <row r="7" spans="1:3">
      <c r="A7" s="1">
        <v>7</v>
      </c>
      <c r="B7" s="1" t="s">
        <v>2124</v>
      </c>
      <c r="C7" s="1" t="s">
        <v>2125</v>
      </c>
    </row>
    <row r="8" spans="1:3">
      <c r="A8" s="1">
        <v>8</v>
      </c>
      <c r="B8" s="1" t="s">
        <v>2126</v>
      </c>
      <c r="C8" s="1" t="s">
        <v>2127</v>
      </c>
    </row>
    <row r="9" spans="1:3">
      <c r="A9" s="1">
        <v>9</v>
      </c>
      <c r="B9" s="1" t="s">
        <v>2128</v>
      </c>
      <c r="C9" s="1" t="s">
        <v>2129</v>
      </c>
    </row>
    <row r="10" spans="1:3">
      <c r="A10" s="1">
        <v>10</v>
      </c>
      <c r="B10" s="1" t="s">
        <v>2130</v>
      </c>
      <c r="C10" s="1" t="s">
        <v>2703</v>
      </c>
    </row>
    <row r="11" spans="1:3">
      <c r="A11" s="1">
        <v>11</v>
      </c>
      <c r="B11" s="1" t="s">
        <v>2131</v>
      </c>
      <c r="C11" s="1" t="s">
        <v>2132</v>
      </c>
    </row>
    <row r="12" spans="1:3">
      <c r="A12" s="1">
        <v>12</v>
      </c>
      <c r="B12" s="1" t="s">
        <v>2133</v>
      </c>
      <c r="C12" s="1" t="s">
        <v>2134</v>
      </c>
    </row>
    <row r="13" spans="1:3">
      <c r="A13" s="1">
        <v>13</v>
      </c>
      <c r="B13" s="1" t="s">
        <v>1571</v>
      </c>
      <c r="C13" s="1" t="s">
        <v>2704</v>
      </c>
    </row>
    <row r="14" spans="1:3">
      <c r="A14" s="1">
        <v>14</v>
      </c>
      <c r="B14" s="1" t="s">
        <v>1570</v>
      </c>
      <c r="C14" s="1" t="s">
        <v>2099</v>
      </c>
    </row>
    <row r="15" spans="1:3">
      <c r="A15" s="1">
        <v>15</v>
      </c>
      <c r="B15" s="1" t="s">
        <v>1577</v>
      </c>
      <c r="C15" s="1" t="s">
        <v>2705</v>
      </c>
    </row>
    <row r="16" spans="1:3">
      <c r="A16" s="1">
        <v>16</v>
      </c>
      <c r="B16" s="1" t="s">
        <v>2135</v>
      </c>
      <c r="C16" s="1" t="s">
        <v>2136</v>
      </c>
    </row>
    <row r="17" spans="1:3">
      <c r="A17" s="1">
        <v>17</v>
      </c>
      <c r="B17" s="1" t="s">
        <v>2137</v>
      </c>
      <c r="C17" s="1" t="s">
        <v>2138</v>
      </c>
    </row>
    <row r="18" spans="1:3" ht="34.5" customHeight="1">
      <c r="A18" s="1">
        <v>18</v>
      </c>
      <c r="B18" s="1" t="s">
        <v>2139</v>
      </c>
      <c r="C18" s="1" t="s">
        <v>2140</v>
      </c>
    </row>
    <row r="19" spans="1:3" ht="34.5" customHeight="1">
      <c r="A19" s="1">
        <v>19</v>
      </c>
      <c r="B19" s="1" t="s">
        <v>1536</v>
      </c>
      <c r="C19" s="1" t="s">
        <v>2141</v>
      </c>
    </row>
    <row r="20" spans="1:3">
      <c r="A20" s="1">
        <v>20</v>
      </c>
      <c r="B20" s="1" t="s">
        <v>1559</v>
      </c>
      <c r="C20" s="1" t="s">
        <v>2142</v>
      </c>
    </row>
    <row r="21" spans="1:3" ht="34.5" customHeight="1">
      <c r="A21" s="1">
        <v>21</v>
      </c>
      <c r="B21" s="1" t="s">
        <v>1537</v>
      </c>
      <c r="C21" s="1" t="s">
        <v>2143</v>
      </c>
    </row>
    <row r="22" spans="1:3" ht="34.5" customHeight="1">
      <c r="A22" s="1">
        <v>22</v>
      </c>
      <c r="B22" s="1" t="s">
        <v>1538</v>
      </c>
      <c r="C22" s="1" t="s">
        <v>2144</v>
      </c>
    </row>
    <row r="23" spans="1:3">
      <c r="A23" s="1">
        <v>23</v>
      </c>
      <c r="B23" s="1" t="s">
        <v>1539</v>
      </c>
      <c r="C23" s="1" t="s">
        <v>2706</v>
      </c>
    </row>
    <row r="24" spans="1:3">
      <c r="A24" s="1">
        <v>24</v>
      </c>
      <c r="B24" s="1" t="s">
        <v>2145</v>
      </c>
      <c r="C24" s="1" t="s">
        <v>2146</v>
      </c>
    </row>
    <row r="25" spans="1:3">
      <c r="A25" s="1">
        <v>25</v>
      </c>
      <c r="B25" s="1" t="s">
        <v>2147</v>
      </c>
      <c r="C25" s="1" t="s">
        <v>2148</v>
      </c>
    </row>
    <row r="26" spans="1:3">
      <c r="A26" s="1">
        <v>26</v>
      </c>
      <c r="B26" s="1" t="s">
        <v>2149</v>
      </c>
      <c r="C26" s="1" t="s">
        <v>2150</v>
      </c>
    </row>
    <row r="27" spans="1:3">
      <c r="A27" s="1">
        <v>27</v>
      </c>
      <c r="B27" s="1" t="s">
        <v>2151</v>
      </c>
      <c r="C27" s="1" t="s">
        <v>2152</v>
      </c>
    </row>
    <row r="28" spans="1:3">
      <c r="A28" s="1">
        <v>28</v>
      </c>
      <c r="B28" s="1" t="s">
        <v>2153</v>
      </c>
      <c r="C28" s="1" t="s">
        <v>2154</v>
      </c>
    </row>
    <row r="29" spans="1:3">
      <c r="A29" s="1">
        <v>29</v>
      </c>
      <c r="B29" s="1" t="s">
        <v>1572</v>
      </c>
      <c r="C29" s="1" t="s">
        <v>2707</v>
      </c>
    </row>
    <row r="30" spans="1:3">
      <c r="A30" s="1">
        <v>30</v>
      </c>
      <c r="B30" s="1" t="s">
        <v>1542</v>
      </c>
      <c r="C30" s="1" t="s">
        <v>2155</v>
      </c>
    </row>
    <row r="31" spans="1:3">
      <c r="A31" s="1">
        <v>31</v>
      </c>
      <c r="B31" s="1" t="s">
        <v>1543</v>
      </c>
      <c r="C31" s="1" t="s">
        <v>2156</v>
      </c>
    </row>
    <row r="32" spans="1:3">
      <c r="A32" s="1">
        <v>32</v>
      </c>
      <c r="B32" s="1" t="s">
        <v>1544</v>
      </c>
      <c r="C32" s="1" t="s">
        <v>2157</v>
      </c>
    </row>
    <row r="33" spans="1:3">
      <c r="A33" s="1">
        <v>33</v>
      </c>
      <c r="B33" s="1" t="s">
        <v>1545</v>
      </c>
      <c r="C33" s="1" t="s">
        <v>2158</v>
      </c>
    </row>
    <row r="34" spans="1:3">
      <c r="A34" s="1">
        <v>34</v>
      </c>
      <c r="B34" s="1" t="s">
        <v>1546</v>
      </c>
      <c r="C34" s="1" t="s">
        <v>2159</v>
      </c>
    </row>
    <row r="35" spans="1:3">
      <c r="A35" s="1">
        <v>35</v>
      </c>
      <c r="B35" s="1" t="s">
        <v>2160</v>
      </c>
      <c r="C35" s="1" t="s">
        <v>2708</v>
      </c>
    </row>
    <row r="36" spans="1:3" ht="26.25" customHeight="1">
      <c r="A36" s="1">
        <v>36</v>
      </c>
      <c r="B36" s="1" t="s">
        <v>2161</v>
      </c>
      <c r="C36" s="1" t="s">
        <v>2162</v>
      </c>
    </row>
    <row r="37" spans="1:3" ht="26.25" customHeight="1">
      <c r="A37" s="1">
        <v>37</v>
      </c>
      <c r="B37" s="1" t="s">
        <v>2163</v>
      </c>
      <c r="C37" s="1" t="s">
        <v>2164</v>
      </c>
    </row>
    <row r="38" spans="1:3" ht="26.25" customHeight="1">
      <c r="A38" s="1">
        <v>38</v>
      </c>
      <c r="B38" s="1" t="s">
        <v>2702</v>
      </c>
      <c r="C38" s="1" t="s">
        <v>2165</v>
      </c>
    </row>
    <row r="39" spans="1:3" ht="26.25" customHeight="1">
      <c r="A39" s="1">
        <v>39</v>
      </c>
      <c r="B39" s="1" t="s">
        <v>1563</v>
      </c>
      <c r="C39" s="1" t="s">
        <v>2166</v>
      </c>
    </row>
    <row r="40" spans="1:3" ht="26.25" customHeight="1">
      <c r="A40" s="1">
        <v>40</v>
      </c>
      <c r="B40" s="1" t="s">
        <v>2701</v>
      </c>
      <c r="C40" s="1" t="s">
        <v>2167</v>
      </c>
    </row>
    <row r="41" spans="1:3" ht="26.25" customHeight="1">
      <c r="A41" s="1">
        <v>41</v>
      </c>
      <c r="B41" s="1" t="s">
        <v>2168</v>
      </c>
      <c r="C41" s="1" t="s">
        <v>2169</v>
      </c>
    </row>
    <row r="42" spans="1:3" ht="26.25" customHeight="1">
      <c r="A42" s="1">
        <v>42</v>
      </c>
      <c r="B42" s="1" t="s">
        <v>2170</v>
      </c>
      <c r="C42" s="1" t="s">
        <v>2171</v>
      </c>
    </row>
    <row r="43" spans="1:3">
      <c r="A43" s="1">
        <v>43</v>
      </c>
      <c r="B43" s="1" t="s">
        <v>2172</v>
      </c>
      <c r="C43" s="1" t="s">
        <v>2173</v>
      </c>
    </row>
    <row r="44" spans="1:3">
      <c r="A44" s="1">
        <v>44</v>
      </c>
      <c r="B44" s="1" t="s">
        <v>2174</v>
      </c>
      <c r="C44" s="1" t="s">
        <v>2175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23881-390A-4B6A-A25B-BE65E3FE7041}">
  <sheetPr codeName="FBTemplate">
    <pageSetUpPr fitToPage="1"/>
  </sheetPr>
  <dimension ref="A1:H152"/>
  <sheetViews>
    <sheetView zoomScale="52" zoomScaleNormal="47" workbookViewId="0">
      <selection activeCell="G8" sqref="G8:H8"/>
    </sheetView>
  </sheetViews>
  <sheetFormatPr defaultColWidth="9.140625" defaultRowHeight="28.5"/>
  <cols>
    <col min="1" max="3" width="2" style="170" bestFit="1" customWidth="1"/>
    <col min="4" max="4" width="2" style="170" customWidth="1"/>
    <col min="5" max="5" width="31" style="170" bestFit="1" customWidth="1"/>
    <col min="6" max="6" width="52.5703125" style="170" customWidth="1"/>
    <col min="7" max="7" width="6" style="170" bestFit="1" customWidth="1"/>
    <col min="8" max="8" width="122.7109375" style="170" customWidth="1"/>
    <col min="9" max="16384" width="9.140625" style="170"/>
  </cols>
  <sheetData>
    <row r="1" spans="1:8" s="169" customFormat="1" ht="141.75" customHeight="1" thickBot="1">
      <c r="A1" s="430" t="s">
        <v>617</v>
      </c>
      <c r="B1" s="431"/>
      <c r="C1" s="431"/>
      <c r="D1" s="431"/>
      <c r="E1" s="431"/>
      <c r="F1" s="432"/>
      <c r="G1" s="433" t="s">
        <v>1560</v>
      </c>
      <c r="H1" s="434"/>
    </row>
    <row r="2" spans="1:8" ht="52.15" customHeight="1" thickBot="1">
      <c r="A2" s="435" t="s">
        <v>468</v>
      </c>
      <c r="B2" s="436"/>
      <c r="C2" s="436"/>
      <c r="D2" s="437"/>
      <c r="E2" s="370" t="s">
        <v>619</v>
      </c>
      <c r="F2" s="371"/>
      <c r="G2" s="370" t="s">
        <v>620</v>
      </c>
      <c r="H2" s="371"/>
    </row>
    <row r="3" spans="1:8" ht="56.25" customHeight="1" thickBot="1">
      <c r="A3" s="435" t="s">
        <v>469</v>
      </c>
      <c r="B3" s="436"/>
      <c r="C3" s="436"/>
      <c r="D3" s="437"/>
      <c r="E3" s="370" t="s">
        <v>618</v>
      </c>
      <c r="F3" s="371"/>
      <c r="G3" s="370" t="s">
        <v>621</v>
      </c>
      <c r="H3" s="371"/>
    </row>
    <row r="4" spans="1:8" s="169" customFormat="1" ht="96" customHeight="1" thickBot="1">
      <c r="A4" s="438" t="s">
        <v>470</v>
      </c>
      <c r="B4" s="439"/>
      <c r="C4" s="439"/>
      <c r="D4" s="439"/>
      <c r="E4" s="439"/>
      <c r="F4" s="439"/>
      <c r="G4" s="440" t="s">
        <v>471</v>
      </c>
      <c r="H4" s="441"/>
    </row>
    <row r="5" spans="1:8" ht="150.75" customHeight="1">
      <c r="A5" s="442"/>
      <c r="B5" s="443"/>
      <c r="C5" s="443"/>
      <c r="D5" s="443"/>
      <c r="E5" s="443"/>
      <c r="F5" s="444"/>
      <c r="G5" s="442"/>
      <c r="H5" s="444"/>
    </row>
    <row r="6" spans="1:8" ht="150.75" customHeight="1">
      <c r="A6" s="445"/>
      <c r="B6" s="446"/>
      <c r="C6" s="446"/>
      <c r="D6" s="446"/>
      <c r="E6" s="446"/>
      <c r="F6" s="447"/>
      <c r="G6" s="445"/>
      <c r="H6" s="447"/>
    </row>
    <row r="7" spans="1:8" ht="150.75" customHeight="1">
      <c r="A7" s="445"/>
      <c r="B7" s="446"/>
      <c r="C7" s="446"/>
      <c r="D7" s="446"/>
      <c r="E7" s="446"/>
      <c r="F7" s="447"/>
      <c r="G7" s="445"/>
      <c r="H7" s="447"/>
    </row>
    <row r="8" spans="1:8" ht="150.75" customHeight="1">
      <c r="A8" s="445"/>
      <c r="B8" s="446"/>
      <c r="C8" s="446"/>
      <c r="D8" s="446"/>
      <c r="E8" s="446"/>
      <c r="F8" s="447"/>
      <c r="G8" s="445"/>
      <c r="H8" s="447"/>
    </row>
    <row r="9" spans="1:8" ht="150.75" customHeight="1">
      <c r="A9" s="445"/>
      <c r="B9" s="446"/>
      <c r="C9" s="446"/>
      <c r="D9" s="446"/>
      <c r="E9" s="446"/>
      <c r="F9" s="447"/>
      <c r="G9" s="445"/>
      <c r="H9" s="447"/>
    </row>
    <row r="10" spans="1:8" ht="150.75" customHeight="1">
      <c r="A10" s="445"/>
      <c r="B10" s="446"/>
      <c r="C10" s="446"/>
      <c r="D10" s="446"/>
      <c r="E10" s="446"/>
      <c r="F10" s="447"/>
      <c r="G10" s="445"/>
      <c r="H10" s="447"/>
    </row>
    <row r="11" spans="1:8" ht="150.75" customHeight="1">
      <c r="A11" s="445"/>
      <c r="B11" s="446"/>
      <c r="C11" s="446"/>
      <c r="D11" s="446"/>
      <c r="E11" s="446"/>
      <c r="F11" s="447"/>
      <c r="G11" s="445"/>
      <c r="H11" s="447"/>
    </row>
    <row r="12" spans="1:8" ht="150.75" customHeight="1">
      <c r="A12" s="445"/>
      <c r="B12" s="446"/>
      <c r="C12" s="446"/>
      <c r="D12" s="446"/>
      <c r="E12" s="446"/>
      <c r="F12" s="447"/>
      <c r="G12" s="445"/>
      <c r="H12" s="447"/>
    </row>
    <row r="13" spans="1:8" ht="150.75" customHeight="1">
      <c r="A13" s="445"/>
      <c r="B13" s="446"/>
      <c r="C13" s="446"/>
      <c r="D13" s="446"/>
      <c r="E13" s="446"/>
      <c r="F13" s="447"/>
      <c r="G13" s="445"/>
      <c r="H13" s="447"/>
    </row>
    <row r="14" spans="1:8" ht="150.75" customHeight="1">
      <c r="A14" s="445"/>
      <c r="B14" s="446"/>
      <c r="C14" s="446"/>
      <c r="D14" s="446"/>
      <c r="E14" s="446"/>
      <c r="F14" s="447"/>
      <c r="G14" s="445"/>
      <c r="H14" s="447"/>
    </row>
    <row r="15" spans="1:8" ht="150.75" customHeight="1">
      <c r="A15" s="445"/>
      <c r="B15" s="446"/>
      <c r="C15" s="446"/>
      <c r="D15" s="446"/>
      <c r="E15" s="446"/>
      <c r="F15" s="447"/>
      <c r="G15" s="445"/>
      <c r="H15" s="447"/>
    </row>
    <row r="16" spans="1:8" ht="150.75" customHeight="1">
      <c r="A16" s="445"/>
      <c r="B16" s="446"/>
      <c r="C16" s="446"/>
      <c r="D16" s="446"/>
      <c r="E16" s="446"/>
      <c r="F16" s="447"/>
      <c r="G16" s="445"/>
      <c r="H16" s="447"/>
    </row>
    <row r="17" spans="1:8" ht="150.75" customHeight="1">
      <c r="A17" s="445"/>
      <c r="B17" s="446"/>
      <c r="C17" s="446"/>
      <c r="D17" s="446"/>
      <c r="E17" s="446"/>
      <c r="F17" s="447"/>
      <c r="G17" s="445"/>
      <c r="H17" s="447"/>
    </row>
    <row r="18" spans="1:8" ht="150.75" customHeight="1">
      <c r="A18" s="445"/>
      <c r="B18" s="446"/>
      <c r="C18" s="446"/>
      <c r="D18" s="446"/>
      <c r="E18" s="446"/>
      <c r="F18" s="447"/>
      <c r="G18" s="445"/>
      <c r="H18" s="447"/>
    </row>
    <row r="19" spans="1:8" ht="150.75" customHeight="1">
      <c r="A19" s="445"/>
      <c r="B19" s="446"/>
      <c r="C19" s="446"/>
      <c r="D19" s="446"/>
      <c r="E19" s="446"/>
      <c r="F19" s="447"/>
      <c r="G19" s="445"/>
      <c r="H19" s="447"/>
    </row>
    <row r="20" spans="1:8" ht="150.75" customHeight="1">
      <c r="A20" s="445"/>
      <c r="B20" s="446"/>
      <c r="C20" s="446"/>
      <c r="D20" s="446"/>
      <c r="E20" s="446"/>
      <c r="F20" s="447"/>
      <c r="G20" s="445"/>
      <c r="H20" s="447"/>
    </row>
    <row r="21" spans="1:8" ht="150.75" customHeight="1">
      <c r="A21" s="445"/>
      <c r="B21" s="446"/>
      <c r="C21" s="446"/>
      <c r="D21" s="446"/>
      <c r="E21" s="446"/>
      <c r="F21" s="447"/>
      <c r="G21" s="445"/>
      <c r="H21" s="447"/>
    </row>
    <row r="22" spans="1:8" ht="150.75" customHeight="1">
      <c r="A22" s="445"/>
      <c r="B22" s="446"/>
      <c r="C22" s="446"/>
      <c r="D22" s="446"/>
      <c r="E22" s="446"/>
      <c r="F22" s="447"/>
      <c r="G22" s="445"/>
      <c r="H22" s="447"/>
    </row>
    <row r="23" spans="1:8" ht="150.75" customHeight="1">
      <c r="A23" s="445"/>
      <c r="B23" s="446"/>
      <c r="C23" s="446"/>
      <c r="D23" s="446"/>
      <c r="E23" s="446"/>
      <c r="F23" s="447"/>
      <c r="G23" s="445"/>
      <c r="H23" s="447"/>
    </row>
    <row r="24" spans="1:8" ht="150.75" customHeight="1" thickBot="1">
      <c r="A24" s="457"/>
      <c r="B24" s="458"/>
      <c r="C24" s="458"/>
      <c r="D24" s="458"/>
      <c r="E24" s="458"/>
      <c r="F24" s="459"/>
      <c r="G24" s="457"/>
      <c r="H24" s="459"/>
    </row>
    <row r="25" spans="1:8" ht="96" customHeight="1" thickBot="1">
      <c r="A25" s="460" t="s">
        <v>1571</v>
      </c>
      <c r="B25" s="461"/>
      <c r="C25" s="461"/>
      <c r="D25" s="461"/>
      <c r="E25" s="461"/>
      <c r="F25" s="461"/>
      <c r="G25" s="461"/>
      <c r="H25" s="462"/>
    </row>
    <row r="26" spans="1:8" s="173" customFormat="1" ht="35.25" customHeight="1">
      <c r="A26" s="448"/>
      <c r="B26" s="449"/>
      <c r="C26" s="449"/>
      <c r="D26" s="449"/>
      <c r="E26" s="450"/>
      <c r="F26" s="448"/>
      <c r="G26" s="171"/>
      <c r="H26" s="172"/>
    </row>
    <row r="27" spans="1:8" s="173" customFormat="1" ht="35.25" customHeight="1">
      <c r="A27" s="451"/>
      <c r="B27" s="452"/>
      <c r="C27" s="452"/>
      <c r="D27" s="452"/>
      <c r="E27" s="453"/>
      <c r="F27" s="451"/>
      <c r="G27" s="174"/>
      <c r="H27" s="175"/>
    </row>
    <row r="28" spans="1:8" s="173" customFormat="1" ht="35.25" customHeight="1">
      <c r="A28" s="451"/>
      <c r="B28" s="452"/>
      <c r="C28" s="452"/>
      <c r="D28" s="452"/>
      <c r="E28" s="453"/>
      <c r="F28" s="451"/>
      <c r="G28" s="174"/>
      <c r="H28" s="175"/>
    </row>
    <row r="29" spans="1:8" s="173" customFormat="1" ht="35.25" customHeight="1">
      <c r="A29" s="451"/>
      <c r="B29" s="452"/>
      <c r="C29" s="452"/>
      <c r="D29" s="452"/>
      <c r="E29" s="453"/>
      <c r="F29" s="451"/>
      <c r="G29" s="174"/>
      <c r="H29" s="175"/>
    </row>
    <row r="30" spans="1:8" s="173" customFormat="1" ht="35.25" customHeight="1">
      <c r="A30" s="451"/>
      <c r="B30" s="452"/>
      <c r="C30" s="452"/>
      <c r="D30" s="452"/>
      <c r="E30" s="453"/>
      <c r="F30" s="451"/>
      <c r="G30" s="174"/>
      <c r="H30" s="175"/>
    </row>
    <row r="31" spans="1:8" s="173" customFormat="1" ht="35.25" customHeight="1">
      <c r="A31" s="451"/>
      <c r="B31" s="452"/>
      <c r="C31" s="452"/>
      <c r="D31" s="452"/>
      <c r="E31" s="453"/>
      <c r="F31" s="451"/>
      <c r="G31" s="174"/>
      <c r="H31" s="175"/>
    </row>
    <row r="32" spans="1:8" s="173" customFormat="1" ht="35.25" customHeight="1">
      <c r="A32" s="451"/>
      <c r="B32" s="452"/>
      <c r="C32" s="452"/>
      <c r="D32" s="452"/>
      <c r="E32" s="453"/>
      <c r="F32" s="451"/>
      <c r="G32" s="174"/>
      <c r="H32" s="175"/>
    </row>
    <row r="33" spans="1:8" s="173" customFormat="1" ht="35.25" customHeight="1">
      <c r="A33" s="451"/>
      <c r="B33" s="452"/>
      <c r="C33" s="452"/>
      <c r="D33" s="452"/>
      <c r="E33" s="453"/>
      <c r="F33" s="451"/>
      <c r="G33" s="174"/>
      <c r="H33" s="175"/>
    </row>
    <row r="34" spans="1:8" s="173" customFormat="1" ht="35.25" customHeight="1">
      <c r="A34" s="451"/>
      <c r="B34" s="452"/>
      <c r="C34" s="452"/>
      <c r="D34" s="452"/>
      <c r="E34" s="453"/>
      <c r="F34" s="451"/>
      <c r="G34" s="174"/>
      <c r="H34" s="175"/>
    </row>
    <row r="35" spans="1:8" s="173" customFormat="1" ht="35.25" customHeight="1" thickBot="1">
      <c r="A35" s="454"/>
      <c r="B35" s="455"/>
      <c r="C35" s="455"/>
      <c r="D35" s="455"/>
      <c r="E35" s="456"/>
      <c r="F35" s="454"/>
      <c r="G35" s="176"/>
      <c r="H35" s="177"/>
    </row>
    <row r="36" spans="1:8" s="173" customFormat="1" ht="35.25" customHeight="1">
      <c r="A36" s="448"/>
      <c r="B36" s="449"/>
      <c r="C36" s="449"/>
      <c r="D36" s="449"/>
      <c r="E36" s="450"/>
      <c r="F36" s="463"/>
      <c r="G36" s="171"/>
      <c r="H36" s="172"/>
    </row>
    <row r="37" spans="1:8" s="173" customFormat="1" ht="35.25" customHeight="1">
      <c r="A37" s="451"/>
      <c r="B37" s="452"/>
      <c r="C37" s="452"/>
      <c r="D37" s="452"/>
      <c r="E37" s="453"/>
      <c r="F37" s="464"/>
      <c r="G37" s="174"/>
      <c r="H37" s="175"/>
    </row>
    <row r="38" spans="1:8" s="173" customFormat="1" ht="35.25" customHeight="1">
      <c r="A38" s="451"/>
      <c r="B38" s="452"/>
      <c r="C38" s="452"/>
      <c r="D38" s="452"/>
      <c r="E38" s="453"/>
      <c r="F38" s="464"/>
      <c r="G38" s="174"/>
      <c r="H38" s="175"/>
    </row>
    <row r="39" spans="1:8" s="173" customFormat="1" ht="35.25" customHeight="1">
      <c r="A39" s="451"/>
      <c r="B39" s="452"/>
      <c r="C39" s="452"/>
      <c r="D39" s="452"/>
      <c r="E39" s="453"/>
      <c r="F39" s="464"/>
      <c r="G39" s="174"/>
      <c r="H39" s="175"/>
    </row>
    <row r="40" spans="1:8" s="173" customFormat="1" ht="35.25" customHeight="1">
      <c r="A40" s="451"/>
      <c r="B40" s="452"/>
      <c r="C40" s="452"/>
      <c r="D40" s="452"/>
      <c r="E40" s="453"/>
      <c r="F40" s="464"/>
      <c r="G40" s="174"/>
      <c r="H40" s="175"/>
    </row>
    <row r="41" spans="1:8" s="173" customFormat="1" ht="35.25" customHeight="1">
      <c r="A41" s="451"/>
      <c r="B41" s="452"/>
      <c r="C41" s="452"/>
      <c r="D41" s="452"/>
      <c r="E41" s="453"/>
      <c r="F41" s="464"/>
      <c r="G41" s="174"/>
      <c r="H41" s="175"/>
    </row>
    <row r="42" spans="1:8" s="173" customFormat="1" ht="35.25" customHeight="1">
      <c r="A42" s="451"/>
      <c r="B42" s="452"/>
      <c r="C42" s="452"/>
      <c r="D42" s="452"/>
      <c r="E42" s="453"/>
      <c r="F42" s="464"/>
      <c r="G42" s="174"/>
      <c r="H42" s="175"/>
    </row>
    <row r="43" spans="1:8" s="173" customFormat="1" ht="35.25" customHeight="1">
      <c r="A43" s="451"/>
      <c r="B43" s="452"/>
      <c r="C43" s="452"/>
      <c r="D43" s="452"/>
      <c r="E43" s="453"/>
      <c r="F43" s="464"/>
      <c r="G43" s="174"/>
      <c r="H43" s="175"/>
    </row>
    <row r="44" spans="1:8" s="173" customFormat="1" ht="35.25" customHeight="1">
      <c r="A44" s="451"/>
      <c r="B44" s="452"/>
      <c r="C44" s="452"/>
      <c r="D44" s="452"/>
      <c r="E44" s="453"/>
      <c r="F44" s="464"/>
      <c r="G44" s="174"/>
      <c r="H44" s="175"/>
    </row>
    <row r="45" spans="1:8" s="173" customFormat="1" ht="35.25" customHeight="1" thickBot="1">
      <c r="A45" s="454"/>
      <c r="B45" s="455"/>
      <c r="C45" s="455"/>
      <c r="D45" s="455"/>
      <c r="E45" s="456"/>
      <c r="F45" s="465"/>
      <c r="G45" s="176"/>
      <c r="H45" s="177"/>
    </row>
    <row r="46" spans="1:8" s="173" customFormat="1" ht="35.25" customHeight="1">
      <c r="A46" s="448"/>
      <c r="B46" s="449"/>
      <c r="C46" s="449"/>
      <c r="D46" s="449"/>
      <c r="E46" s="450"/>
      <c r="F46" s="463"/>
      <c r="G46" s="171"/>
      <c r="H46" s="172"/>
    </row>
    <row r="47" spans="1:8" s="173" customFormat="1" ht="35.25" customHeight="1">
      <c r="A47" s="451"/>
      <c r="B47" s="452"/>
      <c r="C47" s="452"/>
      <c r="D47" s="452"/>
      <c r="E47" s="453"/>
      <c r="F47" s="464"/>
      <c r="G47" s="174"/>
      <c r="H47" s="175"/>
    </row>
    <row r="48" spans="1:8" s="173" customFormat="1" ht="35.25" customHeight="1">
      <c r="A48" s="451"/>
      <c r="B48" s="452"/>
      <c r="C48" s="452"/>
      <c r="D48" s="452"/>
      <c r="E48" s="453"/>
      <c r="F48" s="464"/>
      <c r="G48" s="174"/>
      <c r="H48" s="175"/>
    </row>
    <row r="49" spans="1:8" s="173" customFormat="1" ht="35.25" customHeight="1">
      <c r="A49" s="451"/>
      <c r="B49" s="452"/>
      <c r="C49" s="452"/>
      <c r="D49" s="452"/>
      <c r="E49" s="453"/>
      <c r="F49" s="464"/>
      <c r="G49" s="174"/>
      <c r="H49" s="175"/>
    </row>
    <row r="50" spans="1:8" s="173" customFormat="1" ht="35.25" customHeight="1">
      <c r="A50" s="451"/>
      <c r="B50" s="452"/>
      <c r="C50" s="452"/>
      <c r="D50" s="452"/>
      <c r="E50" s="453"/>
      <c r="F50" s="464"/>
      <c r="G50" s="174"/>
      <c r="H50" s="175"/>
    </row>
    <row r="51" spans="1:8" s="173" customFormat="1" ht="35.25" customHeight="1">
      <c r="A51" s="451"/>
      <c r="B51" s="452"/>
      <c r="C51" s="452"/>
      <c r="D51" s="452"/>
      <c r="E51" s="453"/>
      <c r="F51" s="464"/>
      <c r="G51" s="174"/>
      <c r="H51" s="175"/>
    </row>
    <row r="52" spans="1:8" s="173" customFormat="1" ht="35.25" customHeight="1">
      <c r="A52" s="451"/>
      <c r="B52" s="452"/>
      <c r="C52" s="452"/>
      <c r="D52" s="452"/>
      <c r="E52" s="453"/>
      <c r="F52" s="464"/>
      <c r="G52" s="174"/>
      <c r="H52" s="175"/>
    </row>
    <row r="53" spans="1:8" s="173" customFormat="1" ht="35.25" customHeight="1">
      <c r="A53" s="451"/>
      <c r="B53" s="452"/>
      <c r="C53" s="452"/>
      <c r="D53" s="452"/>
      <c r="E53" s="453"/>
      <c r="F53" s="464"/>
      <c r="G53" s="174"/>
      <c r="H53" s="175"/>
    </row>
    <row r="54" spans="1:8" s="173" customFormat="1" ht="35.25" customHeight="1">
      <c r="A54" s="451"/>
      <c r="B54" s="452"/>
      <c r="C54" s="452"/>
      <c r="D54" s="452"/>
      <c r="E54" s="453"/>
      <c r="F54" s="464"/>
      <c r="G54" s="174"/>
      <c r="H54" s="175"/>
    </row>
    <row r="55" spans="1:8" s="173" customFormat="1" ht="35.25" customHeight="1" thickBot="1">
      <c r="A55" s="454"/>
      <c r="B55" s="455"/>
      <c r="C55" s="455"/>
      <c r="D55" s="455"/>
      <c r="E55" s="456"/>
      <c r="F55" s="465"/>
      <c r="G55" s="176"/>
      <c r="H55" s="177"/>
    </row>
    <row r="56" spans="1:8" ht="35.25" customHeight="1">
      <c r="A56" s="448"/>
      <c r="B56" s="449"/>
      <c r="C56" s="449"/>
      <c r="D56" s="449"/>
      <c r="E56" s="450"/>
      <c r="F56" s="463"/>
      <c r="G56" s="171"/>
      <c r="H56" s="172"/>
    </row>
    <row r="57" spans="1:8" ht="35.25" customHeight="1">
      <c r="A57" s="451"/>
      <c r="B57" s="452"/>
      <c r="C57" s="452"/>
      <c r="D57" s="452"/>
      <c r="E57" s="453"/>
      <c r="F57" s="464"/>
      <c r="G57" s="174"/>
      <c r="H57" s="175"/>
    </row>
    <row r="58" spans="1:8" ht="35.25" customHeight="1">
      <c r="A58" s="451"/>
      <c r="B58" s="452"/>
      <c r="C58" s="452"/>
      <c r="D58" s="452"/>
      <c r="E58" s="453"/>
      <c r="F58" s="464"/>
      <c r="G58" s="174"/>
      <c r="H58" s="175"/>
    </row>
    <row r="59" spans="1:8" ht="35.25" customHeight="1">
      <c r="A59" s="451"/>
      <c r="B59" s="452"/>
      <c r="C59" s="452"/>
      <c r="D59" s="452"/>
      <c r="E59" s="453"/>
      <c r="F59" s="464"/>
      <c r="G59" s="174"/>
      <c r="H59" s="175"/>
    </row>
    <row r="60" spans="1:8" ht="35.25" customHeight="1">
      <c r="A60" s="451"/>
      <c r="B60" s="452"/>
      <c r="C60" s="452"/>
      <c r="D60" s="452"/>
      <c r="E60" s="453"/>
      <c r="F60" s="464"/>
      <c r="G60" s="174"/>
      <c r="H60" s="175"/>
    </row>
    <row r="61" spans="1:8" ht="35.25" customHeight="1">
      <c r="A61" s="451"/>
      <c r="B61" s="452"/>
      <c r="C61" s="452"/>
      <c r="D61" s="452"/>
      <c r="E61" s="453"/>
      <c r="F61" s="464"/>
      <c r="G61" s="174"/>
      <c r="H61" s="175"/>
    </row>
    <row r="62" spans="1:8" ht="35.25" customHeight="1">
      <c r="A62" s="451"/>
      <c r="B62" s="452"/>
      <c r="C62" s="452"/>
      <c r="D62" s="452"/>
      <c r="E62" s="453"/>
      <c r="F62" s="464"/>
      <c r="G62" s="174"/>
      <c r="H62" s="175"/>
    </row>
    <row r="63" spans="1:8" ht="35.25" customHeight="1">
      <c r="A63" s="451"/>
      <c r="B63" s="452"/>
      <c r="C63" s="452"/>
      <c r="D63" s="452"/>
      <c r="E63" s="453"/>
      <c r="F63" s="464"/>
      <c r="G63" s="174"/>
      <c r="H63" s="175"/>
    </row>
    <row r="64" spans="1:8" ht="35.25" customHeight="1">
      <c r="A64" s="451"/>
      <c r="B64" s="452"/>
      <c r="C64" s="452"/>
      <c r="D64" s="452"/>
      <c r="E64" s="453"/>
      <c r="F64" s="464"/>
      <c r="G64" s="174"/>
      <c r="H64" s="175"/>
    </row>
    <row r="65" spans="1:8" ht="35.25" customHeight="1" thickBot="1">
      <c r="A65" s="454"/>
      <c r="B65" s="455"/>
      <c r="C65" s="455"/>
      <c r="D65" s="455"/>
      <c r="E65" s="456"/>
      <c r="F65" s="465"/>
      <c r="G65" s="176"/>
      <c r="H65" s="177"/>
    </row>
    <row r="66" spans="1:8" ht="35.25" customHeight="1">
      <c r="A66" s="448"/>
      <c r="B66" s="449"/>
      <c r="C66" s="449"/>
      <c r="D66" s="449"/>
      <c r="E66" s="450"/>
      <c r="F66" s="463"/>
      <c r="G66" s="171"/>
      <c r="H66" s="172"/>
    </row>
    <row r="67" spans="1:8" ht="35.25" customHeight="1">
      <c r="A67" s="451"/>
      <c r="B67" s="452"/>
      <c r="C67" s="452"/>
      <c r="D67" s="452"/>
      <c r="E67" s="453"/>
      <c r="F67" s="464"/>
      <c r="G67" s="174"/>
      <c r="H67" s="175"/>
    </row>
    <row r="68" spans="1:8" ht="35.25" customHeight="1">
      <c r="A68" s="451"/>
      <c r="B68" s="452"/>
      <c r="C68" s="452"/>
      <c r="D68" s="452"/>
      <c r="E68" s="453"/>
      <c r="F68" s="464"/>
      <c r="G68" s="174"/>
      <c r="H68" s="175"/>
    </row>
    <row r="69" spans="1:8" ht="35.25" customHeight="1">
      <c r="A69" s="451"/>
      <c r="B69" s="452"/>
      <c r="C69" s="452"/>
      <c r="D69" s="452"/>
      <c r="E69" s="453"/>
      <c r="F69" s="464"/>
      <c r="G69" s="174"/>
      <c r="H69" s="175"/>
    </row>
    <row r="70" spans="1:8" ht="35.25" customHeight="1">
      <c r="A70" s="451"/>
      <c r="B70" s="452"/>
      <c r="C70" s="452"/>
      <c r="D70" s="452"/>
      <c r="E70" s="453"/>
      <c r="F70" s="464"/>
      <c r="G70" s="174"/>
      <c r="H70" s="175"/>
    </row>
    <row r="71" spans="1:8" ht="35.25" customHeight="1">
      <c r="A71" s="451"/>
      <c r="B71" s="452"/>
      <c r="C71" s="452"/>
      <c r="D71" s="452"/>
      <c r="E71" s="453"/>
      <c r="F71" s="464"/>
      <c r="G71" s="174"/>
      <c r="H71" s="175"/>
    </row>
    <row r="72" spans="1:8" ht="35.25" customHeight="1">
      <c r="A72" s="451"/>
      <c r="B72" s="452"/>
      <c r="C72" s="452"/>
      <c r="D72" s="452"/>
      <c r="E72" s="453"/>
      <c r="F72" s="464"/>
      <c r="G72" s="174"/>
      <c r="H72" s="175"/>
    </row>
    <row r="73" spans="1:8" ht="35.25" customHeight="1">
      <c r="A73" s="451"/>
      <c r="B73" s="452"/>
      <c r="C73" s="452"/>
      <c r="D73" s="452"/>
      <c r="E73" s="453"/>
      <c r="F73" s="464"/>
      <c r="G73" s="174"/>
      <c r="H73" s="175"/>
    </row>
    <row r="74" spans="1:8" ht="35.25" customHeight="1">
      <c r="A74" s="451"/>
      <c r="B74" s="452"/>
      <c r="C74" s="452"/>
      <c r="D74" s="452"/>
      <c r="E74" s="453"/>
      <c r="F74" s="464"/>
      <c r="G74" s="174"/>
      <c r="H74" s="175"/>
    </row>
    <row r="75" spans="1:8" ht="35.25" customHeight="1" thickBot="1">
      <c r="A75" s="454"/>
      <c r="B75" s="455"/>
      <c r="C75" s="455"/>
      <c r="D75" s="455"/>
      <c r="E75" s="456"/>
      <c r="F75" s="465"/>
      <c r="G75" s="176"/>
      <c r="H75" s="177"/>
    </row>
    <row r="76" spans="1:8" ht="35.25" customHeight="1">
      <c r="A76" s="448"/>
      <c r="B76" s="449"/>
      <c r="C76" s="449"/>
      <c r="D76" s="449"/>
      <c r="E76" s="450"/>
      <c r="F76" s="463"/>
      <c r="G76" s="171"/>
      <c r="H76" s="172"/>
    </row>
    <row r="77" spans="1:8" ht="35.25" customHeight="1">
      <c r="A77" s="451"/>
      <c r="B77" s="452"/>
      <c r="C77" s="452"/>
      <c r="D77" s="452"/>
      <c r="E77" s="453"/>
      <c r="F77" s="464"/>
      <c r="G77" s="174"/>
      <c r="H77" s="175"/>
    </row>
    <row r="78" spans="1:8" ht="35.25" customHeight="1">
      <c r="A78" s="451"/>
      <c r="B78" s="452"/>
      <c r="C78" s="452"/>
      <c r="D78" s="452"/>
      <c r="E78" s="453"/>
      <c r="F78" s="464"/>
      <c r="G78" s="174"/>
      <c r="H78" s="175"/>
    </row>
    <row r="79" spans="1:8" ht="35.25" customHeight="1">
      <c r="A79" s="451"/>
      <c r="B79" s="452"/>
      <c r="C79" s="452"/>
      <c r="D79" s="452"/>
      <c r="E79" s="453"/>
      <c r="F79" s="464"/>
      <c r="G79" s="174"/>
      <c r="H79" s="175"/>
    </row>
    <row r="80" spans="1:8" ht="35.25" customHeight="1">
      <c r="A80" s="451"/>
      <c r="B80" s="452"/>
      <c r="C80" s="452"/>
      <c r="D80" s="452"/>
      <c r="E80" s="453"/>
      <c r="F80" s="464"/>
      <c r="G80" s="174"/>
      <c r="H80" s="175"/>
    </row>
    <row r="81" spans="1:8" ht="35.25" customHeight="1">
      <c r="A81" s="451"/>
      <c r="B81" s="452"/>
      <c r="C81" s="452"/>
      <c r="D81" s="452"/>
      <c r="E81" s="453"/>
      <c r="F81" s="464"/>
      <c r="G81" s="174"/>
      <c r="H81" s="175"/>
    </row>
    <row r="82" spans="1:8" ht="35.25" customHeight="1">
      <c r="A82" s="451"/>
      <c r="B82" s="452"/>
      <c r="C82" s="452"/>
      <c r="D82" s="452"/>
      <c r="E82" s="453"/>
      <c r="F82" s="464"/>
      <c r="G82" s="174"/>
      <c r="H82" s="175"/>
    </row>
    <row r="83" spans="1:8" ht="35.25" customHeight="1">
      <c r="A83" s="451"/>
      <c r="B83" s="452"/>
      <c r="C83" s="452"/>
      <c r="D83" s="452"/>
      <c r="E83" s="453"/>
      <c r="F83" s="464"/>
      <c r="G83" s="174"/>
      <c r="H83" s="175"/>
    </row>
    <row r="84" spans="1:8" ht="35.25" customHeight="1">
      <c r="A84" s="451"/>
      <c r="B84" s="452"/>
      <c r="C84" s="452"/>
      <c r="D84" s="452"/>
      <c r="E84" s="453"/>
      <c r="F84" s="464"/>
      <c r="G84" s="174"/>
      <c r="H84" s="175"/>
    </row>
    <row r="85" spans="1:8" ht="35.25" customHeight="1" thickBot="1">
      <c r="A85" s="454"/>
      <c r="B85" s="455"/>
      <c r="C85" s="455"/>
      <c r="D85" s="455"/>
      <c r="E85" s="456"/>
      <c r="F85" s="465"/>
      <c r="G85" s="176"/>
      <c r="H85" s="177"/>
    </row>
    <row r="86" spans="1:8" ht="35.25" customHeight="1">
      <c r="A86" s="448"/>
      <c r="B86" s="449"/>
      <c r="C86" s="449"/>
      <c r="D86" s="449"/>
      <c r="E86" s="450"/>
      <c r="F86" s="463"/>
      <c r="G86" s="171"/>
      <c r="H86" s="172"/>
    </row>
    <row r="87" spans="1:8" ht="35.25" customHeight="1">
      <c r="A87" s="451"/>
      <c r="B87" s="452"/>
      <c r="C87" s="452"/>
      <c r="D87" s="452"/>
      <c r="E87" s="453"/>
      <c r="F87" s="464"/>
      <c r="G87" s="174"/>
      <c r="H87" s="175"/>
    </row>
    <row r="88" spans="1:8" ht="35.25" customHeight="1">
      <c r="A88" s="451"/>
      <c r="B88" s="452"/>
      <c r="C88" s="452"/>
      <c r="D88" s="452"/>
      <c r="E88" s="453"/>
      <c r="F88" s="464"/>
      <c r="G88" s="174"/>
      <c r="H88" s="175"/>
    </row>
    <row r="89" spans="1:8" ht="35.25" customHeight="1">
      <c r="A89" s="451"/>
      <c r="B89" s="452"/>
      <c r="C89" s="452"/>
      <c r="D89" s="452"/>
      <c r="E89" s="453"/>
      <c r="F89" s="464"/>
      <c r="G89" s="174"/>
      <c r="H89" s="175"/>
    </row>
    <row r="90" spans="1:8" ht="35.25" customHeight="1">
      <c r="A90" s="451"/>
      <c r="B90" s="452"/>
      <c r="C90" s="452"/>
      <c r="D90" s="452"/>
      <c r="E90" s="453"/>
      <c r="F90" s="464"/>
      <c r="G90" s="174"/>
      <c r="H90" s="175"/>
    </row>
    <row r="91" spans="1:8" ht="35.25" customHeight="1">
      <c r="A91" s="451"/>
      <c r="B91" s="452"/>
      <c r="C91" s="452"/>
      <c r="D91" s="452"/>
      <c r="E91" s="453"/>
      <c r="F91" s="464"/>
      <c r="G91" s="174"/>
      <c r="H91" s="175"/>
    </row>
    <row r="92" spans="1:8" ht="35.25" customHeight="1">
      <c r="A92" s="451"/>
      <c r="B92" s="452"/>
      <c r="C92" s="452"/>
      <c r="D92" s="452"/>
      <c r="E92" s="453"/>
      <c r="F92" s="464"/>
      <c r="G92" s="174"/>
      <c r="H92" s="175"/>
    </row>
    <row r="93" spans="1:8" ht="35.25" customHeight="1">
      <c r="A93" s="451"/>
      <c r="B93" s="452"/>
      <c r="C93" s="452"/>
      <c r="D93" s="452"/>
      <c r="E93" s="453"/>
      <c r="F93" s="464"/>
      <c r="G93" s="174"/>
      <c r="H93" s="175"/>
    </row>
    <row r="94" spans="1:8" ht="35.25" customHeight="1">
      <c r="A94" s="451"/>
      <c r="B94" s="452"/>
      <c r="C94" s="452"/>
      <c r="D94" s="452"/>
      <c r="E94" s="453"/>
      <c r="F94" s="464"/>
      <c r="G94" s="174"/>
      <c r="H94" s="175"/>
    </row>
    <row r="95" spans="1:8" ht="35.25" customHeight="1" thickBot="1">
      <c r="A95" s="454"/>
      <c r="B95" s="455"/>
      <c r="C95" s="455"/>
      <c r="D95" s="455"/>
      <c r="E95" s="456"/>
      <c r="F95" s="465"/>
      <c r="G95" s="176"/>
      <c r="H95" s="177"/>
    </row>
    <row r="96" spans="1:8" ht="35.25" customHeight="1">
      <c r="A96" s="448"/>
      <c r="B96" s="449"/>
      <c r="C96" s="449"/>
      <c r="D96" s="449"/>
      <c r="E96" s="450"/>
      <c r="F96" s="463"/>
      <c r="G96" s="171"/>
      <c r="H96" s="172"/>
    </row>
    <row r="97" spans="1:8" ht="35.25" customHeight="1">
      <c r="A97" s="451"/>
      <c r="B97" s="452"/>
      <c r="C97" s="452"/>
      <c r="D97" s="452"/>
      <c r="E97" s="453"/>
      <c r="F97" s="464"/>
      <c r="G97" s="174"/>
      <c r="H97" s="175"/>
    </row>
    <row r="98" spans="1:8" ht="35.25" customHeight="1">
      <c r="A98" s="451"/>
      <c r="B98" s="452"/>
      <c r="C98" s="452"/>
      <c r="D98" s="452"/>
      <c r="E98" s="453"/>
      <c r="F98" s="464"/>
      <c r="G98" s="174"/>
      <c r="H98" s="175"/>
    </row>
    <row r="99" spans="1:8" ht="35.25" customHeight="1">
      <c r="A99" s="451"/>
      <c r="B99" s="452"/>
      <c r="C99" s="452"/>
      <c r="D99" s="452"/>
      <c r="E99" s="453"/>
      <c r="F99" s="464"/>
      <c r="G99" s="174"/>
      <c r="H99" s="175"/>
    </row>
    <row r="100" spans="1:8" ht="35.25" customHeight="1">
      <c r="A100" s="451"/>
      <c r="B100" s="452"/>
      <c r="C100" s="452"/>
      <c r="D100" s="452"/>
      <c r="E100" s="453"/>
      <c r="F100" s="464"/>
      <c r="G100" s="174"/>
      <c r="H100" s="175"/>
    </row>
    <row r="101" spans="1:8" s="169" customFormat="1" ht="35.25" customHeight="1">
      <c r="A101" s="451"/>
      <c r="B101" s="452"/>
      <c r="C101" s="452"/>
      <c r="D101" s="452"/>
      <c r="E101" s="453"/>
      <c r="F101" s="464"/>
      <c r="G101" s="174"/>
      <c r="H101" s="178"/>
    </row>
    <row r="102" spans="1:8" ht="35.25" customHeight="1">
      <c r="A102" s="451"/>
      <c r="B102" s="452"/>
      <c r="C102" s="452"/>
      <c r="D102" s="452"/>
      <c r="E102" s="453"/>
      <c r="F102" s="464"/>
      <c r="G102" s="174"/>
      <c r="H102" s="175"/>
    </row>
    <row r="103" spans="1:8" ht="35.25" customHeight="1">
      <c r="A103" s="451"/>
      <c r="B103" s="452"/>
      <c r="C103" s="452"/>
      <c r="D103" s="452"/>
      <c r="E103" s="453"/>
      <c r="F103" s="464"/>
      <c r="G103" s="174"/>
      <c r="H103" s="175"/>
    </row>
    <row r="104" spans="1:8" ht="35.25" customHeight="1">
      <c r="A104" s="451"/>
      <c r="B104" s="452"/>
      <c r="C104" s="452"/>
      <c r="D104" s="452"/>
      <c r="E104" s="453"/>
      <c r="F104" s="464"/>
      <c r="G104" s="174"/>
      <c r="H104" s="175"/>
    </row>
    <row r="105" spans="1:8" ht="35.25" customHeight="1" thickBot="1">
      <c r="A105" s="454"/>
      <c r="B105" s="455"/>
      <c r="C105" s="455"/>
      <c r="D105" s="455"/>
      <c r="E105" s="456"/>
      <c r="F105" s="465"/>
      <c r="G105" s="176"/>
      <c r="H105" s="177"/>
    </row>
    <row r="106" spans="1:8" ht="35.25" customHeight="1">
      <c r="A106" s="448"/>
      <c r="B106" s="449"/>
      <c r="C106" s="449"/>
      <c r="D106" s="449"/>
      <c r="E106" s="450"/>
      <c r="F106" s="463"/>
      <c r="G106" s="171"/>
      <c r="H106" s="172"/>
    </row>
    <row r="107" spans="1:8" ht="35.25" customHeight="1">
      <c r="A107" s="451"/>
      <c r="B107" s="452"/>
      <c r="C107" s="452"/>
      <c r="D107" s="452"/>
      <c r="E107" s="453"/>
      <c r="F107" s="464"/>
      <c r="G107" s="174"/>
      <c r="H107" s="175"/>
    </row>
    <row r="108" spans="1:8" ht="35.25" customHeight="1">
      <c r="A108" s="451"/>
      <c r="B108" s="452"/>
      <c r="C108" s="452"/>
      <c r="D108" s="452"/>
      <c r="E108" s="453"/>
      <c r="F108" s="464"/>
      <c r="G108" s="174"/>
      <c r="H108" s="175"/>
    </row>
    <row r="109" spans="1:8" ht="35.25" customHeight="1">
      <c r="A109" s="451"/>
      <c r="B109" s="452"/>
      <c r="C109" s="452"/>
      <c r="D109" s="452"/>
      <c r="E109" s="453"/>
      <c r="F109" s="464"/>
      <c r="G109" s="174"/>
      <c r="H109" s="175"/>
    </row>
    <row r="110" spans="1:8" ht="35.25" customHeight="1">
      <c r="A110" s="451"/>
      <c r="B110" s="452"/>
      <c r="C110" s="452"/>
      <c r="D110" s="452"/>
      <c r="E110" s="453"/>
      <c r="F110" s="464"/>
      <c r="G110" s="174"/>
      <c r="H110" s="175"/>
    </row>
    <row r="111" spans="1:8" ht="35.25" customHeight="1">
      <c r="A111" s="451"/>
      <c r="B111" s="452"/>
      <c r="C111" s="452"/>
      <c r="D111" s="452"/>
      <c r="E111" s="453"/>
      <c r="F111" s="464"/>
      <c r="G111" s="174"/>
      <c r="H111" s="175"/>
    </row>
    <row r="112" spans="1:8" ht="35.25" customHeight="1">
      <c r="A112" s="451"/>
      <c r="B112" s="452"/>
      <c r="C112" s="452"/>
      <c r="D112" s="452"/>
      <c r="E112" s="453"/>
      <c r="F112" s="464"/>
      <c r="G112" s="174"/>
      <c r="H112" s="175"/>
    </row>
    <row r="113" spans="1:8" ht="35.25" customHeight="1">
      <c r="A113" s="451"/>
      <c r="B113" s="452"/>
      <c r="C113" s="452"/>
      <c r="D113" s="452"/>
      <c r="E113" s="453"/>
      <c r="F113" s="464"/>
      <c r="G113" s="174"/>
      <c r="H113" s="175"/>
    </row>
    <row r="114" spans="1:8" ht="35.25" customHeight="1">
      <c r="A114" s="451"/>
      <c r="B114" s="452"/>
      <c r="C114" s="452"/>
      <c r="D114" s="452"/>
      <c r="E114" s="453"/>
      <c r="F114" s="464"/>
      <c r="G114" s="174"/>
      <c r="H114" s="175"/>
    </row>
    <row r="115" spans="1:8" ht="35.25" customHeight="1" thickBot="1">
      <c r="A115" s="454"/>
      <c r="B115" s="455"/>
      <c r="C115" s="455"/>
      <c r="D115" s="455"/>
      <c r="E115" s="456"/>
      <c r="F115" s="465"/>
      <c r="G115" s="176"/>
      <c r="H115" s="177"/>
    </row>
    <row r="116" spans="1:8" ht="95.25" customHeight="1" thickBot="1">
      <c r="A116" s="466" t="s">
        <v>1570</v>
      </c>
      <c r="B116" s="467"/>
      <c r="C116" s="467"/>
      <c r="D116" s="467"/>
      <c r="E116" s="467"/>
      <c r="F116" s="467"/>
      <c r="G116" s="467"/>
      <c r="H116" s="468"/>
    </row>
    <row r="117" spans="1:8" ht="35.25" customHeight="1">
      <c r="A117" s="442"/>
      <c r="B117" s="443"/>
      <c r="C117" s="443"/>
      <c r="D117" s="443"/>
      <c r="E117" s="443"/>
      <c r="F117" s="444"/>
      <c r="G117" s="179"/>
      <c r="H117" s="180"/>
    </row>
    <row r="118" spans="1:8" ht="35.25" customHeight="1">
      <c r="A118" s="445"/>
      <c r="B118" s="446"/>
      <c r="C118" s="446"/>
      <c r="D118" s="446"/>
      <c r="E118" s="446"/>
      <c r="F118" s="447"/>
      <c r="G118" s="181"/>
      <c r="H118" s="182"/>
    </row>
    <row r="119" spans="1:8" ht="35.25" customHeight="1">
      <c r="A119" s="445"/>
      <c r="B119" s="446"/>
      <c r="C119" s="446"/>
      <c r="D119" s="446"/>
      <c r="E119" s="446"/>
      <c r="F119" s="447"/>
      <c r="G119" s="181"/>
      <c r="H119" s="182"/>
    </row>
    <row r="120" spans="1:8" ht="35.25" customHeight="1">
      <c r="A120" s="445"/>
      <c r="B120" s="446"/>
      <c r="C120" s="446"/>
      <c r="D120" s="446"/>
      <c r="E120" s="446"/>
      <c r="F120" s="447"/>
      <c r="G120" s="181"/>
      <c r="H120" s="182"/>
    </row>
    <row r="121" spans="1:8" ht="35.25" customHeight="1">
      <c r="A121" s="445"/>
      <c r="B121" s="446"/>
      <c r="C121" s="446"/>
      <c r="D121" s="446"/>
      <c r="E121" s="446"/>
      <c r="F121" s="447"/>
      <c r="G121" s="181"/>
      <c r="H121" s="182"/>
    </row>
    <row r="122" spans="1:8" ht="35.25" customHeight="1" thickBot="1">
      <c r="A122" s="457"/>
      <c r="B122" s="458"/>
      <c r="C122" s="458"/>
      <c r="D122" s="458"/>
      <c r="E122" s="458"/>
      <c r="F122" s="459"/>
      <c r="G122" s="183"/>
      <c r="H122" s="184"/>
    </row>
    <row r="123" spans="1:8" ht="35.25" customHeight="1">
      <c r="A123" s="442"/>
      <c r="B123" s="443"/>
      <c r="C123" s="443"/>
      <c r="D123" s="443"/>
      <c r="E123" s="443"/>
      <c r="F123" s="444"/>
      <c r="G123" s="179"/>
      <c r="H123" s="180"/>
    </row>
    <row r="124" spans="1:8" ht="35.25" customHeight="1">
      <c r="A124" s="445"/>
      <c r="B124" s="446"/>
      <c r="C124" s="446"/>
      <c r="D124" s="446"/>
      <c r="E124" s="446"/>
      <c r="F124" s="447"/>
      <c r="G124" s="181"/>
      <c r="H124" s="182"/>
    </row>
    <row r="125" spans="1:8" ht="35.25" customHeight="1">
      <c r="A125" s="445"/>
      <c r="B125" s="446"/>
      <c r="C125" s="446"/>
      <c r="D125" s="446"/>
      <c r="E125" s="446"/>
      <c r="F125" s="447"/>
      <c r="G125" s="181"/>
      <c r="H125" s="182"/>
    </row>
    <row r="126" spans="1:8" ht="35.25" customHeight="1">
      <c r="A126" s="445"/>
      <c r="B126" s="446"/>
      <c r="C126" s="446"/>
      <c r="D126" s="446"/>
      <c r="E126" s="446"/>
      <c r="F126" s="447"/>
      <c r="G126" s="181"/>
      <c r="H126" s="182"/>
    </row>
    <row r="127" spans="1:8" ht="35.25" customHeight="1">
      <c r="A127" s="445"/>
      <c r="B127" s="446"/>
      <c r="C127" s="446"/>
      <c r="D127" s="446"/>
      <c r="E127" s="446"/>
      <c r="F127" s="447"/>
      <c r="G127" s="181"/>
      <c r="H127" s="182"/>
    </row>
    <row r="128" spans="1:8" ht="35.25" customHeight="1" thickBot="1">
      <c r="A128" s="457"/>
      <c r="B128" s="458"/>
      <c r="C128" s="458"/>
      <c r="D128" s="458"/>
      <c r="E128" s="458"/>
      <c r="F128" s="459"/>
      <c r="G128" s="183"/>
      <c r="H128" s="184"/>
    </row>
    <row r="129" spans="1:8" ht="35.25" customHeight="1">
      <c r="A129" s="442"/>
      <c r="B129" s="443"/>
      <c r="C129" s="443"/>
      <c r="D129" s="443"/>
      <c r="E129" s="443"/>
      <c r="F129" s="444"/>
      <c r="G129" s="179"/>
      <c r="H129" s="180"/>
    </row>
    <row r="130" spans="1:8" ht="35.25" customHeight="1">
      <c r="A130" s="445"/>
      <c r="B130" s="446"/>
      <c r="C130" s="446"/>
      <c r="D130" s="446"/>
      <c r="E130" s="446"/>
      <c r="F130" s="447"/>
      <c r="G130" s="181"/>
      <c r="H130" s="182"/>
    </row>
    <row r="131" spans="1:8" ht="35.25" customHeight="1">
      <c r="A131" s="445"/>
      <c r="B131" s="446"/>
      <c r="C131" s="446"/>
      <c r="D131" s="446"/>
      <c r="E131" s="446"/>
      <c r="F131" s="447"/>
      <c r="G131" s="181"/>
      <c r="H131" s="182"/>
    </row>
    <row r="132" spans="1:8" ht="35.25" customHeight="1">
      <c r="A132" s="445"/>
      <c r="B132" s="446"/>
      <c r="C132" s="446"/>
      <c r="D132" s="446"/>
      <c r="E132" s="446"/>
      <c r="F132" s="447"/>
      <c r="G132" s="181"/>
      <c r="H132" s="182"/>
    </row>
    <row r="133" spans="1:8" ht="35.25" customHeight="1">
      <c r="A133" s="445"/>
      <c r="B133" s="446"/>
      <c r="C133" s="446"/>
      <c r="D133" s="446"/>
      <c r="E133" s="446"/>
      <c r="F133" s="447"/>
      <c r="G133" s="181"/>
      <c r="H133" s="182"/>
    </row>
    <row r="134" spans="1:8" ht="35.25" customHeight="1" thickBot="1">
      <c r="A134" s="457"/>
      <c r="B134" s="458"/>
      <c r="C134" s="458"/>
      <c r="D134" s="458"/>
      <c r="E134" s="458"/>
      <c r="F134" s="459"/>
      <c r="G134" s="183"/>
      <c r="H134" s="184"/>
    </row>
    <row r="135" spans="1:8" ht="35.25" customHeight="1">
      <c r="A135" s="442"/>
      <c r="B135" s="443"/>
      <c r="C135" s="443"/>
      <c r="D135" s="443"/>
      <c r="E135" s="443"/>
      <c r="F135" s="444"/>
      <c r="G135" s="179"/>
      <c r="H135" s="180"/>
    </row>
    <row r="136" spans="1:8" ht="35.25" customHeight="1">
      <c r="A136" s="445"/>
      <c r="B136" s="446"/>
      <c r="C136" s="446"/>
      <c r="D136" s="446"/>
      <c r="E136" s="446"/>
      <c r="F136" s="447"/>
      <c r="G136" s="181"/>
      <c r="H136" s="182"/>
    </row>
    <row r="137" spans="1:8" ht="35.25" customHeight="1">
      <c r="A137" s="445"/>
      <c r="B137" s="446"/>
      <c r="C137" s="446"/>
      <c r="D137" s="446"/>
      <c r="E137" s="446"/>
      <c r="F137" s="447"/>
      <c r="G137" s="181"/>
      <c r="H137" s="182"/>
    </row>
    <row r="138" spans="1:8" ht="35.25" customHeight="1">
      <c r="A138" s="445"/>
      <c r="B138" s="446"/>
      <c r="C138" s="446"/>
      <c r="D138" s="446"/>
      <c r="E138" s="446"/>
      <c r="F138" s="447"/>
      <c r="G138" s="181"/>
      <c r="H138" s="182"/>
    </row>
    <row r="139" spans="1:8" ht="35.25" customHeight="1">
      <c r="A139" s="445"/>
      <c r="B139" s="446"/>
      <c r="C139" s="446"/>
      <c r="D139" s="446"/>
      <c r="E139" s="446"/>
      <c r="F139" s="447"/>
      <c r="G139" s="181"/>
      <c r="H139" s="182"/>
    </row>
    <row r="140" spans="1:8" ht="35.25" customHeight="1" thickBot="1">
      <c r="A140" s="457"/>
      <c r="B140" s="458"/>
      <c r="C140" s="458"/>
      <c r="D140" s="458"/>
      <c r="E140" s="458"/>
      <c r="F140" s="459"/>
      <c r="G140" s="183"/>
      <c r="H140" s="184"/>
    </row>
    <row r="141" spans="1:8" ht="35.25" customHeight="1">
      <c r="A141" s="442"/>
      <c r="B141" s="443"/>
      <c r="C141" s="443"/>
      <c r="D141" s="443"/>
      <c r="E141" s="443"/>
      <c r="F141" s="444"/>
      <c r="G141" s="179"/>
      <c r="H141" s="180"/>
    </row>
    <row r="142" spans="1:8" ht="35.25" customHeight="1">
      <c r="A142" s="445"/>
      <c r="B142" s="446"/>
      <c r="C142" s="446"/>
      <c r="D142" s="446"/>
      <c r="E142" s="446"/>
      <c r="F142" s="447"/>
      <c r="G142" s="181"/>
      <c r="H142" s="182"/>
    </row>
    <row r="143" spans="1:8" ht="35.25" customHeight="1">
      <c r="A143" s="445"/>
      <c r="B143" s="446"/>
      <c r="C143" s="446"/>
      <c r="D143" s="446"/>
      <c r="E143" s="446"/>
      <c r="F143" s="447"/>
      <c r="G143" s="181"/>
      <c r="H143" s="182"/>
    </row>
    <row r="144" spans="1:8" ht="35.25" customHeight="1">
      <c r="A144" s="445"/>
      <c r="B144" s="446"/>
      <c r="C144" s="446"/>
      <c r="D144" s="446"/>
      <c r="E144" s="446"/>
      <c r="F144" s="447"/>
      <c r="G144" s="181"/>
      <c r="H144" s="182"/>
    </row>
    <row r="145" spans="1:8" ht="35.25" customHeight="1">
      <c r="A145" s="445"/>
      <c r="B145" s="446"/>
      <c r="C145" s="446"/>
      <c r="D145" s="446"/>
      <c r="E145" s="446"/>
      <c r="F145" s="447"/>
      <c r="G145" s="181"/>
      <c r="H145" s="182"/>
    </row>
    <row r="146" spans="1:8" ht="35.25" customHeight="1" thickBot="1">
      <c r="A146" s="457"/>
      <c r="B146" s="458"/>
      <c r="C146" s="458"/>
      <c r="D146" s="458"/>
      <c r="E146" s="458"/>
      <c r="F146" s="459"/>
      <c r="G146" s="183"/>
      <c r="H146" s="184"/>
    </row>
    <row r="147" spans="1:8" ht="35.25" customHeight="1">
      <c r="A147" s="442" t="str">
        <f>_xlfn.CONCAT('Waarden '!A32:A37)</f>
        <v/>
      </c>
      <c r="B147" s="443"/>
      <c r="C147" s="443"/>
      <c r="D147" s="443"/>
      <c r="E147" s="443"/>
      <c r="F147" s="444"/>
      <c r="G147" s="179"/>
      <c r="H147" s="180"/>
    </row>
    <row r="148" spans="1:8" ht="35.25" customHeight="1">
      <c r="A148" s="445"/>
      <c r="B148" s="446"/>
      <c r="C148" s="446"/>
      <c r="D148" s="446"/>
      <c r="E148" s="446"/>
      <c r="F148" s="447"/>
      <c r="G148" s="181"/>
      <c r="H148" s="182"/>
    </row>
    <row r="149" spans="1:8" ht="35.25" customHeight="1">
      <c r="A149" s="445"/>
      <c r="B149" s="446"/>
      <c r="C149" s="446"/>
      <c r="D149" s="446"/>
      <c r="E149" s="446"/>
      <c r="F149" s="447"/>
      <c r="G149" s="181"/>
      <c r="H149" s="182"/>
    </row>
    <row r="150" spans="1:8" ht="35.25" customHeight="1">
      <c r="A150" s="445"/>
      <c r="B150" s="446"/>
      <c r="C150" s="446"/>
      <c r="D150" s="446"/>
      <c r="E150" s="446"/>
      <c r="F150" s="447"/>
      <c r="G150" s="181"/>
      <c r="H150" s="182"/>
    </row>
    <row r="151" spans="1:8" ht="35.25" customHeight="1">
      <c r="A151" s="445"/>
      <c r="B151" s="446"/>
      <c r="C151" s="446"/>
      <c r="D151" s="446"/>
      <c r="E151" s="446"/>
      <c r="F151" s="447"/>
      <c r="G151" s="181"/>
      <c r="H151" s="182"/>
    </row>
    <row r="152" spans="1:8" ht="35.25" customHeight="1" thickBot="1">
      <c r="A152" s="457"/>
      <c r="B152" s="458"/>
      <c r="C152" s="458"/>
      <c r="D152" s="458"/>
      <c r="E152" s="458"/>
      <c r="F152" s="459"/>
      <c r="G152" s="183"/>
      <c r="H152" s="184"/>
    </row>
  </sheetData>
  <mergeCells count="76">
    <mergeCell ref="A147:F152"/>
    <mergeCell ref="A141:F146"/>
    <mergeCell ref="A135:F140"/>
    <mergeCell ref="A129:F134"/>
    <mergeCell ref="A123:F128"/>
    <mergeCell ref="A116:H116"/>
    <mergeCell ref="A117:F122"/>
    <mergeCell ref="A106:E115"/>
    <mergeCell ref="F106:F115"/>
    <mergeCell ref="A96:E105"/>
    <mergeCell ref="F96:F105"/>
    <mergeCell ref="A86:E95"/>
    <mergeCell ref="F86:F95"/>
    <mergeCell ref="A76:E85"/>
    <mergeCell ref="F76:F85"/>
    <mergeCell ref="A66:E75"/>
    <mergeCell ref="F66:F75"/>
    <mergeCell ref="A56:E65"/>
    <mergeCell ref="F56:F65"/>
    <mergeCell ref="A46:E55"/>
    <mergeCell ref="F46:F55"/>
    <mergeCell ref="A36:E45"/>
    <mergeCell ref="F36:F45"/>
    <mergeCell ref="A26:E35"/>
    <mergeCell ref="F26:F35"/>
    <mergeCell ref="A20:F20"/>
    <mergeCell ref="G20:H20"/>
    <mergeCell ref="A21:F21"/>
    <mergeCell ref="G21:H21"/>
    <mergeCell ref="A22:F22"/>
    <mergeCell ref="G22:H22"/>
    <mergeCell ref="A23:F23"/>
    <mergeCell ref="G23:H23"/>
    <mergeCell ref="A24:F24"/>
    <mergeCell ref="G24:H24"/>
    <mergeCell ref="A25:H25"/>
    <mergeCell ref="A17:F17"/>
    <mergeCell ref="G17:H17"/>
    <mergeCell ref="A18:F18"/>
    <mergeCell ref="G18:H18"/>
    <mergeCell ref="A19:F19"/>
    <mergeCell ref="G19:H19"/>
    <mergeCell ref="A14:F14"/>
    <mergeCell ref="G14:H14"/>
    <mergeCell ref="A15:F15"/>
    <mergeCell ref="G15:H15"/>
    <mergeCell ref="A16:F16"/>
    <mergeCell ref="G16:H16"/>
    <mergeCell ref="A11:F11"/>
    <mergeCell ref="G11:H11"/>
    <mergeCell ref="A12:F12"/>
    <mergeCell ref="G12:H12"/>
    <mergeCell ref="A13:F13"/>
    <mergeCell ref="G13:H13"/>
    <mergeCell ref="A8:F8"/>
    <mergeCell ref="G8:H8"/>
    <mergeCell ref="A9:F9"/>
    <mergeCell ref="G9:H9"/>
    <mergeCell ref="A10:F10"/>
    <mergeCell ref="G10:H10"/>
    <mergeCell ref="A5:F5"/>
    <mergeCell ref="G5:H5"/>
    <mergeCell ref="A6:F6"/>
    <mergeCell ref="G6:H6"/>
    <mergeCell ref="A7:F7"/>
    <mergeCell ref="G7:H7"/>
    <mergeCell ref="A3:D3"/>
    <mergeCell ref="E3:F3"/>
    <mergeCell ref="G3:H3"/>
    <mergeCell ref="A4:F4"/>
    <mergeCell ref="G4:H4"/>
    <mergeCell ref="A1:F1"/>
    <mergeCell ref="G1:H1"/>
    <mergeCell ref="A2:D2"/>
    <mergeCell ref="E2:F2"/>
    <mergeCell ref="G2:H2"/>
  </mergeCells>
  <conditionalFormatting sqref="H26:H35">
    <cfRule type="containsErrors" dxfId="69" priority="74">
      <formula>ISERROR(H26)</formula>
    </cfRule>
  </conditionalFormatting>
  <conditionalFormatting sqref="H36:H45">
    <cfRule type="containsErrors" dxfId="68" priority="73">
      <formula>ISERROR(H36)</formula>
    </cfRule>
  </conditionalFormatting>
  <conditionalFormatting sqref="H46:H55">
    <cfRule type="containsErrors" dxfId="67" priority="72">
      <formula>ISERROR(H46)</formula>
    </cfRule>
  </conditionalFormatting>
  <conditionalFormatting sqref="A11:A12">
    <cfRule type="containsErrors" dxfId="66" priority="71">
      <formula>ISERROR(A11)</formula>
    </cfRule>
  </conditionalFormatting>
  <conditionalFormatting sqref="G11">
    <cfRule type="containsErrors" dxfId="65" priority="70">
      <formula>ISERROR(G11)</formula>
    </cfRule>
  </conditionalFormatting>
  <conditionalFormatting sqref="H56:H65">
    <cfRule type="containsErrors" dxfId="64" priority="69">
      <formula>ISERROR(H56)</formula>
    </cfRule>
  </conditionalFormatting>
  <conditionalFormatting sqref="H66:H75">
    <cfRule type="containsErrors" dxfId="63" priority="68">
      <formula>ISERROR(H66)</formula>
    </cfRule>
  </conditionalFormatting>
  <conditionalFormatting sqref="H76:H85">
    <cfRule type="containsErrors" dxfId="62" priority="67">
      <formula>ISERROR(H76)</formula>
    </cfRule>
  </conditionalFormatting>
  <conditionalFormatting sqref="H86:H95">
    <cfRule type="containsErrors" dxfId="61" priority="66">
      <formula>ISERROR(H86)</formula>
    </cfRule>
  </conditionalFormatting>
  <conditionalFormatting sqref="G23">
    <cfRule type="containsErrors" dxfId="60" priority="42">
      <formula>ISERROR(G23)</formula>
    </cfRule>
  </conditionalFormatting>
  <conditionalFormatting sqref="H96:H105">
    <cfRule type="containsErrors" dxfId="59" priority="65">
      <formula>ISERROR(H96)</formula>
    </cfRule>
  </conditionalFormatting>
  <conditionalFormatting sqref="H106:H115">
    <cfRule type="containsErrors" dxfId="58" priority="64">
      <formula>ISERROR(H106)</formula>
    </cfRule>
  </conditionalFormatting>
  <conditionalFormatting sqref="A13">
    <cfRule type="containsErrors" dxfId="57" priority="63">
      <formula>ISERROR(A13)</formula>
    </cfRule>
  </conditionalFormatting>
  <conditionalFormatting sqref="A14">
    <cfRule type="containsErrors" dxfId="56" priority="62">
      <formula>ISERROR(A14)</formula>
    </cfRule>
  </conditionalFormatting>
  <conditionalFormatting sqref="A15">
    <cfRule type="containsErrors" dxfId="55" priority="61">
      <formula>ISERROR(A15)</formula>
    </cfRule>
  </conditionalFormatting>
  <conditionalFormatting sqref="A16">
    <cfRule type="containsErrors" dxfId="54" priority="60">
      <formula>ISERROR(A16)</formula>
    </cfRule>
  </conditionalFormatting>
  <conditionalFormatting sqref="A17">
    <cfRule type="containsErrors" dxfId="53" priority="59">
      <formula>ISERROR(A17)</formula>
    </cfRule>
  </conditionalFormatting>
  <conditionalFormatting sqref="A18">
    <cfRule type="containsErrors" dxfId="52" priority="58">
      <formula>ISERROR(A18)</formula>
    </cfRule>
  </conditionalFormatting>
  <conditionalFormatting sqref="A19">
    <cfRule type="containsErrors" dxfId="51" priority="57">
      <formula>ISERROR(A19)</formula>
    </cfRule>
  </conditionalFormatting>
  <conditionalFormatting sqref="A20">
    <cfRule type="containsErrors" dxfId="50" priority="56">
      <formula>ISERROR(A20)</formula>
    </cfRule>
  </conditionalFormatting>
  <conditionalFormatting sqref="A21">
    <cfRule type="containsErrors" dxfId="49" priority="55">
      <formula>ISERROR(A21)</formula>
    </cfRule>
  </conditionalFormatting>
  <conditionalFormatting sqref="A22">
    <cfRule type="containsErrors" dxfId="48" priority="54">
      <formula>ISERROR(A22)</formula>
    </cfRule>
  </conditionalFormatting>
  <conditionalFormatting sqref="G12">
    <cfRule type="containsErrors" dxfId="47" priority="52">
      <formula>ISERROR(G12)</formula>
    </cfRule>
  </conditionalFormatting>
  <conditionalFormatting sqref="G14">
    <cfRule type="containsErrors" dxfId="46" priority="51">
      <formula>ISERROR(G14)</formula>
    </cfRule>
  </conditionalFormatting>
  <conditionalFormatting sqref="G15">
    <cfRule type="containsErrors" dxfId="45" priority="50">
      <formula>ISERROR(G15)</formula>
    </cfRule>
  </conditionalFormatting>
  <conditionalFormatting sqref="G16">
    <cfRule type="containsErrors" dxfId="44" priority="49">
      <formula>ISERROR(G16)</formula>
    </cfRule>
  </conditionalFormatting>
  <conditionalFormatting sqref="G17">
    <cfRule type="containsErrors" dxfId="43" priority="48">
      <formula>ISERROR(G17)</formula>
    </cfRule>
  </conditionalFormatting>
  <conditionalFormatting sqref="G18">
    <cfRule type="containsErrors" dxfId="42" priority="47">
      <formula>ISERROR(G18)</formula>
    </cfRule>
  </conditionalFormatting>
  <conditionalFormatting sqref="G19">
    <cfRule type="containsErrors" dxfId="41" priority="46">
      <formula>ISERROR(G19)</formula>
    </cfRule>
  </conditionalFormatting>
  <conditionalFormatting sqref="G20">
    <cfRule type="containsErrors" dxfId="40" priority="45">
      <formula>ISERROR(G20)</formula>
    </cfRule>
  </conditionalFormatting>
  <conditionalFormatting sqref="G21">
    <cfRule type="containsErrors" dxfId="39" priority="44">
      <formula>ISERROR(G21)</formula>
    </cfRule>
  </conditionalFormatting>
  <conditionalFormatting sqref="G22">
    <cfRule type="containsErrors" dxfId="38" priority="43">
      <formula>ISERROR(G22)</formula>
    </cfRule>
  </conditionalFormatting>
  <conditionalFormatting sqref="G143">
    <cfRule type="cellIs" dxfId="37" priority="12" operator="equal">
      <formula>0</formula>
    </cfRule>
  </conditionalFormatting>
  <conditionalFormatting sqref="G144">
    <cfRule type="cellIs" dxfId="36" priority="11" operator="equal">
      <formula>0</formula>
    </cfRule>
  </conditionalFormatting>
  <conditionalFormatting sqref="G26:G115">
    <cfRule type="containsErrors" dxfId="35" priority="39">
      <formula>ISERROR(G26)</formula>
    </cfRule>
  </conditionalFormatting>
  <conditionalFormatting sqref="G6:G10">
    <cfRule type="containsErrors" dxfId="34" priority="38">
      <formula>ISERROR(G6)</formula>
    </cfRule>
  </conditionalFormatting>
  <conditionalFormatting sqref="G5">
    <cfRule type="containsErrors" dxfId="33" priority="37">
      <formula>ISERROR(G5)</formula>
    </cfRule>
  </conditionalFormatting>
  <conditionalFormatting sqref="G13">
    <cfRule type="containsErrors" dxfId="32" priority="36">
      <formula>ISERROR(G13)</formula>
    </cfRule>
  </conditionalFormatting>
  <conditionalFormatting sqref="A5:A10">
    <cfRule type="containsErrors" dxfId="31" priority="35">
      <formula>ISERROR(A5)</formula>
    </cfRule>
  </conditionalFormatting>
  <conditionalFormatting sqref="G24">
    <cfRule type="containsErrors" dxfId="30" priority="41">
      <formula>ISERROR(G24)</formula>
    </cfRule>
  </conditionalFormatting>
  <conditionalFormatting sqref="A23">
    <cfRule type="containsErrors" dxfId="29" priority="53">
      <formula>ISERROR(A23)</formula>
    </cfRule>
  </conditionalFormatting>
  <conditionalFormatting sqref="G117">
    <cfRule type="cellIs" dxfId="28" priority="34" operator="equal">
      <formula>0</formula>
    </cfRule>
  </conditionalFormatting>
  <conditionalFormatting sqref="G118 G122">
    <cfRule type="cellIs" dxfId="27" priority="33" operator="equal">
      <formula>0</formula>
    </cfRule>
  </conditionalFormatting>
  <conditionalFormatting sqref="G119">
    <cfRule type="cellIs" dxfId="26" priority="32" operator="equal">
      <formula>0</formula>
    </cfRule>
  </conditionalFormatting>
  <conditionalFormatting sqref="G120">
    <cfRule type="cellIs" dxfId="25" priority="31" operator="equal">
      <formula>0</formula>
    </cfRule>
  </conditionalFormatting>
  <conditionalFormatting sqref="G121">
    <cfRule type="cellIs" dxfId="24" priority="30" operator="equal">
      <formula>0</formula>
    </cfRule>
  </conditionalFormatting>
  <conditionalFormatting sqref="G123">
    <cfRule type="cellIs" dxfId="23" priority="29" operator="equal">
      <formula>0</formula>
    </cfRule>
  </conditionalFormatting>
  <conditionalFormatting sqref="G124 G128">
    <cfRule type="cellIs" dxfId="22" priority="28" operator="equal">
      <formula>0</formula>
    </cfRule>
  </conditionalFormatting>
  <conditionalFormatting sqref="G125">
    <cfRule type="cellIs" dxfId="21" priority="27" operator="equal">
      <formula>0</formula>
    </cfRule>
  </conditionalFormatting>
  <conditionalFormatting sqref="G126">
    <cfRule type="cellIs" dxfId="20" priority="26" operator="equal">
      <formula>0</formula>
    </cfRule>
  </conditionalFormatting>
  <conditionalFormatting sqref="G127">
    <cfRule type="cellIs" dxfId="19" priority="25" operator="equal">
      <formula>0</formula>
    </cfRule>
  </conditionalFormatting>
  <conditionalFormatting sqref="G129">
    <cfRule type="cellIs" dxfId="18" priority="24" operator="equal">
      <formula>0</formula>
    </cfRule>
  </conditionalFormatting>
  <conditionalFormatting sqref="G130 G134">
    <cfRule type="cellIs" dxfId="17" priority="23" operator="equal">
      <formula>0</formula>
    </cfRule>
  </conditionalFormatting>
  <conditionalFormatting sqref="G131">
    <cfRule type="cellIs" dxfId="16" priority="22" operator="equal">
      <formula>0</formula>
    </cfRule>
  </conditionalFormatting>
  <conditionalFormatting sqref="G132">
    <cfRule type="cellIs" dxfId="15" priority="21" operator="equal">
      <formula>0</formula>
    </cfRule>
  </conditionalFormatting>
  <conditionalFormatting sqref="G133">
    <cfRule type="cellIs" dxfId="14" priority="20" operator="equal">
      <formula>0</formula>
    </cfRule>
  </conditionalFormatting>
  <conditionalFormatting sqref="G135">
    <cfRule type="cellIs" dxfId="13" priority="19" operator="equal">
      <formula>0</formula>
    </cfRule>
  </conditionalFormatting>
  <conditionalFormatting sqref="G136 G140">
    <cfRule type="cellIs" dxfId="12" priority="18" operator="equal">
      <formula>0</formula>
    </cfRule>
  </conditionalFormatting>
  <conditionalFormatting sqref="G137">
    <cfRule type="cellIs" dxfId="11" priority="17" operator="equal">
      <formula>0</formula>
    </cfRule>
  </conditionalFormatting>
  <conditionalFormatting sqref="G138">
    <cfRule type="cellIs" dxfId="10" priority="16" operator="equal">
      <formula>0</formula>
    </cfRule>
  </conditionalFormatting>
  <conditionalFormatting sqref="G139">
    <cfRule type="cellIs" dxfId="9" priority="15" operator="equal">
      <formula>0</formula>
    </cfRule>
  </conditionalFormatting>
  <conditionalFormatting sqref="G141">
    <cfRule type="cellIs" dxfId="8" priority="14" operator="equal">
      <formula>0</formula>
    </cfRule>
  </conditionalFormatting>
  <conditionalFormatting sqref="G142 G146">
    <cfRule type="cellIs" dxfId="7" priority="13" operator="equal">
      <formula>0</formula>
    </cfRule>
  </conditionalFormatting>
  <conditionalFormatting sqref="G145">
    <cfRule type="cellIs" dxfId="6" priority="10" operator="equal">
      <formula>0</formula>
    </cfRule>
  </conditionalFormatting>
  <conditionalFormatting sqref="G147">
    <cfRule type="cellIs" dxfId="5" priority="9" operator="equal">
      <formula>0</formula>
    </cfRule>
  </conditionalFormatting>
  <conditionalFormatting sqref="G148 G152">
    <cfRule type="cellIs" dxfId="4" priority="8" operator="equal">
      <formula>0</formula>
    </cfRule>
  </conditionalFormatting>
  <conditionalFormatting sqref="G149">
    <cfRule type="cellIs" dxfId="3" priority="7" operator="equal">
      <formula>0</formula>
    </cfRule>
  </conditionalFormatting>
  <conditionalFormatting sqref="G150">
    <cfRule type="cellIs" dxfId="2" priority="6" operator="equal">
      <formula>0</formula>
    </cfRule>
  </conditionalFormatting>
  <conditionalFormatting sqref="G151">
    <cfRule type="cellIs" dxfId="1" priority="5" operator="equal">
      <formula>0</formula>
    </cfRule>
  </conditionalFormatting>
  <conditionalFormatting sqref="A24">
    <cfRule type="containsErrors" dxfId="0" priority="4">
      <formula>ISERROR(A24)</formula>
    </cfRule>
  </conditionalFormatting>
  <pageMargins left="0" right="0" top="0" bottom="0" header="0" footer="0"/>
  <pageSetup paperSize="9" scale="33" fitToHeight="0" orientation="landscape" verticalDpi="0" r:id="rId1"/>
  <rowBreaks count="3" manualBreakCount="3">
    <brk id="24" max="16383" man="1"/>
    <brk id="115" max="16383" man="1"/>
    <brk id="152" max="16383" man="1"/>
  </rowBreak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874B4-8454-44F6-A3D7-29B64A57621D}">
  <sheetPr codeName="Competenties"/>
  <dimension ref="A1:L720"/>
  <sheetViews>
    <sheetView zoomScale="55" zoomScaleNormal="55" workbookViewId="0">
      <pane ySplit="1" topLeftCell="A2" activePane="bottomLeft" state="frozen"/>
      <selection pane="bottomLeft" activeCell="L3" sqref="L3"/>
    </sheetView>
  </sheetViews>
  <sheetFormatPr defaultColWidth="9.140625" defaultRowHeight="15"/>
  <cols>
    <col min="1" max="1" width="8.7109375" style="40" bestFit="1" customWidth="1"/>
    <col min="2" max="2" width="9.7109375" style="40" bestFit="1" customWidth="1"/>
    <col min="3" max="6" width="5.85546875" style="40" customWidth="1"/>
    <col min="7" max="7" width="51.28515625" style="43" bestFit="1" customWidth="1"/>
    <col min="8" max="8" width="106.5703125" style="43" bestFit="1" customWidth="1"/>
    <col min="9" max="9" width="83" style="43" customWidth="1"/>
    <col min="10" max="10" width="29.5703125" style="257" bestFit="1" customWidth="1"/>
    <col min="11" max="11" width="54.42578125" style="255" customWidth="1"/>
    <col min="12" max="12" width="90.42578125" style="255" customWidth="1"/>
    <col min="13" max="16384" width="9.140625" style="41"/>
  </cols>
  <sheetData>
    <row r="1" spans="1:12" s="50" customFormat="1">
      <c r="A1" s="51" t="s">
        <v>308</v>
      </c>
      <c r="B1" s="51" t="s">
        <v>616</v>
      </c>
      <c r="C1" s="51">
        <v>1</v>
      </c>
      <c r="D1" s="51">
        <v>2</v>
      </c>
      <c r="E1" s="51">
        <v>3</v>
      </c>
      <c r="F1" s="51">
        <v>4</v>
      </c>
      <c r="G1" s="52" t="s">
        <v>114</v>
      </c>
      <c r="H1" s="62" t="s">
        <v>840</v>
      </c>
      <c r="I1" s="52" t="s">
        <v>115</v>
      </c>
      <c r="J1" s="52" t="s">
        <v>2700</v>
      </c>
      <c r="K1" s="250" t="s">
        <v>2180</v>
      </c>
      <c r="L1" s="250" t="s">
        <v>2181</v>
      </c>
    </row>
    <row r="2" spans="1:12" s="42" customFormat="1">
      <c r="A2" s="44" t="str">
        <f>_xlfn.CONCAT(C2:F2)</f>
        <v>1111</v>
      </c>
      <c r="B2" s="44" t="str">
        <f>_xlfn.CONCAT(C2:E2)</f>
        <v>111</v>
      </c>
      <c r="C2" s="45">
        <v>1</v>
      </c>
      <c r="D2" s="45">
        <v>1</v>
      </c>
      <c r="E2" s="45">
        <v>1</v>
      </c>
      <c r="F2" s="45">
        <v>1</v>
      </c>
      <c r="G2" s="46" t="s">
        <v>116</v>
      </c>
      <c r="H2" s="56" t="s">
        <v>117</v>
      </c>
      <c r="I2" s="56" t="s">
        <v>329</v>
      </c>
      <c r="J2" s="251" t="s">
        <v>2182</v>
      </c>
      <c r="K2" s="252" t="s">
        <v>2183</v>
      </c>
      <c r="L2" s="242" t="s">
        <v>2184</v>
      </c>
    </row>
    <row r="3" spans="1:12" s="42" customFormat="1" ht="30">
      <c r="A3" s="44" t="str">
        <f t="shared" ref="A3:A66" si="0">_xlfn.CONCAT(C3:F3)</f>
        <v>1121</v>
      </c>
      <c r="B3" s="44" t="str">
        <f t="shared" ref="B3:B66" si="1">_xlfn.CONCAT(C3:E3)</f>
        <v>112</v>
      </c>
      <c r="C3" s="45">
        <v>1</v>
      </c>
      <c r="D3" s="45">
        <v>1</v>
      </c>
      <c r="E3" s="45">
        <v>2</v>
      </c>
      <c r="F3" s="45">
        <v>1</v>
      </c>
      <c r="G3" s="46" t="s">
        <v>116</v>
      </c>
      <c r="H3" s="56" t="s">
        <v>118</v>
      </c>
      <c r="I3" s="56" t="s">
        <v>330</v>
      </c>
      <c r="J3" s="251" t="s">
        <v>2182</v>
      </c>
      <c r="K3" s="252" t="s">
        <v>2185</v>
      </c>
      <c r="L3" s="242" t="s">
        <v>2186</v>
      </c>
    </row>
    <row r="4" spans="1:12" s="42" customFormat="1" ht="45">
      <c r="A4" s="44" t="str">
        <f t="shared" si="0"/>
        <v>1131</v>
      </c>
      <c r="B4" s="44" t="str">
        <f t="shared" si="1"/>
        <v>113</v>
      </c>
      <c r="C4" s="45">
        <v>1</v>
      </c>
      <c r="D4" s="45">
        <v>1</v>
      </c>
      <c r="E4" s="45">
        <v>3</v>
      </c>
      <c r="F4" s="45">
        <v>1</v>
      </c>
      <c r="G4" s="46" t="s">
        <v>116</v>
      </c>
      <c r="H4" s="56" t="s">
        <v>841</v>
      </c>
      <c r="I4" s="56" t="s">
        <v>331</v>
      </c>
      <c r="J4" s="251" t="s">
        <v>2182</v>
      </c>
      <c r="K4" s="252" t="s">
        <v>2187</v>
      </c>
      <c r="L4" s="242" t="s">
        <v>2188</v>
      </c>
    </row>
    <row r="5" spans="1:12" s="42" customFormat="1" ht="45">
      <c r="A5" s="44" t="str">
        <f t="shared" si="0"/>
        <v>1132</v>
      </c>
      <c r="B5" s="44" t="str">
        <f t="shared" si="1"/>
        <v>113</v>
      </c>
      <c r="C5" s="45">
        <v>1</v>
      </c>
      <c r="D5" s="45">
        <v>1</v>
      </c>
      <c r="E5" s="45">
        <v>3</v>
      </c>
      <c r="F5" s="45">
        <v>2</v>
      </c>
      <c r="G5" s="46" t="s">
        <v>116</v>
      </c>
      <c r="H5" s="56" t="s">
        <v>841</v>
      </c>
      <c r="I5" s="56" t="s">
        <v>332</v>
      </c>
      <c r="J5" s="251" t="s">
        <v>2182</v>
      </c>
      <c r="K5" s="252" t="s">
        <v>2187</v>
      </c>
      <c r="L5" s="242" t="s">
        <v>2189</v>
      </c>
    </row>
    <row r="6" spans="1:12" s="42" customFormat="1" ht="45">
      <c r="A6" s="44" t="str">
        <f t="shared" si="0"/>
        <v>1133</v>
      </c>
      <c r="B6" s="44" t="str">
        <f t="shared" si="1"/>
        <v>113</v>
      </c>
      <c r="C6" s="45">
        <v>1</v>
      </c>
      <c r="D6" s="45">
        <v>1</v>
      </c>
      <c r="E6" s="45">
        <v>3</v>
      </c>
      <c r="F6" s="45">
        <v>3</v>
      </c>
      <c r="G6" s="46" t="s">
        <v>116</v>
      </c>
      <c r="H6" s="56" t="s">
        <v>841</v>
      </c>
      <c r="I6" s="56" t="s">
        <v>333</v>
      </c>
      <c r="J6" s="251" t="s">
        <v>2182</v>
      </c>
      <c r="K6" s="252" t="s">
        <v>2187</v>
      </c>
      <c r="L6" s="242" t="s">
        <v>2190</v>
      </c>
    </row>
    <row r="7" spans="1:12" s="42" customFormat="1" ht="45">
      <c r="A7" s="44" t="str">
        <f t="shared" si="0"/>
        <v>1134</v>
      </c>
      <c r="B7" s="44" t="str">
        <f t="shared" si="1"/>
        <v>113</v>
      </c>
      <c r="C7" s="45">
        <v>1</v>
      </c>
      <c r="D7" s="45">
        <v>1</v>
      </c>
      <c r="E7" s="45">
        <v>3</v>
      </c>
      <c r="F7" s="45">
        <v>4</v>
      </c>
      <c r="G7" s="46" t="s">
        <v>116</v>
      </c>
      <c r="H7" s="56" t="s">
        <v>841</v>
      </c>
      <c r="I7" s="56" t="s">
        <v>334</v>
      </c>
      <c r="J7" s="251" t="s">
        <v>2182</v>
      </c>
      <c r="K7" s="252" t="s">
        <v>2187</v>
      </c>
      <c r="L7" s="242" t="s">
        <v>2191</v>
      </c>
    </row>
    <row r="8" spans="1:12" s="42" customFormat="1" ht="45">
      <c r="A8" s="44" t="str">
        <f t="shared" si="0"/>
        <v>1135</v>
      </c>
      <c r="B8" s="44" t="str">
        <f t="shared" si="1"/>
        <v>113</v>
      </c>
      <c r="C8" s="45">
        <v>1</v>
      </c>
      <c r="D8" s="45">
        <v>1</v>
      </c>
      <c r="E8" s="45">
        <v>3</v>
      </c>
      <c r="F8" s="45">
        <v>5</v>
      </c>
      <c r="G8" s="46" t="s">
        <v>116</v>
      </c>
      <c r="H8" s="56" t="s">
        <v>841</v>
      </c>
      <c r="I8" s="56" t="s">
        <v>335</v>
      </c>
      <c r="J8" s="251" t="s">
        <v>2182</v>
      </c>
      <c r="K8" s="252" t="s">
        <v>2187</v>
      </c>
      <c r="L8" s="253" t="s">
        <v>2192</v>
      </c>
    </row>
    <row r="9" spans="1:12" s="42" customFormat="1" ht="15.75">
      <c r="A9" s="44" t="str">
        <f t="shared" si="0"/>
        <v>1211</v>
      </c>
      <c r="B9" s="44" t="str">
        <f t="shared" si="1"/>
        <v>121</v>
      </c>
      <c r="C9" s="44">
        <v>1</v>
      </c>
      <c r="D9" s="44">
        <v>2</v>
      </c>
      <c r="E9" s="45">
        <v>1</v>
      </c>
      <c r="F9" s="45">
        <v>1</v>
      </c>
      <c r="G9" s="47" t="s">
        <v>69</v>
      </c>
      <c r="H9" s="56" t="s">
        <v>119</v>
      </c>
      <c r="I9" s="56" t="s">
        <v>340</v>
      </c>
      <c r="J9" s="251" t="s">
        <v>2193</v>
      </c>
      <c r="K9" s="252" t="s">
        <v>2194</v>
      </c>
      <c r="L9" s="242" t="s">
        <v>2195</v>
      </c>
    </row>
    <row r="10" spans="1:12" s="42" customFormat="1" ht="15.75">
      <c r="A10" s="44" t="str">
        <f t="shared" si="0"/>
        <v>1212</v>
      </c>
      <c r="B10" s="44" t="str">
        <f t="shared" si="1"/>
        <v>121</v>
      </c>
      <c r="C10" s="44">
        <v>1</v>
      </c>
      <c r="D10" s="44">
        <v>2</v>
      </c>
      <c r="E10" s="45">
        <v>1</v>
      </c>
      <c r="F10" s="45">
        <v>2</v>
      </c>
      <c r="G10" s="47" t="s">
        <v>69</v>
      </c>
      <c r="H10" s="56" t="s">
        <v>119</v>
      </c>
      <c r="I10" s="56" t="s">
        <v>530</v>
      </c>
      <c r="J10" s="251" t="s">
        <v>2193</v>
      </c>
      <c r="K10" s="252" t="s">
        <v>2194</v>
      </c>
      <c r="L10" s="242" t="s">
        <v>2196</v>
      </c>
    </row>
    <row r="11" spans="1:12" ht="15.75">
      <c r="A11" s="44" t="str">
        <f t="shared" si="0"/>
        <v>1221</v>
      </c>
      <c r="B11" s="44" t="str">
        <f t="shared" si="1"/>
        <v>122</v>
      </c>
      <c r="C11" s="44">
        <v>1</v>
      </c>
      <c r="D11" s="44">
        <v>2</v>
      </c>
      <c r="E11" s="44">
        <v>2</v>
      </c>
      <c r="F11" s="44">
        <v>1</v>
      </c>
      <c r="G11" s="47" t="s">
        <v>69</v>
      </c>
      <c r="H11" s="63" t="s">
        <v>0</v>
      </c>
      <c r="I11" s="57" t="s">
        <v>181</v>
      </c>
      <c r="J11" s="251" t="s">
        <v>2193</v>
      </c>
      <c r="K11" s="252" t="s">
        <v>2197</v>
      </c>
      <c r="L11" s="242" t="s">
        <v>2198</v>
      </c>
    </row>
    <row r="12" spans="1:12" ht="15.75">
      <c r="A12" s="44" t="str">
        <f t="shared" si="0"/>
        <v>1222</v>
      </c>
      <c r="B12" s="44" t="str">
        <f t="shared" si="1"/>
        <v>122</v>
      </c>
      <c r="C12" s="44">
        <v>1</v>
      </c>
      <c r="D12" s="44">
        <v>2</v>
      </c>
      <c r="E12" s="44">
        <v>2</v>
      </c>
      <c r="F12" s="44">
        <v>2</v>
      </c>
      <c r="G12" s="47" t="s">
        <v>69</v>
      </c>
      <c r="H12" s="63" t="s">
        <v>0</v>
      </c>
      <c r="I12" s="57" t="s">
        <v>182</v>
      </c>
      <c r="J12" s="251" t="s">
        <v>2193</v>
      </c>
      <c r="K12" s="252" t="s">
        <v>2197</v>
      </c>
      <c r="L12" s="242" t="s">
        <v>2199</v>
      </c>
    </row>
    <row r="13" spans="1:12" ht="15.75">
      <c r="A13" s="44" t="str">
        <f t="shared" si="0"/>
        <v>1223</v>
      </c>
      <c r="B13" s="44" t="str">
        <f t="shared" si="1"/>
        <v>122</v>
      </c>
      <c r="C13" s="44">
        <v>1</v>
      </c>
      <c r="D13" s="44">
        <v>2</v>
      </c>
      <c r="E13" s="44">
        <v>2</v>
      </c>
      <c r="F13" s="44">
        <v>3</v>
      </c>
      <c r="G13" s="47" t="s">
        <v>69</v>
      </c>
      <c r="H13" s="63" t="s">
        <v>0</v>
      </c>
      <c r="I13" s="57" t="s">
        <v>307</v>
      </c>
      <c r="J13" s="251" t="s">
        <v>2193</v>
      </c>
      <c r="K13" s="252" t="s">
        <v>2197</v>
      </c>
      <c r="L13" s="242" t="s">
        <v>2200</v>
      </c>
    </row>
    <row r="14" spans="1:12" ht="15.75">
      <c r="A14" s="44" t="str">
        <f t="shared" si="0"/>
        <v>1224</v>
      </c>
      <c r="B14" s="44" t="str">
        <f t="shared" si="1"/>
        <v>122</v>
      </c>
      <c r="C14" s="44">
        <v>1</v>
      </c>
      <c r="D14" s="44">
        <v>2</v>
      </c>
      <c r="E14" s="44">
        <v>2</v>
      </c>
      <c r="F14" s="44">
        <v>4</v>
      </c>
      <c r="G14" s="47" t="s">
        <v>69</v>
      </c>
      <c r="H14" s="63" t="s">
        <v>0</v>
      </c>
      <c r="I14" s="57" t="s">
        <v>183</v>
      </c>
      <c r="J14" s="251" t="s">
        <v>2193</v>
      </c>
      <c r="K14" s="252" t="s">
        <v>2197</v>
      </c>
      <c r="L14" s="242" t="s">
        <v>2201</v>
      </c>
    </row>
    <row r="15" spans="1:12" ht="30">
      <c r="A15" s="44" t="str">
        <f t="shared" si="0"/>
        <v>1225</v>
      </c>
      <c r="B15" s="44" t="str">
        <f t="shared" si="1"/>
        <v>122</v>
      </c>
      <c r="C15" s="44">
        <v>1</v>
      </c>
      <c r="D15" s="44">
        <v>2</v>
      </c>
      <c r="E15" s="44">
        <v>2</v>
      </c>
      <c r="F15" s="44">
        <v>5</v>
      </c>
      <c r="G15" s="47" t="s">
        <v>69</v>
      </c>
      <c r="H15" s="63" t="s">
        <v>0</v>
      </c>
      <c r="I15" s="57" t="s">
        <v>184</v>
      </c>
      <c r="J15" s="251" t="s">
        <v>2193</v>
      </c>
      <c r="K15" s="252" t="s">
        <v>2197</v>
      </c>
      <c r="L15" s="242" t="s">
        <v>2202</v>
      </c>
    </row>
    <row r="16" spans="1:12" ht="15.75">
      <c r="A16" s="44" t="str">
        <f t="shared" si="0"/>
        <v>1226</v>
      </c>
      <c r="B16" s="44" t="str">
        <f t="shared" si="1"/>
        <v>122</v>
      </c>
      <c r="C16" s="44">
        <v>1</v>
      </c>
      <c r="D16" s="44">
        <v>2</v>
      </c>
      <c r="E16" s="44">
        <v>2</v>
      </c>
      <c r="F16" s="44">
        <v>6</v>
      </c>
      <c r="G16" s="47" t="s">
        <v>69</v>
      </c>
      <c r="H16" s="63" t="s">
        <v>0</v>
      </c>
      <c r="I16" s="57" t="s">
        <v>185</v>
      </c>
      <c r="J16" s="251" t="s">
        <v>2193</v>
      </c>
      <c r="K16" s="252" t="s">
        <v>2197</v>
      </c>
      <c r="L16" s="242" t="s">
        <v>2203</v>
      </c>
    </row>
    <row r="17" spans="1:12" ht="15.75">
      <c r="A17" s="44" t="str">
        <f t="shared" si="0"/>
        <v>1227</v>
      </c>
      <c r="B17" s="44" t="str">
        <f t="shared" si="1"/>
        <v>122</v>
      </c>
      <c r="C17" s="44">
        <v>1</v>
      </c>
      <c r="D17" s="44">
        <v>2</v>
      </c>
      <c r="E17" s="44">
        <v>2</v>
      </c>
      <c r="F17" s="44">
        <v>7</v>
      </c>
      <c r="G17" s="47" t="s">
        <v>69</v>
      </c>
      <c r="H17" s="63" t="s">
        <v>0</v>
      </c>
      <c r="I17" s="57" t="s">
        <v>186</v>
      </c>
      <c r="J17" s="251" t="s">
        <v>2193</v>
      </c>
      <c r="K17" s="252" t="s">
        <v>2197</v>
      </c>
      <c r="L17" s="242" t="s">
        <v>2204</v>
      </c>
    </row>
    <row r="18" spans="1:12" ht="15.75">
      <c r="A18" s="44" t="str">
        <f t="shared" si="0"/>
        <v>1228</v>
      </c>
      <c r="B18" s="44" t="str">
        <f t="shared" si="1"/>
        <v>122</v>
      </c>
      <c r="C18" s="44">
        <v>1</v>
      </c>
      <c r="D18" s="44">
        <v>2</v>
      </c>
      <c r="E18" s="44">
        <v>2</v>
      </c>
      <c r="F18" s="44">
        <v>8</v>
      </c>
      <c r="G18" s="47" t="s">
        <v>69</v>
      </c>
      <c r="H18" s="63" t="s">
        <v>0</v>
      </c>
      <c r="I18" s="57" t="s">
        <v>187</v>
      </c>
      <c r="J18" s="251" t="s">
        <v>2193</v>
      </c>
      <c r="K18" s="252" t="s">
        <v>2197</v>
      </c>
      <c r="L18" s="242" t="s">
        <v>2205</v>
      </c>
    </row>
    <row r="19" spans="1:12" ht="30">
      <c r="A19" s="44" t="str">
        <f t="shared" si="0"/>
        <v>1231</v>
      </c>
      <c r="B19" s="44" t="str">
        <f t="shared" si="1"/>
        <v>123</v>
      </c>
      <c r="C19" s="44">
        <v>1</v>
      </c>
      <c r="D19" s="44">
        <v>2</v>
      </c>
      <c r="E19" s="44">
        <v>3</v>
      </c>
      <c r="F19" s="44">
        <v>1</v>
      </c>
      <c r="G19" s="47" t="s">
        <v>69</v>
      </c>
      <c r="H19" s="63" t="s">
        <v>341</v>
      </c>
      <c r="I19" s="57" t="s">
        <v>342</v>
      </c>
      <c r="J19" s="251" t="s">
        <v>2193</v>
      </c>
      <c r="K19" s="252" t="s">
        <v>2206</v>
      </c>
      <c r="L19" s="254" t="s">
        <v>2207</v>
      </c>
    </row>
    <row r="20" spans="1:12" ht="15.75">
      <c r="A20" s="44" t="str">
        <f t="shared" si="0"/>
        <v>1232</v>
      </c>
      <c r="B20" s="44" t="str">
        <f t="shared" si="1"/>
        <v>123</v>
      </c>
      <c r="C20" s="44">
        <v>1</v>
      </c>
      <c r="D20" s="44">
        <v>2</v>
      </c>
      <c r="E20" s="44">
        <v>3</v>
      </c>
      <c r="F20" s="44">
        <v>2</v>
      </c>
      <c r="G20" s="47" t="s">
        <v>69</v>
      </c>
      <c r="H20" s="63" t="s">
        <v>341</v>
      </c>
      <c r="I20" s="57" t="s">
        <v>477</v>
      </c>
      <c r="J20" s="251" t="s">
        <v>2193</v>
      </c>
      <c r="K20" s="255" t="s">
        <v>2206</v>
      </c>
      <c r="L20" s="256" t="s">
        <v>2207</v>
      </c>
    </row>
    <row r="21" spans="1:12" ht="30">
      <c r="A21" s="44" t="str">
        <f t="shared" si="0"/>
        <v>1233</v>
      </c>
      <c r="B21" s="44" t="str">
        <f t="shared" si="1"/>
        <v>123</v>
      </c>
      <c r="C21" s="44">
        <v>1</v>
      </c>
      <c r="D21" s="44">
        <v>2</v>
      </c>
      <c r="E21" s="44">
        <v>3</v>
      </c>
      <c r="F21" s="44">
        <v>3</v>
      </c>
      <c r="G21" s="47" t="s">
        <v>69</v>
      </c>
      <c r="H21" s="63" t="s">
        <v>341</v>
      </c>
      <c r="I21" s="57" t="s">
        <v>343</v>
      </c>
      <c r="J21" s="251" t="s">
        <v>2193</v>
      </c>
      <c r="K21" s="252" t="s">
        <v>2206</v>
      </c>
      <c r="L21" s="242" t="s">
        <v>2208</v>
      </c>
    </row>
    <row r="22" spans="1:12" ht="30">
      <c r="A22" s="44" t="str">
        <f t="shared" si="0"/>
        <v>1234</v>
      </c>
      <c r="B22" s="44" t="str">
        <f t="shared" si="1"/>
        <v>123</v>
      </c>
      <c r="C22" s="44">
        <v>1</v>
      </c>
      <c r="D22" s="44">
        <v>2</v>
      </c>
      <c r="E22" s="44">
        <v>3</v>
      </c>
      <c r="F22" s="44">
        <v>4</v>
      </c>
      <c r="G22" s="47" t="s">
        <v>69</v>
      </c>
      <c r="H22" s="63" t="s">
        <v>341</v>
      </c>
      <c r="I22" s="57" t="s">
        <v>344</v>
      </c>
      <c r="J22" s="251" t="s">
        <v>2193</v>
      </c>
      <c r="K22" s="252" t="s">
        <v>2206</v>
      </c>
      <c r="L22" s="242" t="s">
        <v>2209</v>
      </c>
    </row>
    <row r="23" spans="1:12" ht="30">
      <c r="A23" s="44" t="str">
        <f t="shared" si="0"/>
        <v>1235</v>
      </c>
      <c r="B23" s="44" t="str">
        <f t="shared" si="1"/>
        <v>123</v>
      </c>
      <c r="C23" s="44">
        <v>1</v>
      </c>
      <c r="D23" s="44">
        <v>2</v>
      </c>
      <c r="E23" s="44">
        <v>3</v>
      </c>
      <c r="F23" s="44">
        <v>5</v>
      </c>
      <c r="G23" s="47" t="s">
        <v>69</v>
      </c>
      <c r="H23" s="63" t="s">
        <v>341</v>
      </c>
      <c r="I23" s="57" t="s">
        <v>345</v>
      </c>
      <c r="J23" s="251" t="s">
        <v>2193</v>
      </c>
      <c r="K23" s="252" t="s">
        <v>2206</v>
      </c>
      <c r="L23" s="242" t="s">
        <v>2210</v>
      </c>
    </row>
    <row r="24" spans="1:12" ht="30">
      <c r="A24" s="44" t="str">
        <f t="shared" si="0"/>
        <v>1311</v>
      </c>
      <c r="B24" s="44" t="str">
        <f t="shared" si="1"/>
        <v>131</v>
      </c>
      <c r="C24" s="44">
        <v>1</v>
      </c>
      <c r="D24" s="44">
        <v>3</v>
      </c>
      <c r="E24" s="44">
        <v>1</v>
      </c>
      <c r="F24" s="44">
        <v>1</v>
      </c>
      <c r="G24" s="47" t="s">
        <v>74</v>
      </c>
      <c r="H24" s="63" t="s">
        <v>120</v>
      </c>
      <c r="I24" s="57" t="s">
        <v>346</v>
      </c>
      <c r="J24" s="251" t="s">
        <v>2211</v>
      </c>
      <c r="K24" s="252" t="s">
        <v>2212</v>
      </c>
      <c r="L24" s="242" t="s">
        <v>2213</v>
      </c>
    </row>
    <row r="25" spans="1:12" ht="30">
      <c r="A25" s="44" t="str">
        <f t="shared" si="0"/>
        <v>1312</v>
      </c>
      <c r="B25" s="44" t="str">
        <f t="shared" si="1"/>
        <v>131</v>
      </c>
      <c r="C25" s="44">
        <v>1</v>
      </c>
      <c r="D25" s="44">
        <v>3</v>
      </c>
      <c r="E25" s="44">
        <v>1</v>
      </c>
      <c r="F25" s="44">
        <v>2</v>
      </c>
      <c r="G25" s="47" t="s">
        <v>74</v>
      </c>
      <c r="H25" s="63" t="s">
        <v>120</v>
      </c>
      <c r="I25" s="57" t="s">
        <v>347</v>
      </c>
      <c r="J25" s="251" t="s">
        <v>2211</v>
      </c>
      <c r="K25" s="252" t="s">
        <v>2212</v>
      </c>
      <c r="L25" s="242" t="s">
        <v>2214</v>
      </c>
    </row>
    <row r="26" spans="1:12" ht="30">
      <c r="A26" s="44" t="str">
        <f t="shared" si="0"/>
        <v>1313</v>
      </c>
      <c r="B26" s="44" t="str">
        <f t="shared" si="1"/>
        <v>131</v>
      </c>
      <c r="C26" s="44">
        <v>1</v>
      </c>
      <c r="D26" s="44">
        <v>3</v>
      </c>
      <c r="E26" s="44">
        <v>1</v>
      </c>
      <c r="F26" s="44">
        <v>3</v>
      </c>
      <c r="G26" s="47" t="s">
        <v>74</v>
      </c>
      <c r="H26" s="63" t="s">
        <v>120</v>
      </c>
      <c r="I26" s="57" t="s">
        <v>348</v>
      </c>
      <c r="J26" s="251" t="s">
        <v>2211</v>
      </c>
      <c r="K26" s="252" t="s">
        <v>2212</v>
      </c>
      <c r="L26" s="242" t="s">
        <v>2215</v>
      </c>
    </row>
    <row r="27" spans="1:12" ht="30">
      <c r="A27" s="44" t="str">
        <f t="shared" si="0"/>
        <v>1314</v>
      </c>
      <c r="B27" s="44" t="str">
        <f t="shared" si="1"/>
        <v>131</v>
      </c>
      <c r="C27" s="44">
        <v>1</v>
      </c>
      <c r="D27" s="44">
        <v>3</v>
      </c>
      <c r="E27" s="44">
        <v>1</v>
      </c>
      <c r="F27" s="44">
        <v>4</v>
      </c>
      <c r="G27" s="47" t="s">
        <v>74</v>
      </c>
      <c r="H27" s="63" t="s">
        <v>120</v>
      </c>
      <c r="I27" s="57" t="s">
        <v>531</v>
      </c>
      <c r="J27" s="251" t="s">
        <v>2211</v>
      </c>
      <c r="K27" s="252" t="s">
        <v>2212</v>
      </c>
      <c r="L27" s="242" t="s">
        <v>2216</v>
      </c>
    </row>
    <row r="28" spans="1:12" ht="30">
      <c r="A28" s="44" t="str">
        <f t="shared" si="0"/>
        <v>1315</v>
      </c>
      <c r="B28" s="44" t="str">
        <f t="shared" si="1"/>
        <v>131</v>
      </c>
      <c r="C28" s="44">
        <v>1</v>
      </c>
      <c r="D28" s="44">
        <v>3</v>
      </c>
      <c r="E28" s="44">
        <v>1</v>
      </c>
      <c r="F28" s="44">
        <v>5</v>
      </c>
      <c r="G28" s="47" t="s">
        <v>74</v>
      </c>
      <c r="H28" s="63" t="s">
        <v>120</v>
      </c>
      <c r="I28" s="57" t="s">
        <v>349</v>
      </c>
      <c r="J28" s="251" t="s">
        <v>2211</v>
      </c>
      <c r="K28" s="252" t="s">
        <v>2212</v>
      </c>
      <c r="L28" s="242" t="s">
        <v>2217</v>
      </c>
    </row>
    <row r="29" spans="1:12" ht="30">
      <c r="A29" s="44" t="str">
        <f t="shared" si="0"/>
        <v>1321</v>
      </c>
      <c r="B29" s="44" t="str">
        <f t="shared" si="1"/>
        <v>132</v>
      </c>
      <c r="C29" s="44">
        <v>1</v>
      </c>
      <c r="D29" s="44">
        <v>3</v>
      </c>
      <c r="E29" s="44">
        <v>2</v>
      </c>
      <c r="F29" s="44">
        <v>1</v>
      </c>
      <c r="G29" s="47" t="s">
        <v>74</v>
      </c>
      <c r="H29" s="63" t="s">
        <v>45</v>
      </c>
      <c r="I29" s="57" t="s">
        <v>188</v>
      </c>
      <c r="J29" s="251" t="s">
        <v>2211</v>
      </c>
      <c r="K29" s="252" t="s">
        <v>2218</v>
      </c>
      <c r="L29" s="242" t="s">
        <v>2219</v>
      </c>
    </row>
    <row r="30" spans="1:12" ht="30">
      <c r="A30" s="44" t="str">
        <f t="shared" si="0"/>
        <v>1322</v>
      </c>
      <c r="B30" s="44" t="str">
        <f t="shared" si="1"/>
        <v>132</v>
      </c>
      <c r="C30" s="44">
        <v>1</v>
      </c>
      <c r="D30" s="44">
        <v>3</v>
      </c>
      <c r="E30" s="44">
        <v>2</v>
      </c>
      <c r="F30" s="44">
        <v>2</v>
      </c>
      <c r="G30" s="47" t="s">
        <v>74</v>
      </c>
      <c r="H30" s="63" t="s">
        <v>45</v>
      </c>
      <c r="I30" s="57" t="s">
        <v>189</v>
      </c>
      <c r="J30" s="251" t="s">
        <v>2211</v>
      </c>
      <c r="K30" s="252" t="s">
        <v>2218</v>
      </c>
      <c r="L30" s="242" t="s">
        <v>2220</v>
      </c>
    </row>
    <row r="31" spans="1:12" ht="30">
      <c r="A31" s="44" t="str">
        <f t="shared" si="0"/>
        <v>1323</v>
      </c>
      <c r="B31" s="44" t="str">
        <f t="shared" si="1"/>
        <v>132</v>
      </c>
      <c r="C31" s="44">
        <v>1</v>
      </c>
      <c r="D31" s="44">
        <v>3</v>
      </c>
      <c r="E31" s="44">
        <v>2</v>
      </c>
      <c r="F31" s="44">
        <v>3</v>
      </c>
      <c r="G31" s="47" t="s">
        <v>74</v>
      </c>
      <c r="H31" s="63" t="s">
        <v>45</v>
      </c>
      <c r="I31" s="57" t="s">
        <v>190</v>
      </c>
      <c r="J31" s="251" t="s">
        <v>2211</v>
      </c>
      <c r="K31" s="252" t="s">
        <v>2218</v>
      </c>
      <c r="L31" s="242" t="s">
        <v>2221</v>
      </c>
    </row>
    <row r="32" spans="1:12" ht="30">
      <c r="A32" s="44" t="str">
        <f t="shared" si="0"/>
        <v>1324</v>
      </c>
      <c r="B32" s="44" t="str">
        <f t="shared" si="1"/>
        <v>132</v>
      </c>
      <c r="C32" s="44">
        <v>1</v>
      </c>
      <c r="D32" s="44">
        <v>3</v>
      </c>
      <c r="E32" s="44">
        <v>2</v>
      </c>
      <c r="F32" s="44">
        <v>4</v>
      </c>
      <c r="G32" s="47" t="s">
        <v>74</v>
      </c>
      <c r="H32" s="63" t="s">
        <v>45</v>
      </c>
      <c r="I32" s="57" t="s">
        <v>191</v>
      </c>
      <c r="J32" s="251" t="s">
        <v>2211</v>
      </c>
      <c r="K32" s="252" t="s">
        <v>2218</v>
      </c>
      <c r="L32" s="242" t="s">
        <v>2222</v>
      </c>
    </row>
    <row r="33" spans="1:12" ht="30">
      <c r="A33" s="44" t="str">
        <f t="shared" si="0"/>
        <v>1325</v>
      </c>
      <c r="B33" s="44" t="str">
        <f t="shared" si="1"/>
        <v>132</v>
      </c>
      <c r="C33" s="44">
        <v>1</v>
      </c>
      <c r="D33" s="44">
        <v>3</v>
      </c>
      <c r="E33" s="44">
        <v>2</v>
      </c>
      <c r="F33" s="44">
        <v>5</v>
      </c>
      <c r="G33" s="47" t="s">
        <v>74</v>
      </c>
      <c r="H33" s="63" t="s">
        <v>45</v>
      </c>
      <c r="I33" s="57" t="s">
        <v>192</v>
      </c>
      <c r="J33" s="251" t="s">
        <v>2211</v>
      </c>
      <c r="K33" s="252" t="s">
        <v>2218</v>
      </c>
      <c r="L33" s="242" t="s">
        <v>2223</v>
      </c>
    </row>
    <row r="34" spans="1:12" ht="30">
      <c r="A34" s="44" t="str">
        <f t="shared" si="0"/>
        <v>1331</v>
      </c>
      <c r="B34" s="44" t="str">
        <f t="shared" si="1"/>
        <v>133</v>
      </c>
      <c r="C34" s="44">
        <v>1</v>
      </c>
      <c r="D34" s="44">
        <v>3</v>
      </c>
      <c r="E34" s="44">
        <v>3</v>
      </c>
      <c r="F34" s="44">
        <v>1</v>
      </c>
      <c r="G34" s="47" t="s">
        <v>74</v>
      </c>
      <c r="H34" s="63" t="s">
        <v>121</v>
      </c>
      <c r="I34" s="57" t="s">
        <v>350</v>
      </c>
      <c r="J34" s="251" t="s">
        <v>2211</v>
      </c>
      <c r="K34" s="252" t="s">
        <v>2224</v>
      </c>
      <c r="L34" s="242" t="s">
        <v>2225</v>
      </c>
    </row>
    <row r="35" spans="1:12" ht="30">
      <c r="A35" s="44" t="str">
        <f t="shared" si="0"/>
        <v>1332</v>
      </c>
      <c r="B35" s="44" t="str">
        <f t="shared" si="1"/>
        <v>133</v>
      </c>
      <c r="C35" s="44">
        <v>1</v>
      </c>
      <c r="D35" s="44">
        <v>3</v>
      </c>
      <c r="E35" s="44">
        <v>3</v>
      </c>
      <c r="F35" s="44">
        <v>2</v>
      </c>
      <c r="G35" s="47" t="s">
        <v>74</v>
      </c>
      <c r="H35" s="63" t="s">
        <v>121</v>
      </c>
      <c r="I35" s="57" t="s">
        <v>351</v>
      </c>
      <c r="J35" s="251" t="s">
        <v>2211</v>
      </c>
      <c r="K35" s="252" t="s">
        <v>2224</v>
      </c>
      <c r="L35" s="242" t="s">
        <v>2226</v>
      </c>
    </row>
    <row r="36" spans="1:12" ht="30">
      <c r="A36" s="44" t="str">
        <f t="shared" si="0"/>
        <v>1411</v>
      </c>
      <c r="B36" s="44" t="str">
        <f t="shared" si="1"/>
        <v>141</v>
      </c>
      <c r="C36" s="44">
        <v>1</v>
      </c>
      <c r="D36" s="44">
        <v>4</v>
      </c>
      <c r="E36" s="44">
        <v>1</v>
      </c>
      <c r="F36" s="44">
        <v>1</v>
      </c>
      <c r="G36" s="48" t="s">
        <v>80</v>
      </c>
      <c r="H36" s="57" t="s">
        <v>50</v>
      </c>
      <c r="I36" s="57" t="s">
        <v>193</v>
      </c>
      <c r="J36" s="251" t="s">
        <v>2227</v>
      </c>
      <c r="K36" s="252" t="s">
        <v>2228</v>
      </c>
      <c r="L36" s="242" t="s">
        <v>2229</v>
      </c>
    </row>
    <row r="37" spans="1:12" ht="30">
      <c r="A37" s="44" t="str">
        <f t="shared" si="0"/>
        <v>1412</v>
      </c>
      <c r="B37" s="44" t="str">
        <f t="shared" si="1"/>
        <v>141</v>
      </c>
      <c r="C37" s="44">
        <v>1</v>
      </c>
      <c r="D37" s="44">
        <v>4</v>
      </c>
      <c r="E37" s="44">
        <v>1</v>
      </c>
      <c r="F37" s="44">
        <v>2</v>
      </c>
      <c r="G37" s="48" t="s">
        <v>80</v>
      </c>
      <c r="H37" s="57" t="s">
        <v>50</v>
      </c>
      <c r="I37" s="57" t="s">
        <v>194</v>
      </c>
      <c r="J37" s="251" t="s">
        <v>2227</v>
      </c>
      <c r="K37" s="252" t="s">
        <v>2228</v>
      </c>
      <c r="L37" s="242" t="s">
        <v>2230</v>
      </c>
    </row>
    <row r="38" spans="1:12" ht="30">
      <c r="A38" s="44" t="str">
        <f t="shared" si="0"/>
        <v>1413</v>
      </c>
      <c r="B38" s="44" t="str">
        <f t="shared" si="1"/>
        <v>141</v>
      </c>
      <c r="C38" s="44">
        <v>1</v>
      </c>
      <c r="D38" s="44">
        <v>4</v>
      </c>
      <c r="E38" s="44">
        <v>1</v>
      </c>
      <c r="F38" s="44">
        <v>3</v>
      </c>
      <c r="G38" s="48" t="s">
        <v>80</v>
      </c>
      <c r="H38" s="57" t="s">
        <v>50</v>
      </c>
      <c r="I38" s="57" t="s">
        <v>195</v>
      </c>
      <c r="J38" s="251" t="s">
        <v>2227</v>
      </c>
      <c r="K38" s="252" t="s">
        <v>2228</v>
      </c>
      <c r="L38" s="242" t="s">
        <v>2231</v>
      </c>
    </row>
    <row r="39" spans="1:12" ht="30">
      <c r="A39" s="44" t="str">
        <f t="shared" si="0"/>
        <v>1414</v>
      </c>
      <c r="B39" s="44" t="str">
        <f t="shared" si="1"/>
        <v>141</v>
      </c>
      <c r="C39" s="44">
        <v>1</v>
      </c>
      <c r="D39" s="44">
        <v>4</v>
      </c>
      <c r="E39" s="44">
        <v>1</v>
      </c>
      <c r="F39" s="44">
        <v>4</v>
      </c>
      <c r="G39" s="48" t="s">
        <v>80</v>
      </c>
      <c r="H39" s="57" t="s">
        <v>50</v>
      </c>
      <c r="I39" s="57" t="s">
        <v>196</v>
      </c>
      <c r="J39" s="251" t="s">
        <v>2227</v>
      </c>
      <c r="K39" s="252" t="s">
        <v>2228</v>
      </c>
      <c r="L39" s="242" t="s">
        <v>2232</v>
      </c>
    </row>
    <row r="40" spans="1:12">
      <c r="A40" s="44" t="str">
        <f t="shared" si="0"/>
        <v>1421</v>
      </c>
      <c r="B40" s="44" t="str">
        <f t="shared" si="1"/>
        <v>142</v>
      </c>
      <c r="C40" s="44">
        <v>1</v>
      </c>
      <c r="D40" s="44">
        <v>4</v>
      </c>
      <c r="E40" s="44">
        <v>2</v>
      </c>
      <c r="F40" s="44">
        <v>1</v>
      </c>
      <c r="G40" s="48" t="s">
        <v>80</v>
      </c>
      <c r="H40" s="57" t="s">
        <v>81</v>
      </c>
      <c r="I40" s="57" t="s">
        <v>83</v>
      </c>
      <c r="J40" s="251" t="s">
        <v>2227</v>
      </c>
      <c r="K40" s="252" t="s">
        <v>2233</v>
      </c>
      <c r="L40" s="242" t="s">
        <v>2234</v>
      </c>
    </row>
    <row r="41" spans="1:12">
      <c r="A41" s="44" t="str">
        <f t="shared" si="0"/>
        <v>1422</v>
      </c>
      <c r="B41" s="44" t="str">
        <f t="shared" si="1"/>
        <v>142</v>
      </c>
      <c r="C41" s="44">
        <v>1</v>
      </c>
      <c r="D41" s="44">
        <v>4</v>
      </c>
      <c r="E41" s="44">
        <v>2</v>
      </c>
      <c r="F41" s="44">
        <v>2</v>
      </c>
      <c r="G41" s="48" t="s">
        <v>80</v>
      </c>
      <c r="H41" s="57" t="s">
        <v>81</v>
      </c>
      <c r="I41" s="57" t="s">
        <v>532</v>
      </c>
      <c r="J41" s="251" t="s">
        <v>2227</v>
      </c>
      <c r="K41" s="252" t="s">
        <v>2233</v>
      </c>
      <c r="L41" s="242" t="s">
        <v>2235</v>
      </c>
    </row>
    <row r="42" spans="1:12" ht="30">
      <c r="A42" s="44" t="str">
        <f t="shared" si="0"/>
        <v>1431</v>
      </c>
      <c r="B42" s="44" t="str">
        <f t="shared" si="1"/>
        <v>143</v>
      </c>
      <c r="C42" s="44">
        <v>1</v>
      </c>
      <c r="D42" s="44">
        <v>4</v>
      </c>
      <c r="E42" s="44">
        <v>3</v>
      </c>
      <c r="F42" s="44">
        <v>1</v>
      </c>
      <c r="G42" s="48" t="s">
        <v>80</v>
      </c>
      <c r="H42" s="57" t="s">
        <v>82</v>
      </c>
      <c r="I42" s="57" t="s">
        <v>533</v>
      </c>
      <c r="J42" s="251" t="s">
        <v>2227</v>
      </c>
      <c r="K42" s="252" t="s">
        <v>2236</v>
      </c>
      <c r="L42" s="242" t="s">
        <v>2237</v>
      </c>
    </row>
    <row r="43" spans="1:12">
      <c r="A43" s="44" t="str">
        <f t="shared" si="0"/>
        <v>1511</v>
      </c>
      <c r="B43" s="44" t="str">
        <f t="shared" si="1"/>
        <v>151</v>
      </c>
      <c r="C43" s="44">
        <v>1</v>
      </c>
      <c r="D43" s="44">
        <v>5</v>
      </c>
      <c r="E43" s="44">
        <v>1</v>
      </c>
      <c r="F43" s="44">
        <v>1</v>
      </c>
      <c r="G43" s="48" t="s">
        <v>79</v>
      </c>
      <c r="H43" s="57" t="s">
        <v>84</v>
      </c>
      <c r="I43" s="57" t="s">
        <v>86</v>
      </c>
      <c r="J43" s="251" t="s">
        <v>2238</v>
      </c>
      <c r="K43" s="252" t="s">
        <v>2239</v>
      </c>
      <c r="L43" s="242" t="s">
        <v>2240</v>
      </c>
    </row>
    <row r="44" spans="1:12">
      <c r="A44" s="44" t="str">
        <f t="shared" si="0"/>
        <v>1512</v>
      </c>
      <c r="B44" s="44" t="str">
        <f t="shared" si="1"/>
        <v>151</v>
      </c>
      <c r="C44" s="44">
        <v>1</v>
      </c>
      <c r="D44" s="44">
        <v>5</v>
      </c>
      <c r="E44" s="44">
        <v>1</v>
      </c>
      <c r="F44" s="44">
        <v>2</v>
      </c>
      <c r="G44" s="48" t="s">
        <v>79</v>
      </c>
      <c r="H44" s="57" t="s">
        <v>84</v>
      </c>
      <c r="I44" s="57" t="s">
        <v>87</v>
      </c>
      <c r="J44" s="251" t="s">
        <v>2238</v>
      </c>
      <c r="K44" s="252" t="s">
        <v>2239</v>
      </c>
      <c r="L44" s="242" t="s">
        <v>2241</v>
      </c>
    </row>
    <row r="45" spans="1:12">
      <c r="A45" s="44" t="str">
        <f t="shared" si="0"/>
        <v>1513</v>
      </c>
      <c r="B45" s="44" t="str">
        <f t="shared" si="1"/>
        <v>151</v>
      </c>
      <c r="C45" s="44">
        <v>1</v>
      </c>
      <c r="D45" s="44">
        <v>5</v>
      </c>
      <c r="E45" s="44">
        <v>1</v>
      </c>
      <c r="F45" s="44">
        <v>3</v>
      </c>
      <c r="G45" s="48" t="s">
        <v>79</v>
      </c>
      <c r="H45" s="57" t="s">
        <v>84</v>
      </c>
      <c r="I45" s="57" t="s">
        <v>88</v>
      </c>
      <c r="J45" s="251" t="s">
        <v>2238</v>
      </c>
      <c r="K45" s="252" t="s">
        <v>2239</v>
      </c>
      <c r="L45" s="242" t="s">
        <v>2242</v>
      </c>
    </row>
    <row r="46" spans="1:12">
      <c r="A46" s="44" t="str">
        <f t="shared" si="0"/>
        <v>1514</v>
      </c>
      <c r="B46" s="44" t="str">
        <f t="shared" si="1"/>
        <v>151</v>
      </c>
      <c r="C46" s="44">
        <v>1</v>
      </c>
      <c r="D46" s="44">
        <v>5</v>
      </c>
      <c r="E46" s="44">
        <v>1</v>
      </c>
      <c r="F46" s="44">
        <v>4</v>
      </c>
      <c r="G46" s="48" t="s">
        <v>79</v>
      </c>
      <c r="H46" s="57" t="s">
        <v>84</v>
      </c>
      <c r="I46" s="57" t="s">
        <v>89</v>
      </c>
      <c r="J46" s="251" t="s">
        <v>2238</v>
      </c>
      <c r="K46" s="252" t="s">
        <v>2239</v>
      </c>
      <c r="L46" s="242" t="s">
        <v>2243</v>
      </c>
    </row>
    <row r="47" spans="1:12">
      <c r="A47" s="44" t="str">
        <f t="shared" si="0"/>
        <v>1515</v>
      </c>
      <c r="B47" s="44" t="str">
        <f t="shared" si="1"/>
        <v>151</v>
      </c>
      <c r="C47" s="44">
        <v>1</v>
      </c>
      <c r="D47" s="44">
        <v>5</v>
      </c>
      <c r="E47" s="44">
        <v>1</v>
      </c>
      <c r="F47" s="44">
        <v>5</v>
      </c>
      <c r="G47" s="48" t="s">
        <v>79</v>
      </c>
      <c r="H47" s="57" t="s">
        <v>84</v>
      </c>
      <c r="I47" s="57" t="s">
        <v>90</v>
      </c>
      <c r="J47" s="251" t="s">
        <v>2238</v>
      </c>
      <c r="K47" s="252" t="s">
        <v>2239</v>
      </c>
      <c r="L47" s="242" t="s">
        <v>2244</v>
      </c>
    </row>
    <row r="48" spans="1:12" ht="30">
      <c r="A48" s="44" t="str">
        <f t="shared" si="0"/>
        <v>1516</v>
      </c>
      <c r="B48" s="44" t="str">
        <f t="shared" si="1"/>
        <v>151</v>
      </c>
      <c r="C48" s="44">
        <v>1</v>
      </c>
      <c r="D48" s="44">
        <v>5</v>
      </c>
      <c r="E48" s="44">
        <v>1</v>
      </c>
      <c r="F48" s="44">
        <v>6</v>
      </c>
      <c r="G48" s="48" t="s">
        <v>79</v>
      </c>
      <c r="H48" s="57" t="s">
        <v>84</v>
      </c>
      <c r="I48" s="57" t="s">
        <v>91</v>
      </c>
      <c r="J48" s="251" t="s">
        <v>2238</v>
      </c>
      <c r="K48" s="252" t="s">
        <v>2239</v>
      </c>
      <c r="L48" s="242" t="s">
        <v>2245</v>
      </c>
    </row>
    <row r="49" spans="1:12">
      <c r="A49" s="44" t="str">
        <f t="shared" si="0"/>
        <v>1517</v>
      </c>
      <c r="B49" s="44" t="str">
        <f t="shared" si="1"/>
        <v>151</v>
      </c>
      <c r="C49" s="44">
        <v>1</v>
      </c>
      <c r="D49" s="44">
        <v>5</v>
      </c>
      <c r="E49" s="44">
        <v>1</v>
      </c>
      <c r="F49" s="44">
        <v>7</v>
      </c>
      <c r="G49" s="48" t="s">
        <v>79</v>
      </c>
      <c r="H49" s="57" t="s">
        <v>84</v>
      </c>
      <c r="I49" s="57" t="s">
        <v>92</v>
      </c>
      <c r="J49" s="251" t="s">
        <v>2238</v>
      </c>
      <c r="K49" s="252" t="s">
        <v>2239</v>
      </c>
      <c r="L49" s="242" t="s">
        <v>2246</v>
      </c>
    </row>
    <row r="50" spans="1:12">
      <c r="A50" s="44" t="str">
        <f t="shared" si="0"/>
        <v>1521</v>
      </c>
      <c r="B50" s="44" t="str">
        <f t="shared" si="1"/>
        <v>152</v>
      </c>
      <c r="C50" s="44">
        <v>1</v>
      </c>
      <c r="D50" s="44">
        <v>5</v>
      </c>
      <c r="E50" s="44">
        <v>2</v>
      </c>
      <c r="F50" s="44">
        <v>1</v>
      </c>
      <c r="G50" s="48" t="s">
        <v>61</v>
      </c>
      <c r="H50" s="57" t="s">
        <v>13</v>
      </c>
      <c r="I50" s="57" t="s">
        <v>197</v>
      </c>
      <c r="J50" s="251" t="s">
        <v>2238</v>
      </c>
      <c r="K50" s="252" t="s">
        <v>2247</v>
      </c>
      <c r="L50" s="242" t="s">
        <v>2248</v>
      </c>
    </row>
    <row r="51" spans="1:12">
      <c r="A51" s="44" t="str">
        <f t="shared" si="0"/>
        <v>1522</v>
      </c>
      <c r="B51" s="44" t="str">
        <f t="shared" si="1"/>
        <v>152</v>
      </c>
      <c r="C51" s="44">
        <v>1</v>
      </c>
      <c r="D51" s="44">
        <v>5</v>
      </c>
      <c r="E51" s="44">
        <v>2</v>
      </c>
      <c r="F51" s="44">
        <v>2</v>
      </c>
      <c r="G51" s="48" t="s">
        <v>61</v>
      </c>
      <c r="H51" s="57" t="s">
        <v>13</v>
      </c>
      <c r="I51" s="57" t="s">
        <v>198</v>
      </c>
      <c r="J51" s="251" t="s">
        <v>2238</v>
      </c>
      <c r="K51" s="252" t="s">
        <v>2247</v>
      </c>
      <c r="L51" s="242" t="s">
        <v>2249</v>
      </c>
    </row>
    <row r="52" spans="1:12">
      <c r="A52" s="44" t="str">
        <f t="shared" si="0"/>
        <v>1523</v>
      </c>
      <c r="B52" s="44" t="str">
        <f t="shared" si="1"/>
        <v>152</v>
      </c>
      <c r="C52" s="44">
        <v>1</v>
      </c>
      <c r="D52" s="44">
        <v>5</v>
      </c>
      <c r="E52" s="44">
        <v>2</v>
      </c>
      <c r="F52" s="44">
        <v>3</v>
      </c>
      <c r="G52" s="48" t="s">
        <v>61</v>
      </c>
      <c r="H52" s="57" t="s">
        <v>13</v>
      </c>
      <c r="I52" s="57" t="s">
        <v>199</v>
      </c>
      <c r="J52" s="251" t="s">
        <v>2238</v>
      </c>
      <c r="K52" s="252" t="s">
        <v>2247</v>
      </c>
      <c r="L52" s="242" t="s">
        <v>2250</v>
      </c>
    </row>
    <row r="53" spans="1:12">
      <c r="A53" s="44" t="str">
        <f t="shared" si="0"/>
        <v>1524</v>
      </c>
      <c r="B53" s="44" t="str">
        <f t="shared" si="1"/>
        <v>152</v>
      </c>
      <c r="C53" s="44">
        <v>1</v>
      </c>
      <c r="D53" s="44">
        <v>5</v>
      </c>
      <c r="E53" s="44">
        <v>2</v>
      </c>
      <c r="F53" s="44">
        <v>4</v>
      </c>
      <c r="G53" s="48" t="s">
        <v>61</v>
      </c>
      <c r="H53" s="57" t="s">
        <v>13</v>
      </c>
      <c r="I53" s="57" t="s">
        <v>200</v>
      </c>
      <c r="J53" s="251" t="s">
        <v>2238</v>
      </c>
      <c r="K53" s="252" t="s">
        <v>2247</v>
      </c>
      <c r="L53" s="242" t="s">
        <v>2251</v>
      </c>
    </row>
    <row r="54" spans="1:12">
      <c r="A54" s="44" t="str">
        <f t="shared" si="0"/>
        <v>1525</v>
      </c>
      <c r="B54" s="44" t="str">
        <f t="shared" si="1"/>
        <v>152</v>
      </c>
      <c r="C54" s="44">
        <v>1</v>
      </c>
      <c r="D54" s="44">
        <v>5</v>
      </c>
      <c r="E54" s="44">
        <v>2</v>
      </c>
      <c r="F54" s="44">
        <v>5</v>
      </c>
      <c r="G54" s="48" t="s">
        <v>61</v>
      </c>
      <c r="H54" s="57" t="s">
        <v>13</v>
      </c>
      <c r="I54" s="57" t="s">
        <v>201</v>
      </c>
      <c r="J54" s="251" t="s">
        <v>2238</v>
      </c>
      <c r="K54" s="252" t="s">
        <v>2247</v>
      </c>
      <c r="L54" s="242" t="s">
        <v>2252</v>
      </c>
    </row>
    <row r="55" spans="1:12" ht="30">
      <c r="A55" s="44" t="str">
        <f t="shared" si="0"/>
        <v>1531</v>
      </c>
      <c r="B55" s="44" t="str">
        <f t="shared" si="1"/>
        <v>153</v>
      </c>
      <c r="C55" s="44">
        <v>1</v>
      </c>
      <c r="D55" s="44">
        <v>5</v>
      </c>
      <c r="E55" s="44">
        <v>3</v>
      </c>
      <c r="F55" s="44">
        <v>1</v>
      </c>
      <c r="G55" s="48" t="s">
        <v>79</v>
      </c>
      <c r="H55" s="57" t="s">
        <v>85</v>
      </c>
      <c r="I55" s="57" t="s">
        <v>93</v>
      </c>
      <c r="J55" s="251" t="s">
        <v>2238</v>
      </c>
      <c r="K55" s="252" t="s">
        <v>2253</v>
      </c>
      <c r="L55" s="242" t="s">
        <v>2254</v>
      </c>
    </row>
    <row r="56" spans="1:12" ht="30">
      <c r="A56" s="44" t="str">
        <f t="shared" si="0"/>
        <v>1532</v>
      </c>
      <c r="B56" s="44" t="str">
        <f t="shared" si="1"/>
        <v>153</v>
      </c>
      <c r="C56" s="44">
        <v>1</v>
      </c>
      <c r="D56" s="44">
        <v>5</v>
      </c>
      <c r="E56" s="44">
        <v>3</v>
      </c>
      <c r="F56" s="44">
        <v>2</v>
      </c>
      <c r="G56" s="48" t="s">
        <v>79</v>
      </c>
      <c r="H56" s="57" t="s">
        <v>85</v>
      </c>
      <c r="I56" s="57" t="s">
        <v>94</v>
      </c>
      <c r="J56" s="251" t="s">
        <v>2238</v>
      </c>
      <c r="K56" s="252" t="s">
        <v>2253</v>
      </c>
      <c r="L56" s="242" t="s">
        <v>2255</v>
      </c>
    </row>
    <row r="57" spans="1:12" ht="30">
      <c r="A57" s="44" t="str">
        <f t="shared" si="0"/>
        <v>1533</v>
      </c>
      <c r="B57" s="44" t="str">
        <f t="shared" si="1"/>
        <v>153</v>
      </c>
      <c r="C57" s="44">
        <v>1</v>
      </c>
      <c r="D57" s="44">
        <v>5</v>
      </c>
      <c r="E57" s="44">
        <v>3</v>
      </c>
      <c r="F57" s="44">
        <v>3</v>
      </c>
      <c r="G57" s="48" t="s">
        <v>79</v>
      </c>
      <c r="H57" s="57" t="s">
        <v>85</v>
      </c>
      <c r="I57" s="57" t="s">
        <v>95</v>
      </c>
      <c r="J57" s="251" t="s">
        <v>2238</v>
      </c>
      <c r="K57" s="252" t="s">
        <v>2253</v>
      </c>
      <c r="L57" s="242" t="s">
        <v>2256</v>
      </c>
    </row>
    <row r="58" spans="1:12" ht="30">
      <c r="A58" s="44" t="str">
        <f t="shared" si="0"/>
        <v>1534</v>
      </c>
      <c r="B58" s="44" t="str">
        <f t="shared" si="1"/>
        <v>153</v>
      </c>
      <c r="C58" s="44">
        <v>1</v>
      </c>
      <c r="D58" s="44">
        <v>5</v>
      </c>
      <c r="E58" s="44">
        <v>3</v>
      </c>
      <c r="F58" s="44">
        <v>4</v>
      </c>
      <c r="G58" s="48" t="s">
        <v>79</v>
      </c>
      <c r="H58" s="57" t="s">
        <v>85</v>
      </c>
      <c r="I58" s="57" t="s">
        <v>96</v>
      </c>
      <c r="J58" s="251" t="s">
        <v>2238</v>
      </c>
      <c r="K58" s="252" t="s">
        <v>2253</v>
      </c>
      <c r="L58" s="242" t="s">
        <v>2257</v>
      </c>
    </row>
    <row r="59" spans="1:12" ht="60">
      <c r="A59" s="44" t="str">
        <f t="shared" si="0"/>
        <v>1535</v>
      </c>
      <c r="B59" s="44" t="str">
        <f t="shared" si="1"/>
        <v>153</v>
      </c>
      <c r="C59" s="44">
        <v>1</v>
      </c>
      <c r="D59" s="44">
        <v>5</v>
      </c>
      <c r="E59" s="44">
        <v>3</v>
      </c>
      <c r="F59" s="44">
        <v>5</v>
      </c>
      <c r="G59" s="48" t="s">
        <v>79</v>
      </c>
      <c r="H59" s="57" t="s">
        <v>85</v>
      </c>
      <c r="I59" s="57" t="s">
        <v>97</v>
      </c>
      <c r="J59" s="251" t="s">
        <v>2238</v>
      </c>
      <c r="K59" s="252" t="s">
        <v>2253</v>
      </c>
      <c r="L59" s="242" t="s">
        <v>2258</v>
      </c>
    </row>
    <row r="60" spans="1:12" ht="30">
      <c r="A60" s="44" t="str">
        <f t="shared" si="0"/>
        <v>1611</v>
      </c>
      <c r="B60" s="44" t="str">
        <f t="shared" si="1"/>
        <v>161</v>
      </c>
      <c r="C60" s="44">
        <v>1</v>
      </c>
      <c r="D60" s="44">
        <v>6</v>
      </c>
      <c r="E60" s="44">
        <v>1</v>
      </c>
      <c r="F60" s="44">
        <v>1</v>
      </c>
      <c r="G60" s="48" t="s">
        <v>77</v>
      </c>
      <c r="H60" s="57" t="s">
        <v>842</v>
      </c>
      <c r="I60" s="57" t="s">
        <v>78</v>
      </c>
      <c r="J60" s="251" t="s">
        <v>2259</v>
      </c>
      <c r="K60" s="252" t="s">
        <v>2260</v>
      </c>
      <c r="L60" s="242" t="s">
        <v>2261</v>
      </c>
    </row>
    <row r="61" spans="1:12" ht="30">
      <c r="A61" s="44" t="str">
        <f t="shared" si="0"/>
        <v>1612</v>
      </c>
      <c r="B61" s="44" t="str">
        <f t="shared" si="1"/>
        <v>161</v>
      </c>
      <c r="C61" s="44">
        <v>1</v>
      </c>
      <c r="D61" s="44">
        <v>6</v>
      </c>
      <c r="E61" s="44">
        <v>1</v>
      </c>
      <c r="F61" s="44">
        <v>2</v>
      </c>
      <c r="G61" s="48" t="s">
        <v>77</v>
      </c>
      <c r="H61" s="57" t="s">
        <v>842</v>
      </c>
      <c r="I61" s="57" t="s">
        <v>534</v>
      </c>
      <c r="J61" s="251" t="s">
        <v>2259</v>
      </c>
      <c r="K61" s="252" t="s">
        <v>2260</v>
      </c>
      <c r="L61" s="242" t="s">
        <v>2262</v>
      </c>
    </row>
    <row r="62" spans="1:12" ht="30">
      <c r="A62" s="44" t="str">
        <f t="shared" si="0"/>
        <v>1613</v>
      </c>
      <c r="B62" s="44" t="str">
        <f t="shared" si="1"/>
        <v>161</v>
      </c>
      <c r="C62" s="44">
        <v>1</v>
      </c>
      <c r="D62" s="44">
        <v>6</v>
      </c>
      <c r="E62" s="44">
        <v>1</v>
      </c>
      <c r="F62" s="44">
        <v>3</v>
      </c>
      <c r="G62" s="48" t="s">
        <v>77</v>
      </c>
      <c r="H62" s="57" t="s">
        <v>842</v>
      </c>
      <c r="I62" s="57" t="s">
        <v>535</v>
      </c>
      <c r="J62" s="251" t="s">
        <v>2259</v>
      </c>
      <c r="K62" s="252" t="s">
        <v>2260</v>
      </c>
      <c r="L62" s="242" t="s">
        <v>2263</v>
      </c>
    </row>
    <row r="63" spans="1:12" ht="30">
      <c r="A63" s="44" t="str">
        <f t="shared" si="0"/>
        <v>1614</v>
      </c>
      <c r="B63" s="44" t="str">
        <f t="shared" si="1"/>
        <v>161</v>
      </c>
      <c r="C63" s="44">
        <v>1</v>
      </c>
      <c r="D63" s="44">
        <v>6</v>
      </c>
      <c r="E63" s="44">
        <v>1</v>
      </c>
      <c r="F63" s="44">
        <v>4</v>
      </c>
      <c r="G63" s="48" t="s">
        <v>77</v>
      </c>
      <c r="H63" s="57" t="s">
        <v>842</v>
      </c>
      <c r="I63" s="57" t="s">
        <v>202</v>
      </c>
      <c r="J63" s="251" t="s">
        <v>2259</v>
      </c>
      <c r="K63" s="252" t="s">
        <v>2260</v>
      </c>
      <c r="L63" s="242" t="s">
        <v>2264</v>
      </c>
    </row>
    <row r="64" spans="1:12" ht="30">
      <c r="A64" s="44" t="str">
        <f t="shared" si="0"/>
        <v>1615</v>
      </c>
      <c r="B64" s="44" t="str">
        <f t="shared" si="1"/>
        <v>161</v>
      </c>
      <c r="C64" s="44">
        <v>1</v>
      </c>
      <c r="D64" s="44">
        <v>6</v>
      </c>
      <c r="E64" s="44">
        <v>1</v>
      </c>
      <c r="F64" s="44">
        <v>5</v>
      </c>
      <c r="G64" s="48" t="s">
        <v>77</v>
      </c>
      <c r="H64" s="57" t="s">
        <v>842</v>
      </c>
      <c r="I64" s="57" t="s">
        <v>203</v>
      </c>
      <c r="J64" s="251" t="s">
        <v>2259</v>
      </c>
      <c r="K64" s="252" t="s">
        <v>2260</v>
      </c>
      <c r="L64" s="242" t="s">
        <v>2265</v>
      </c>
    </row>
    <row r="65" spans="1:12" ht="30">
      <c r="A65" s="44" t="str">
        <f t="shared" si="0"/>
        <v>1621</v>
      </c>
      <c r="B65" s="44" t="str">
        <f t="shared" si="1"/>
        <v>162</v>
      </c>
      <c r="C65" s="44">
        <v>1</v>
      </c>
      <c r="D65" s="44">
        <v>6</v>
      </c>
      <c r="E65" s="44">
        <v>2</v>
      </c>
      <c r="F65" s="44">
        <v>1</v>
      </c>
      <c r="G65" s="48" t="s">
        <v>77</v>
      </c>
      <c r="H65" s="57" t="s">
        <v>9</v>
      </c>
      <c r="I65" s="57" t="s">
        <v>204</v>
      </c>
      <c r="J65" s="251" t="s">
        <v>2259</v>
      </c>
      <c r="K65" s="252" t="s">
        <v>2266</v>
      </c>
      <c r="L65" s="242" t="s">
        <v>2267</v>
      </c>
    </row>
    <row r="66" spans="1:12" ht="30">
      <c r="A66" s="44" t="str">
        <f t="shared" si="0"/>
        <v>1622</v>
      </c>
      <c r="B66" s="44" t="str">
        <f t="shared" si="1"/>
        <v>162</v>
      </c>
      <c r="C66" s="44">
        <v>1</v>
      </c>
      <c r="D66" s="44">
        <v>6</v>
      </c>
      <c r="E66" s="44">
        <v>2</v>
      </c>
      <c r="F66" s="44">
        <v>2</v>
      </c>
      <c r="G66" s="48" t="s">
        <v>77</v>
      </c>
      <c r="H66" s="57" t="s">
        <v>9</v>
      </c>
      <c r="I66" s="57" t="s">
        <v>205</v>
      </c>
      <c r="J66" s="251" t="s">
        <v>2259</v>
      </c>
      <c r="K66" s="252" t="s">
        <v>2266</v>
      </c>
      <c r="L66" s="242" t="s">
        <v>2268</v>
      </c>
    </row>
    <row r="67" spans="1:12" ht="45">
      <c r="A67" s="44" t="str">
        <f t="shared" ref="A67:A130" si="2">_xlfn.CONCAT(C67:F67)</f>
        <v>1623</v>
      </c>
      <c r="B67" s="44" t="str">
        <f t="shared" ref="B67:B130" si="3">_xlfn.CONCAT(C67:E67)</f>
        <v>162</v>
      </c>
      <c r="C67" s="44">
        <v>1</v>
      </c>
      <c r="D67" s="44">
        <v>6</v>
      </c>
      <c r="E67" s="44">
        <v>2</v>
      </c>
      <c r="F67" s="44">
        <v>3</v>
      </c>
      <c r="G67" s="48" t="s">
        <v>77</v>
      </c>
      <c r="H67" s="57" t="s">
        <v>9</v>
      </c>
      <c r="I67" s="57" t="s">
        <v>206</v>
      </c>
      <c r="J67" s="251" t="s">
        <v>2259</v>
      </c>
      <c r="K67" s="252" t="s">
        <v>2266</v>
      </c>
      <c r="L67" s="242" t="s">
        <v>2269</v>
      </c>
    </row>
    <row r="68" spans="1:12" ht="30">
      <c r="A68" s="44" t="str">
        <f t="shared" si="2"/>
        <v>1624</v>
      </c>
      <c r="B68" s="44" t="str">
        <f t="shared" si="3"/>
        <v>162</v>
      </c>
      <c r="C68" s="44">
        <v>1</v>
      </c>
      <c r="D68" s="44">
        <v>6</v>
      </c>
      <c r="E68" s="44">
        <v>2</v>
      </c>
      <c r="F68" s="44">
        <v>4</v>
      </c>
      <c r="G68" s="48" t="s">
        <v>77</v>
      </c>
      <c r="H68" s="57" t="s">
        <v>9</v>
      </c>
      <c r="I68" s="57" t="s">
        <v>207</v>
      </c>
      <c r="J68" s="251" t="s">
        <v>2259</v>
      </c>
      <c r="K68" s="252" t="s">
        <v>2266</v>
      </c>
      <c r="L68" s="242" t="s">
        <v>2270</v>
      </c>
    </row>
    <row r="69" spans="1:12" ht="45">
      <c r="A69" s="44" t="str">
        <f t="shared" si="2"/>
        <v>1631</v>
      </c>
      <c r="B69" s="44" t="str">
        <f t="shared" si="3"/>
        <v>163</v>
      </c>
      <c r="C69" s="44">
        <v>1</v>
      </c>
      <c r="D69" s="44">
        <v>6</v>
      </c>
      <c r="E69" s="44">
        <v>3</v>
      </c>
      <c r="F69" s="44">
        <v>1</v>
      </c>
      <c r="G69" s="48" t="s">
        <v>77</v>
      </c>
      <c r="H69" s="57" t="s">
        <v>122</v>
      </c>
      <c r="I69" s="58" t="s">
        <v>336</v>
      </c>
      <c r="J69" s="251" t="s">
        <v>2259</v>
      </c>
      <c r="K69" s="252" t="s">
        <v>2271</v>
      </c>
      <c r="L69" s="242" t="s">
        <v>2272</v>
      </c>
    </row>
    <row r="70" spans="1:12" ht="45">
      <c r="A70" s="44" t="str">
        <f t="shared" si="2"/>
        <v>1632</v>
      </c>
      <c r="B70" s="44" t="str">
        <f t="shared" si="3"/>
        <v>163</v>
      </c>
      <c r="C70" s="44">
        <v>1</v>
      </c>
      <c r="D70" s="44">
        <v>6</v>
      </c>
      <c r="E70" s="44">
        <v>3</v>
      </c>
      <c r="F70" s="44">
        <v>2</v>
      </c>
      <c r="G70" s="48" t="s">
        <v>77</v>
      </c>
      <c r="H70" s="57" t="s">
        <v>122</v>
      </c>
      <c r="I70" s="58" t="s">
        <v>337</v>
      </c>
      <c r="J70" s="251" t="s">
        <v>2259</v>
      </c>
      <c r="K70" s="252" t="s">
        <v>2271</v>
      </c>
      <c r="L70" s="242" t="s">
        <v>2273</v>
      </c>
    </row>
    <row r="71" spans="1:12" ht="45">
      <c r="A71" s="44" t="str">
        <f t="shared" si="2"/>
        <v>1633</v>
      </c>
      <c r="B71" s="44" t="str">
        <f t="shared" si="3"/>
        <v>163</v>
      </c>
      <c r="C71" s="44">
        <v>1</v>
      </c>
      <c r="D71" s="44">
        <v>6</v>
      </c>
      <c r="E71" s="44">
        <v>3</v>
      </c>
      <c r="F71" s="44">
        <v>3</v>
      </c>
      <c r="G71" s="48" t="s">
        <v>77</v>
      </c>
      <c r="H71" s="57" t="s">
        <v>122</v>
      </c>
      <c r="I71" s="58" t="s">
        <v>338</v>
      </c>
      <c r="J71" s="251" t="s">
        <v>2259</v>
      </c>
      <c r="K71" s="252" t="s">
        <v>2271</v>
      </c>
      <c r="L71" s="242" t="s">
        <v>2274</v>
      </c>
    </row>
    <row r="72" spans="1:12" ht="45">
      <c r="A72" s="44" t="str">
        <f t="shared" si="2"/>
        <v>1634</v>
      </c>
      <c r="B72" s="44" t="str">
        <f t="shared" si="3"/>
        <v>163</v>
      </c>
      <c r="C72" s="44">
        <v>1</v>
      </c>
      <c r="D72" s="44">
        <v>6</v>
      </c>
      <c r="E72" s="44">
        <v>3</v>
      </c>
      <c r="F72" s="44">
        <v>4</v>
      </c>
      <c r="G72" s="48" t="s">
        <v>77</v>
      </c>
      <c r="H72" s="57" t="s">
        <v>122</v>
      </c>
      <c r="I72" s="58" t="s">
        <v>536</v>
      </c>
      <c r="J72" s="251" t="s">
        <v>2259</v>
      </c>
      <c r="K72" s="252" t="s">
        <v>2271</v>
      </c>
      <c r="L72" s="242" t="s">
        <v>2275</v>
      </c>
    </row>
    <row r="73" spans="1:12" ht="45">
      <c r="A73" s="44" t="str">
        <f t="shared" si="2"/>
        <v>1635</v>
      </c>
      <c r="B73" s="44" t="str">
        <f t="shared" si="3"/>
        <v>163</v>
      </c>
      <c r="C73" s="44">
        <v>1</v>
      </c>
      <c r="D73" s="44">
        <v>6</v>
      </c>
      <c r="E73" s="44">
        <v>3</v>
      </c>
      <c r="F73" s="44">
        <v>5</v>
      </c>
      <c r="G73" s="48" t="s">
        <v>77</v>
      </c>
      <c r="H73" s="57" t="s">
        <v>122</v>
      </c>
      <c r="I73" s="58" t="s">
        <v>339</v>
      </c>
      <c r="J73" s="251" t="s">
        <v>2259</v>
      </c>
      <c r="K73" s="252" t="s">
        <v>2271</v>
      </c>
      <c r="L73" s="242" t="s">
        <v>2276</v>
      </c>
    </row>
    <row r="74" spans="1:12">
      <c r="A74" s="44" t="str">
        <f t="shared" si="2"/>
        <v>2111</v>
      </c>
      <c r="B74" s="44" t="str">
        <f t="shared" si="3"/>
        <v>211</v>
      </c>
      <c r="C74" s="44">
        <v>2</v>
      </c>
      <c r="D74" s="44">
        <v>1</v>
      </c>
      <c r="E74" s="44">
        <v>1</v>
      </c>
      <c r="F74" s="44">
        <v>1</v>
      </c>
      <c r="G74" s="48" t="s">
        <v>139</v>
      </c>
      <c r="H74" s="57" t="s">
        <v>140</v>
      </c>
      <c r="I74" s="58" t="s">
        <v>352</v>
      </c>
      <c r="J74" s="251" t="s">
        <v>2277</v>
      </c>
      <c r="K74" s="252" t="s">
        <v>2278</v>
      </c>
      <c r="L74" s="242" t="s">
        <v>2279</v>
      </c>
    </row>
    <row r="75" spans="1:12">
      <c r="A75" s="44" t="str">
        <f t="shared" si="2"/>
        <v>2112</v>
      </c>
      <c r="B75" s="44" t="str">
        <f t="shared" si="3"/>
        <v>211</v>
      </c>
      <c r="C75" s="44">
        <v>2</v>
      </c>
      <c r="D75" s="44">
        <v>1</v>
      </c>
      <c r="E75" s="44">
        <v>1</v>
      </c>
      <c r="F75" s="44">
        <v>2</v>
      </c>
      <c r="G75" s="48" t="s">
        <v>139</v>
      </c>
      <c r="H75" s="57" t="s">
        <v>140</v>
      </c>
      <c r="I75" s="58" t="s">
        <v>353</v>
      </c>
      <c r="J75" s="251" t="s">
        <v>2277</v>
      </c>
      <c r="K75" s="252" t="s">
        <v>2278</v>
      </c>
      <c r="L75" s="242" t="s">
        <v>2280</v>
      </c>
    </row>
    <row r="76" spans="1:12" ht="30">
      <c r="A76" s="44" t="str">
        <f t="shared" si="2"/>
        <v>2121</v>
      </c>
      <c r="B76" s="44" t="str">
        <f t="shared" si="3"/>
        <v>212</v>
      </c>
      <c r="C76" s="44">
        <v>2</v>
      </c>
      <c r="D76" s="44">
        <v>1</v>
      </c>
      <c r="E76" s="44">
        <v>2</v>
      </c>
      <c r="F76" s="44">
        <v>1</v>
      </c>
      <c r="G76" s="48" t="s">
        <v>139</v>
      </c>
      <c r="H76" s="57" t="s">
        <v>843</v>
      </c>
      <c r="I76" s="58" t="s">
        <v>537</v>
      </c>
      <c r="J76" s="251" t="s">
        <v>2277</v>
      </c>
      <c r="K76" s="252" t="s">
        <v>2281</v>
      </c>
      <c r="L76" s="242" t="s">
        <v>2282</v>
      </c>
    </row>
    <row r="77" spans="1:12">
      <c r="A77" s="44" t="str">
        <f t="shared" si="2"/>
        <v>2122</v>
      </c>
      <c r="B77" s="44" t="str">
        <f t="shared" si="3"/>
        <v>212</v>
      </c>
      <c r="C77" s="44">
        <v>2</v>
      </c>
      <c r="D77" s="44">
        <v>1</v>
      </c>
      <c r="E77" s="44">
        <v>2</v>
      </c>
      <c r="F77" s="44">
        <v>2</v>
      </c>
      <c r="G77" s="48" t="s">
        <v>139</v>
      </c>
      <c r="H77" s="57" t="s">
        <v>843</v>
      </c>
      <c r="I77" s="58" t="s">
        <v>354</v>
      </c>
      <c r="J77" s="251" t="s">
        <v>2277</v>
      </c>
      <c r="K77" s="252" t="s">
        <v>2281</v>
      </c>
      <c r="L77" s="242" t="s">
        <v>2283</v>
      </c>
    </row>
    <row r="78" spans="1:12">
      <c r="A78" s="44" t="str">
        <f t="shared" si="2"/>
        <v>2123</v>
      </c>
      <c r="B78" s="44" t="str">
        <f t="shared" si="3"/>
        <v>212</v>
      </c>
      <c r="C78" s="44">
        <v>2</v>
      </c>
      <c r="D78" s="44">
        <v>1</v>
      </c>
      <c r="E78" s="44">
        <v>2</v>
      </c>
      <c r="F78" s="44">
        <v>3</v>
      </c>
      <c r="G78" s="48" t="s">
        <v>139</v>
      </c>
      <c r="H78" s="57" t="s">
        <v>843</v>
      </c>
      <c r="I78" s="58" t="s">
        <v>355</v>
      </c>
      <c r="J78" s="251" t="s">
        <v>2277</v>
      </c>
      <c r="K78" s="252" t="s">
        <v>2281</v>
      </c>
      <c r="L78" s="242" t="s">
        <v>2284</v>
      </c>
    </row>
    <row r="79" spans="1:12" ht="30">
      <c r="A79" s="44" t="str">
        <f t="shared" si="2"/>
        <v>2124</v>
      </c>
      <c r="B79" s="44" t="str">
        <f t="shared" si="3"/>
        <v>212</v>
      </c>
      <c r="C79" s="44">
        <v>2</v>
      </c>
      <c r="D79" s="44">
        <v>1</v>
      </c>
      <c r="E79" s="44">
        <v>2</v>
      </c>
      <c r="F79" s="44">
        <v>4</v>
      </c>
      <c r="G79" s="48" t="s">
        <v>139</v>
      </c>
      <c r="H79" s="57" t="s">
        <v>843</v>
      </c>
      <c r="I79" s="58" t="s">
        <v>356</v>
      </c>
      <c r="J79" s="251" t="s">
        <v>2277</v>
      </c>
      <c r="K79" s="252" t="s">
        <v>2281</v>
      </c>
      <c r="L79" s="242" t="s">
        <v>2285</v>
      </c>
    </row>
    <row r="80" spans="1:12">
      <c r="A80" s="44" t="str">
        <f t="shared" si="2"/>
        <v>2125</v>
      </c>
      <c r="B80" s="44" t="str">
        <f t="shared" si="3"/>
        <v>212</v>
      </c>
      <c r="C80" s="44">
        <v>2</v>
      </c>
      <c r="D80" s="44">
        <v>1</v>
      </c>
      <c r="E80" s="44">
        <v>2</v>
      </c>
      <c r="F80" s="44">
        <v>5</v>
      </c>
      <c r="G80" s="48" t="s">
        <v>139</v>
      </c>
      <c r="H80" s="57" t="s">
        <v>843</v>
      </c>
      <c r="I80" s="58" t="s">
        <v>538</v>
      </c>
      <c r="J80" s="251" t="s">
        <v>2277</v>
      </c>
      <c r="K80" s="252" t="s">
        <v>2281</v>
      </c>
      <c r="L80" s="242" t="s">
        <v>2286</v>
      </c>
    </row>
    <row r="81" spans="1:12">
      <c r="A81" s="44" t="str">
        <f t="shared" si="2"/>
        <v>2126</v>
      </c>
      <c r="B81" s="44" t="str">
        <f t="shared" si="3"/>
        <v>212</v>
      </c>
      <c r="C81" s="44">
        <v>2</v>
      </c>
      <c r="D81" s="44">
        <v>1</v>
      </c>
      <c r="E81" s="44">
        <v>2</v>
      </c>
      <c r="F81" s="44">
        <v>6</v>
      </c>
      <c r="G81" s="48" t="s">
        <v>139</v>
      </c>
      <c r="H81" s="57" t="s">
        <v>843</v>
      </c>
      <c r="I81" s="58" t="s">
        <v>357</v>
      </c>
      <c r="J81" s="251" t="s">
        <v>2277</v>
      </c>
      <c r="K81" s="252" t="s">
        <v>2281</v>
      </c>
      <c r="L81" s="242" t="s">
        <v>2287</v>
      </c>
    </row>
    <row r="82" spans="1:12">
      <c r="A82" s="44" t="str">
        <f t="shared" si="2"/>
        <v>2127</v>
      </c>
      <c r="B82" s="44" t="str">
        <f t="shared" si="3"/>
        <v>212</v>
      </c>
      <c r="C82" s="44">
        <v>2</v>
      </c>
      <c r="D82" s="44">
        <v>1</v>
      </c>
      <c r="E82" s="44">
        <v>2</v>
      </c>
      <c r="F82" s="44">
        <v>7</v>
      </c>
      <c r="G82" s="48" t="s">
        <v>139</v>
      </c>
      <c r="H82" s="57" t="s">
        <v>843</v>
      </c>
      <c r="I82" s="58" t="s">
        <v>539</v>
      </c>
      <c r="J82" s="251" t="s">
        <v>2277</v>
      </c>
      <c r="K82" s="252" t="s">
        <v>2281</v>
      </c>
      <c r="L82" s="242" t="s">
        <v>2288</v>
      </c>
    </row>
    <row r="83" spans="1:12" ht="30">
      <c r="A83" s="44" t="str">
        <f t="shared" si="2"/>
        <v>2131</v>
      </c>
      <c r="B83" s="44" t="str">
        <f t="shared" si="3"/>
        <v>213</v>
      </c>
      <c r="C83" s="44">
        <v>2</v>
      </c>
      <c r="D83" s="44">
        <v>1</v>
      </c>
      <c r="E83" s="44">
        <v>3</v>
      </c>
      <c r="F83" s="44">
        <v>1</v>
      </c>
      <c r="G83" s="48" t="s">
        <v>139</v>
      </c>
      <c r="H83" s="57" t="s">
        <v>844</v>
      </c>
      <c r="I83" s="58" t="s">
        <v>358</v>
      </c>
      <c r="J83" s="251" t="s">
        <v>2277</v>
      </c>
      <c r="K83" s="252" t="s">
        <v>2289</v>
      </c>
      <c r="L83" s="242" t="s">
        <v>2290</v>
      </c>
    </row>
    <row r="84" spans="1:12" ht="30">
      <c r="A84" s="44" t="str">
        <f t="shared" si="2"/>
        <v>2132</v>
      </c>
      <c r="B84" s="44" t="str">
        <f t="shared" si="3"/>
        <v>213</v>
      </c>
      <c r="C84" s="44">
        <v>2</v>
      </c>
      <c r="D84" s="44">
        <v>1</v>
      </c>
      <c r="E84" s="44">
        <v>3</v>
      </c>
      <c r="F84" s="44">
        <v>2</v>
      </c>
      <c r="G84" s="48" t="s">
        <v>139</v>
      </c>
      <c r="H84" s="57" t="s">
        <v>844</v>
      </c>
      <c r="I84" s="58" t="s">
        <v>540</v>
      </c>
      <c r="J84" s="251" t="s">
        <v>2277</v>
      </c>
      <c r="K84" s="252" t="s">
        <v>2289</v>
      </c>
      <c r="L84" s="242" t="s">
        <v>2291</v>
      </c>
    </row>
    <row r="85" spans="1:12" ht="30">
      <c r="A85" s="44" t="str">
        <f t="shared" si="2"/>
        <v>2133</v>
      </c>
      <c r="B85" s="44" t="str">
        <f t="shared" si="3"/>
        <v>213</v>
      </c>
      <c r="C85" s="44">
        <v>2</v>
      </c>
      <c r="D85" s="44">
        <v>1</v>
      </c>
      <c r="E85" s="44">
        <v>3</v>
      </c>
      <c r="F85" s="44">
        <v>3</v>
      </c>
      <c r="G85" s="48" t="s">
        <v>139</v>
      </c>
      <c r="H85" s="57" t="s">
        <v>844</v>
      </c>
      <c r="I85" s="58" t="s">
        <v>541</v>
      </c>
      <c r="J85" s="251" t="s">
        <v>2277</v>
      </c>
      <c r="K85" s="252" t="s">
        <v>2289</v>
      </c>
      <c r="L85" s="242" t="s">
        <v>2292</v>
      </c>
    </row>
    <row r="86" spans="1:12" ht="30">
      <c r="A86" s="44" t="str">
        <f t="shared" si="2"/>
        <v>2134</v>
      </c>
      <c r="B86" s="44" t="str">
        <f t="shared" si="3"/>
        <v>213</v>
      </c>
      <c r="C86" s="44">
        <v>2</v>
      </c>
      <c r="D86" s="44">
        <v>1</v>
      </c>
      <c r="E86" s="44">
        <v>3</v>
      </c>
      <c r="F86" s="44">
        <v>4</v>
      </c>
      <c r="G86" s="48" t="s">
        <v>139</v>
      </c>
      <c r="H86" s="57" t="s">
        <v>844</v>
      </c>
      <c r="I86" s="58" t="s">
        <v>359</v>
      </c>
      <c r="J86" s="251" t="s">
        <v>2277</v>
      </c>
      <c r="K86" s="252" t="s">
        <v>2289</v>
      </c>
      <c r="L86" s="242" t="s">
        <v>2293</v>
      </c>
    </row>
    <row r="87" spans="1:12" ht="30">
      <c r="A87" s="44" t="str">
        <f t="shared" si="2"/>
        <v>2135</v>
      </c>
      <c r="B87" s="44" t="str">
        <f t="shared" si="3"/>
        <v>213</v>
      </c>
      <c r="C87" s="44">
        <v>2</v>
      </c>
      <c r="D87" s="44">
        <v>1</v>
      </c>
      <c r="E87" s="44">
        <v>3</v>
      </c>
      <c r="F87" s="44">
        <v>5</v>
      </c>
      <c r="G87" s="48" t="s">
        <v>139</v>
      </c>
      <c r="H87" s="57" t="s">
        <v>844</v>
      </c>
      <c r="I87" s="58" t="s">
        <v>360</v>
      </c>
      <c r="J87" s="251" t="s">
        <v>2277</v>
      </c>
      <c r="K87" s="252" t="s">
        <v>2289</v>
      </c>
      <c r="L87" s="242" t="s">
        <v>2294</v>
      </c>
    </row>
    <row r="88" spans="1:12" ht="30">
      <c r="A88" s="44" t="str">
        <f t="shared" si="2"/>
        <v>2136</v>
      </c>
      <c r="B88" s="44" t="str">
        <f t="shared" si="3"/>
        <v>213</v>
      </c>
      <c r="C88" s="44">
        <v>2</v>
      </c>
      <c r="D88" s="44">
        <v>1</v>
      </c>
      <c r="E88" s="44">
        <v>3</v>
      </c>
      <c r="F88" s="44">
        <v>6</v>
      </c>
      <c r="G88" s="48" t="s">
        <v>139</v>
      </c>
      <c r="H88" s="57" t="s">
        <v>844</v>
      </c>
      <c r="I88" s="58" t="s">
        <v>542</v>
      </c>
      <c r="J88" s="251" t="s">
        <v>2277</v>
      </c>
      <c r="K88" s="252" t="s">
        <v>2289</v>
      </c>
      <c r="L88" s="242" t="s">
        <v>2295</v>
      </c>
    </row>
    <row r="89" spans="1:12">
      <c r="A89" s="44" t="str">
        <f t="shared" si="2"/>
        <v>2211</v>
      </c>
      <c r="B89" s="44" t="str">
        <f t="shared" si="3"/>
        <v>221</v>
      </c>
      <c r="C89" s="44">
        <v>2</v>
      </c>
      <c r="D89" s="44">
        <v>2</v>
      </c>
      <c r="E89" s="44">
        <v>1</v>
      </c>
      <c r="F89" s="44">
        <v>1</v>
      </c>
      <c r="G89" s="48" t="s">
        <v>123</v>
      </c>
      <c r="H89" s="57" t="s">
        <v>126</v>
      </c>
      <c r="I89" s="58" t="s">
        <v>361</v>
      </c>
      <c r="J89" s="251" t="s">
        <v>2296</v>
      </c>
      <c r="K89" s="252" t="s">
        <v>2297</v>
      </c>
      <c r="L89" s="242" t="s">
        <v>2298</v>
      </c>
    </row>
    <row r="90" spans="1:12">
      <c r="A90" s="44" t="str">
        <f t="shared" si="2"/>
        <v>2212</v>
      </c>
      <c r="B90" s="44" t="str">
        <f t="shared" si="3"/>
        <v>221</v>
      </c>
      <c r="C90" s="44">
        <v>2</v>
      </c>
      <c r="D90" s="44">
        <v>2</v>
      </c>
      <c r="E90" s="44">
        <v>1</v>
      </c>
      <c r="F90" s="44">
        <v>2</v>
      </c>
      <c r="G90" s="48" t="s">
        <v>123</v>
      </c>
      <c r="H90" s="57" t="s">
        <v>126</v>
      </c>
      <c r="I90" s="58" t="s">
        <v>362</v>
      </c>
      <c r="J90" s="251" t="s">
        <v>2296</v>
      </c>
      <c r="K90" s="252" t="s">
        <v>2297</v>
      </c>
      <c r="L90" s="242" t="s">
        <v>2299</v>
      </c>
    </row>
    <row r="91" spans="1:12" ht="30">
      <c r="A91" s="44" t="str">
        <f t="shared" si="2"/>
        <v>2221</v>
      </c>
      <c r="B91" s="44" t="str">
        <f t="shared" si="3"/>
        <v>222</v>
      </c>
      <c r="C91" s="44">
        <v>2</v>
      </c>
      <c r="D91" s="44">
        <v>2</v>
      </c>
      <c r="E91" s="44">
        <v>2</v>
      </c>
      <c r="F91" s="44">
        <v>1</v>
      </c>
      <c r="G91" s="48" t="s">
        <v>123</v>
      </c>
      <c r="H91" s="57" t="s">
        <v>112</v>
      </c>
      <c r="I91" s="57" t="s">
        <v>208</v>
      </c>
      <c r="J91" s="251" t="s">
        <v>2296</v>
      </c>
      <c r="K91" s="252" t="s">
        <v>2300</v>
      </c>
      <c r="L91" s="242" t="s">
        <v>2301</v>
      </c>
    </row>
    <row r="92" spans="1:12" ht="30">
      <c r="A92" s="44" t="str">
        <f t="shared" si="2"/>
        <v>2222</v>
      </c>
      <c r="B92" s="44" t="str">
        <f t="shared" si="3"/>
        <v>222</v>
      </c>
      <c r="C92" s="44">
        <v>2</v>
      </c>
      <c r="D92" s="44">
        <v>2</v>
      </c>
      <c r="E92" s="44">
        <v>2</v>
      </c>
      <c r="F92" s="44">
        <v>2</v>
      </c>
      <c r="G92" s="48" t="s">
        <v>123</v>
      </c>
      <c r="H92" s="57" t="s">
        <v>112</v>
      </c>
      <c r="I92" s="57" t="s">
        <v>124</v>
      </c>
      <c r="J92" s="251" t="s">
        <v>2296</v>
      </c>
      <c r="K92" s="252" t="s">
        <v>2300</v>
      </c>
      <c r="L92" s="242" t="s">
        <v>2302</v>
      </c>
    </row>
    <row r="93" spans="1:12" ht="30">
      <c r="A93" s="44" t="str">
        <f t="shared" si="2"/>
        <v>2223</v>
      </c>
      <c r="B93" s="44" t="str">
        <f t="shared" si="3"/>
        <v>222</v>
      </c>
      <c r="C93" s="44">
        <v>2</v>
      </c>
      <c r="D93" s="44">
        <v>2</v>
      </c>
      <c r="E93" s="44">
        <v>2</v>
      </c>
      <c r="F93" s="44">
        <v>3</v>
      </c>
      <c r="G93" s="48" t="s">
        <v>123</v>
      </c>
      <c r="H93" s="57" t="s">
        <v>112</v>
      </c>
      <c r="I93" s="57" t="s">
        <v>125</v>
      </c>
      <c r="J93" s="251" t="s">
        <v>2296</v>
      </c>
      <c r="K93" s="252" t="s">
        <v>2300</v>
      </c>
      <c r="L93" s="242" t="s">
        <v>2303</v>
      </c>
    </row>
    <row r="94" spans="1:12" ht="30">
      <c r="A94" s="44" t="str">
        <f t="shared" si="2"/>
        <v>2231</v>
      </c>
      <c r="B94" s="44" t="str">
        <f t="shared" si="3"/>
        <v>223</v>
      </c>
      <c r="C94" s="44">
        <v>2</v>
      </c>
      <c r="D94" s="44">
        <v>2</v>
      </c>
      <c r="E94" s="44">
        <v>3</v>
      </c>
      <c r="F94" s="44">
        <v>1</v>
      </c>
      <c r="G94" s="48" t="s">
        <v>123</v>
      </c>
      <c r="H94" s="57" t="s">
        <v>113</v>
      </c>
      <c r="I94" s="58" t="s">
        <v>363</v>
      </c>
      <c r="J94" s="251" t="s">
        <v>2296</v>
      </c>
      <c r="K94" s="252" t="s">
        <v>2304</v>
      </c>
      <c r="L94" s="242" t="s">
        <v>2305</v>
      </c>
    </row>
    <row r="95" spans="1:12" ht="30">
      <c r="A95" s="44" t="str">
        <f t="shared" si="2"/>
        <v>2232</v>
      </c>
      <c r="B95" s="44" t="str">
        <f t="shared" si="3"/>
        <v>223</v>
      </c>
      <c r="C95" s="44">
        <v>2</v>
      </c>
      <c r="D95" s="44">
        <v>2</v>
      </c>
      <c r="E95" s="44">
        <v>3</v>
      </c>
      <c r="F95" s="44">
        <v>2</v>
      </c>
      <c r="G95" s="48" t="s">
        <v>123</v>
      </c>
      <c r="H95" s="57" t="s">
        <v>113</v>
      </c>
      <c r="I95" s="58" t="s">
        <v>543</v>
      </c>
      <c r="J95" s="251" t="s">
        <v>2296</v>
      </c>
      <c r="K95" s="252" t="s">
        <v>2304</v>
      </c>
      <c r="L95" s="242" t="s">
        <v>2306</v>
      </c>
    </row>
    <row r="96" spans="1:12" ht="30">
      <c r="A96" s="44" t="str">
        <f t="shared" si="2"/>
        <v>2311</v>
      </c>
      <c r="B96" s="44" t="str">
        <f t="shared" si="3"/>
        <v>231</v>
      </c>
      <c r="C96" s="44">
        <v>2</v>
      </c>
      <c r="D96" s="44">
        <v>3</v>
      </c>
      <c r="E96" s="44">
        <v>1</v>
      </c>
      <c r="F96" s="44">
        <v>1</v>
      </c>
      <c r="G96" s="48" t="s">
        <v>845</v>
      </c>
      <c r="H96" s="57" t="s">
        <v>127</v>
      </c>
      <c r="I96" s="58" t="s">
        <v>544</v>
      </c>
      <c r="J96" s="251" t="s">
        <v>2307</v>
      </c>
      <c r="K96" s="252" t="s">
        <v>2308</v>
      </c>
      <c r="L96" s="242" t="s">
        <v>2309</v>
      </c>
    </row>
    <row r="97" spans="1:12" ht="30">
      <c r="A97" s="44" t="str">
        <f t="shared" si="2"/>
        <v>2312</v>
      </c>
      <c r="B97" s="44" t="str">
        <f t="shared" si="3"/>
        <v>231</v>
      </c>
      <c r="C97" s="44">
        <v>2</v>
      </c>
      <c r="D97" s="44">
        <v>3</v>
      </c>
      <c r="E97" s="44">
        <v>1</v>
      </c>
      <c r="F97" s="44">
        <v>2</v>
      </c>
      <c r="G97" s="48" t="s">
        <v>845</v>
      </c>
      <c r="H97" s="57" t="s">
        <v>127</v>
      </c>
      <c r="I97" s="58" t="s">
        <v>364</v>
      </c>
      <c r="J97" s="251" t="s">
        <v>2307</v>
      </c>
      <c r="K97" s="252" t="s">
        <v>2308</v>
      </c>
      <c r="L97" s="242" t="s">
        <v>2310</v>
      </c>
    </row>
    <row r="98" spans="1:12" ht="30">
      <c r="A98" s="44" t="str">
        <f t="shared" si="2"/>
        <v>2313</v>
      </c>
      <c r="B98" s="44" t="str">
        <f t="shared" si="3"/>
        <v>231</v>
      </c>
      <c r="C98" s="44">
        <v>2</v>
      </c>
      <c r="D98" s="44">
        <v>3</v>
      </c>
      <c r="E98" s="44">
        <v>1</v>
      </c>
      <c r="F98" s="44">
        <v>3</v>
      </c>
      <c r="G98" s="48" t="s">
        <v>845</v>
      </c>
      <c r="H98" s="57" t="s">
        <v>127</v>
      </c>
      <c r="I98" s="58" t="s">
        <v>365</v>
      </c>
      <c r="J98" s="251" t="s">
        <v>2307</v>
      </c>
      <c r="K98" s="252" t="s">
        <v>2308</v>
      </c>
      <c r="L98" s="242" t="s">
        <v>2311</v>
      </c>
    </row>
    <row r="99" spans="1:12" ht="30">
      <c r="A99" s="44" t="str">
        <f t="shared" si="2"/>
        <v>2321</v>
      </c>
      <c r="B99" s="44" t="str">
        <f t="shared" si="3"/>
        <v>232</v>
      </c>
      <c r="C99" s="44">
        <v>2</v>
      </c>
      <c r="D99" s="44">
        <v>3</v>
      </c>
      <c r="E99" s="44">
        <v>2</v>
      </c>
      <c r="F99" s="44">
        <v>1</v>
      </c>
      <c r="G99" s="48" t="s">
        <v>845</v>
      </c>
      <c r="H99" s="57" t="s">
        <v>14</v>
      </c>
      <c r="I99" s="57" t="s">
        <v>209</v>
      </c>
      <c r="J99" s="251" t="s">
        <v>2307</v>
      </c>
      <c r="K99" s="252" t="s">
        <v>2312</v>
      </c>
      <c r="L99" s="242" t="s">
        <v>2313</v>
      </c>
    </row>
    <row r="100" spans="1:12" ht="30">
      <c r="A100" s="44" t="str">
        <f t="shared" si="2"/>
        <v>2322</v>
      </c>
      <c r="B100" s="44" t="str">
        <f t="shared" si="3"/>
        <v>232</v>
      </c>
      <c r="C100" s="44">
        <v>2</v>
      </c>
      <c r="D100" s="44">
        <v>3</v>
      </c>
      <c r="E100" s="44">
        <v>2</v>
      </c>
      <c r="F100" s="44">
        <v>2</v>
      </c>
      <c r="G100" s="48" t="s">
        <v>845</v>
      </c>
      <c r="H100" s="57" t="s">
        <v>14</v>
      </c>
      <c r="I100" s="57" t="s">
        <v>210</v>
      </c>
      <c r="J100" s="251" t="s">
        <v>2307</v>
      </c>
      <c r="K100" s="252" t="s">
        <v>2312</v>
      </c>
      <c r="L100" s="242" t="s">
        <v>2314</v>
      </c>
    </row>
    <row r="101" spans="1:12" ht="30">
      <c r="A101" s="44" t="str">
        <f t="shared" si="2"/>
        <v>2323</v>
      </c>
      <c r="B101" s="44" t="str">
        <f t="shared" si="3"/>
        <v>232</v>
      </c>
      <c r="C101" s="44">
        <v>2</v>
      </c>
      <c r="D101" s="44">
        <v>3</v>
      </c>
      <c r="E101" s="44">
        <v>2</v>
      </c>
      <c r="F101" s="44">
        <v>3</v>
      </c>
      <c r="G101" s="48" t="s">
        <v>845</v>
      </c>
      <c r="H101" s="57" t="s">
        <v>14</v>
      </c>
      <c r="I101" s="57" t="s">
        <v>211</v>
      </c>
      <c r="J101" s="251" t="s">
        <v>2307</v>
      </c>
      <c r="K101" s="252" t="s">
        <v>2312</v>
      </c>
      <c r="L101" s="242" t="s">
        <v>2315</v>
      </c>
    </row>
    <row r="102" spans="1:12" ht="30">
      <c r="A102" s="44" t="str">
        <f t="shared" si="2"/>
        <v>2324</v>
      </c>
      <c r="B102" s="44" t="str">
        <f t="shared" si="3"/>
        <v>232</v>
      </c>
      <c r="C102" s="44">
        <v>2</v>
      </c>
      <c r="D102" s="44">
        <v>3</v>
      </c>
      <c r="E102" s="44">
        <v>2</v>
      </c>
      <c r="F102" s="44">
        <v>4</v>
      </c>
      <c r="G102" s="48" t="s">
        <v>845</v>
      </c>
      <c r="H102" s="57" t="s">
        <v>14</v>
      </c>
      <c r="I102" s="57" t="s">
        <v>212</v>
      </c>
      <c r="J102" s="251" t="s">
        <v>2307</v>
      </c>
      <c r="K102" s="252" t="s">
        <v>2312</v>
      </c>
      <c r="L102" s="242" t="s">
        <v>2316</v>
      </c>
    </row>
    <row r="103" spans="1:12" ht="30">
      <c r="A103" s="44" t="str">
        <f t="shared" si="2"/>
        <v>2325</v>
      </c>
      <c r="B103" s="44" t="str">
        <f t="shared" si="3"/>
        <v>232</v>
      </c>
      <c r="C103" s="44">
        <v>2</v>
      </c>
      <c r="D103" s="44">
        <v>3</v>
      </c>
      <c r="E103" s="44">
        <v>2</v>
      </c>
      <c r="F103" s="44">
        <v>5</v>
      </c>
      <c r="G103" s="48" t="s">
        <v>845</v>
      </c>
      <c r="H103" s="57" t="s">
        <v>14</v>
      </c>
      <c r="I103" s="57" t="s">
        <v>213</v>
      </c>
      <c r="J103" s="251" t="s">
        <v>2307</v>
      </c>
      <c r="K103" s="252" t="s">
        <v>2312</v>
      </c>
      <c r="L103" s="242" t="s">
        <v>2317</v>
      </c>
    </row>
    <row r="104" spans="1:12" ht="30">
      <c r="A104" s="44" t="str">
        <f t="shared" si="2"/>
        <v>2331</v>
      </c>
      <c r="B104" s="44" t="str">
        <f t="shared" si="3"/>
        <v>233</v>
      </c>
      <c r="C104" s="44">
        <v>2</v>
      </c>
      <c r="D104" s="44">
        <v>3</v>
      </c>
      <c r="E104" s="44">
        <v>3</v>
      </c>
      <c r="F104" s="44">
        <v>1</v>
      </c>
      <c r="G104" s="48" t="s">
        <v>845</v>
      </c>
      <c r="H104" s="57" t="s">
        <v>846</v>
      </c>
      <c r="I104" s="57" t="s">
        <v>128</v>
      </c>
      <c r="J104" s="251" t="s">
        <v>2307</v>
      </c>
      <c r="K104" s="252" t="s">
        <v>2318</v>
      </c>
      <c r="L104" s="242" t="s">
        <v>2319</v>
      </c>
    </row>
    <row r="105" spans="1:12" ht="30">
      <c r="A105" s="44" t="str">
        <f t="shared" si="2"/>
        <v>2332</v>
      </c>
      <c r="B105" s="44" t="str">
        <f t="shared" si="3"/>
        <v>233</v>
      </c>
      <c r="C105" s="44">
        <v>2</v>
      </c>
      <c r="D105" s="44">
        <v>3</v>
      </c>
      <c r="E105" s="44">
        <v>3</v>
      </c>
      <c r="F105" s="44">
        <v>2</v>
      </c>
      <c r="G105" s="48" t="s">
        <v>845</v>
      </c>
      <c r="H105" s="57" t="s">
        <v>846</v>
      </c>
      <c r="I105" s="57" t="s">
        <v>129</v>
      </c>
      <c r="J105" s="251" t="s">
        <v>2307</v>
      </c>
      <c r="K105" s="252" t="s">
        <v>2318</v>
      </c>
      <c r="L105" s="242" t="s">
        <v>2320</v>
      </c>
    </row>
    <row r="106" spans="1:12" ht="30">
      <c r="A106" s="44" t="str">
        <f t="shared" si="2"/>
        <v>2333</v>
      </c>
      <c r="B106" s="44" t="str">
        <f t="shared" si="3"/>
        <v>233</v>
      </c>
      <c r="C106" s="44">
        <v>2</v>
      </c>
      <c r="D106" s="44">
        <v>3</v>
      </c>
      <c r="E106" s="44">
        <v>3</v>
      </c>
      <c r="F106" s="44">
        <v>3</v>
      </c>
      <c r="G106" s="48" t="s">
        <v>845</v>
      </c>
      <c r="H106" s="57" t="s">
        <v>846</v>
      </c>
      <c r="I106" s="57" t="s">
        <v>214</v>
      </c>
      <c r="J106" s="251" t="s">
        <v>2307</v>
      </c>
      <c r="K106" s="252" t="s">
        <v>2318</v>
      </c>
      <c r="L106" s="242" t="s">
        <v>2321</v>
      </c>
    </row>
    <row r="107" spans="1:12" ht="30">
      <c r="A107" s="44" t="str">
        <f t="shared" si="2"/>
        <v>2334</v>
      </c>
      <c r="B107" s="44" t="str">
        <f t="shared" si="3"/>
        <v>233</v>
      </c>
      <c r="C107" s="44">
        <v>2</v>
      </c>
      <c r="D107" s="44">
        <v>3</v>
      </c>
      <c r="E107" s="44">
        <v>3</v>
      </c>
      <c r="F107" s="44">
        <v>4</v>
      </c>
      <c r="G107" s="48" t="s">
        <v>845</v>
      </c>
      <c r="H107" s="57" t="s">
        <v>846</v>
      </c>
      <c r="I107" s="57" t="s">
        <v>130</v>
      </c>
      <c r="J107" s="251" t="s">
        <v>2307</v>
      </c>
      <c r="K107" s="252" t="s">
        <v>2318</v>
      </c>
      <c r="L107" s="242" t="s">
        <v>2322</v>
      </c>
    </row>
    <row r="108" spans="1:12" ht="30">
      <c r="A108" s="44" t="str">
        <f t="shared" si="2"/>
        <v>2335</v>
      </c>
      <c r="B108" s="44" t="str">
        <f t="shared" si="3"/>
        <v>233</v>
      </c>
      <c r="C108" s="44">
        <v>2</v>
      </c>
      <c r="D108" s="44">
        <v>3</v>
      </c>
      <c r="E108" s="44">
        <v>3</v>
      </c>
      <c r="F108" s="44">
        <v>5</v>
      </c>
      <c r="G108" s="48" t="s">
        <v>845</v>
      </c>
      <c r="H108" s="57" t="s">
        <v>846</v>
      </c>
      <c r="I108" s="57" t="s">
        <v>131</v>
      </c>
      <c r="J108" s="251" t="s">
        <v>2307</v>
      </c>
      <c r="K108" s="252" t="s">
        <v>2318</v>
      </c>
      <c r="L108" s="242" t="s">
        <v>2323</v>
      </c>
    </row>
    <row r="109" spans="1:12" ht="30">
      <c r="A109" s="44" t="str">
        <f t="shared" si="2"/>
        <v>2411</v>
      </c>
      <c r="B109" s="44" t="str">
        <f t="shared" si="3"/>
        <v>241</v>
      </c>
      <c r="C109" s="44">
        <v>2</v>
      </c>
      <c r="D109" s="44">
        <v>4</v>
      </c>
      <c r="E109" s="44">
        <v>1</v>
      </c>
      <c r="F109" s="44">
        <v>1</v>
      </c>
      <c r="G109" s="48" t="s">
        <v>65</v>
      </c>
      <c r="H109" s="57" t="s">
        <v>132</v>
      </c>
      <c r="I109" s="57" t="s">
        <v>133</v>
      </c>
      <c r="J109" s="251" t="s">
        <v>2107</v>
      </c>
      <c r="K109" s="252" t="s">
        <v>2324</v>
      </c>
      <c r="L109" s="242" t="s">
        <v>2325</v>
      </c>
    </row>
    <row r="110" spans="1:12" ht="30">
      <c r="A110" s="44" t="str">
        <f t="shared" si="2"/>
        <v>2421</v>
      </c>
      <c r="B110" s="44" t="str">
        <f t="shared" si="3"/>
        <v>242</v>
      </c>
      <c r="C110" s="44">
        <v>2</v>
      </c>
      <c r="D110" s="44">
        <v>4</v>
      </c>
      <c r="E110" s="44">
        <v>2</v>
      </c>
      <c r="F110" s="44">
        <v>1</v>
      </c>
      <c r="G110" s="48" t="s">
        <v>65</v>
      </c>
      <c r="H110" s="57" t="s">
        <v>8</v>
      </c>
      <c r="I110" s="57" t="s">
        <v>215</v>
      </c>
      <c r="J110" s="251" t="s">
        <v>2107</v>
      </c>
      <c r="K110" s="252" t="s">
        <v>2326</v>
      </c>
      <c r="L110" s="242" t="s">
        <v>2327</v>
      </c>
    </row>
    <row r="111" spans="1:12" ht="30">
      <c r="A111" s="44" t="str">
        <f t="shared" si="2"/>
        <v>2422</v>
      </c>
      <c r="B111" s="44" t="str">
        <f t="shared" si="3"/>
        <v>242</v>
      </c>
      <c r="C111" s="44">
        <v>2</v>
      </c>
      <c r="D111" s="44">
        <v>4</v>
      </c>
      <c r="E111" s="44">
        <v>2</v>
      </c>
      <c r="F111" s="44">
        <v>2</v>
      </c>
      <c r="G111" s="48" t="s">
        <v>65</v>
      </c>
      <c r="H111" s="57" t="s">
        <v>8</v>
      </c>
      <c r="I111" s="57" t="s">
        <v>216</v>
      </c>
      <c r="J111" s="251" t="s">
        <v>2107</v>
      </c>
      <c r="K111" s="252" t="s">
        <v>2326</v>
      </c>
      <c r="L111" s="242" t="s">
        <v>2328</v>
      </c>
    </row>
    <row r="112" spans="1:12" ht="30">
      <c r="A112" s="44" t="str">
        <f t="shared" si="2"/>
        <v>2423</v>
      </c>
      <c r="B112" s="44" t="str">
        <f t="shared" si="3"/>
        <v>242</v>
      </c>
      <c r="C112" s="44">
        <v>2</v>
      </c>
      <c r="D112" s="44">
        <v>4</v>
      </c>
      <c r="E112" s="44">
        <v>2</v>
      </c>
      <c r="F112" s="44">
        <v>3</v>
      </c>
      <c r="G112" s="48" t="s">
        <v>65</v>
      </c>
      <c r="H112" s="57" t="s">
        <v>8</v>
      </c>
      <c r="I112" s="57" t="s">
        <v>217</v>
      </c>
      <c r="J112" s="251" t="s">
        <v>2107</v>
      </c>
      <c r="K112" s="252" t="s">
        <v>2326</v>
      </c>
      <c r="L112" s="242" t="s">
        <v>2329</v>
      </c>
    </row>
    <row r="113" spans="1:12" ht="30">
      <c r="A113" s="44" t="str">
        <f t="shared" si="2"/>
        <v>2424</v>
      </c>
      <c r="B113" s="44" t="str">
        <f t="shared" si="3"/>
        <v>242</v>
      </c>
      <c r="C113" s="44">
        <v>2</v>
      </c>
      <c r="D113" s="44">
        <v>4</v>
      </c>
      <c r="E113" s="44">
        <v>2</v>
      </c>
      <c r="F113" s="44">
        <v>4</v>
      </c>
      <c r="G113" s="48" t="s">
        <v>65</v>
      </c>
      <c r="H113" s="57" t="s">
        <v>8</v>
      </c>
      <c r="I113" s="57" t="s">
        <v>218</v>
      </c>
      <c r="J113" s="251" t="s">
        <v>2107</v>
      </c>
      <c r="K113" s="252" t="s">
        <v>2326</v>
      </c>
      <c r="L113" s="242" t="s">
        <v>2330</v>
      </c>
    </row>
    <row r="114" spans="1:12" ht="30">
      <c r="A114" s="44" t="str">
        <f t="shared" si="2"/>
        <v>2425</v>
      </c>
      <c r="B114" s="44" t="str">
        <f t="shared" si="3"/>
        <v>242</v>
      </c>
      <c r="C114" s="44">
        <v>2</v>
      </c>
      <c r="D114" s="44">
        <v>4</v>
      </c>
      <c r="E114" s="44">
        <v>2</v>
      </c>
      <c r="F114" s="44">
        <v>5</v>
      </c>
      <c r="G114" s="48" t="s">
        <v>65</v>
      </c>
      <c r="H114" s="57" t="s">
        <v>8</v>
      </c>
      <c r="I114" s="57" t="s">
        <v>219</v>
      </c>
      <c r="J114" s="251" t="s">
        <v>2107</v>
      </c>
      <c r="K114" s="252" t="s">
        <v>2326</v>
      </c>
      <c r="L114" s="242" t="s">
        <v>2331</v>
      </c>
    </row>
    <row r="115" spans="1:12" ht="30">
      <c r="A115" s="44" t="str">
        <f t="shared" si="2"/>
        <v>2431</v>
      </c>
      <c r="B115" s="44" t="str">
        <f t="shared" si="3"/>
        <v>243</v>
      </c>
      <c r="C115" s="44">
        <v>2</v>
      </c>
      <c r="D115" s="44">
        <v>4</v>
      </c>
      <c r="E115" s="44">
        <v>3</v>
      </c>
      <c r="F115" s="44">
        <v>1</v>
      </c>
      <c r="G115" s="48" t="s">
        <v>65</v>
      </c>
      <c r="H115" s="56" t="s">
        <v>134</v>
      </c>
      <c r="I115" s="58" t="s">
        <v>366</v>
      </c>
      <c r="J115" s="251" t="s">
        <v>2107</v>
      </c>
      <c r="K115" s="252" t="s">
        <v>2332</v>
      </c>
      <c r="L115" s="242" t="s">
        <v>2333</v>
      </c>
    </row>
    <row r="116" spans="1:12" ht="14.25" customHeight="1">
      <c r="A116" s="44" t="str">
        <f t="shared" si="2"/>
        <v>2432</v>
      </c>
      <c r="B116" s="44" t="str">
        <f t="shared" si="3"/>
        <v>243</v>
      </c>
      <c r="C116" s="44">
        <v>2</v>
      </c>
      <c r="D116" s="44">
        <v>4</v>
      </c>
      <c r="E116" s="44">
        <v>3</v>
      </c>
      <c r="F116" s="44">
        <v>2</v>
      </c>
      <c r="G116" s="48" t="s">
        <v>65</v>
      </c>
      <c r="H116" s="56" t="s">
        <v>134</v>
      </c>
      <c r="I116" s="58" t="s">
        <v>847</v>
      </c>
      <c r="J116" s="251" t="s">
        <v>2107</v>
      </c>
      <c r="K116" s="252" t="s">
        <v>2332</v>
      </c>
      <c r="L116" s="242" t="s">
        <v>2334</v>
      </c>
    </row>
    <row r="117" spans="1:12" ht="14.25" customHeight="1">
      <c r="A117" s="44" t="str">
        <f t="shared" si="2"/>
        <v>2433</v>
      </c>
      <c r="B117" s="44" t="str">
        <f t="shared" si="3"/>
        <v>243</v>
      </c>
      <c r="C117" s="44">
        <v>2</v>
      </c>
      <c r="D117" s="44">
        <v>4</v>
      </c>
      <c r="E117" s="44">
        <v>3</v>
      </c>
      <c r="F117" s="44">
        <v>3</v>
      </c>
      <c r="G117" s="48" t="s">
        <v>65</v>
      </c>
      <c r="H117" s="56" t="s">
        <v>134</v>
      </c>
      <c r="I117" s="58" t="s">
        <v>367</v>
      </c>
      <c r="J117" s="251" t="s">
        <v>2107</v>
      </c>
      <c r="K117" s="252" t="s">
        <v>2332</v>
      </c>
      <c r="L117" s="242" t="s">
        <v>2335</v>
      </c>
    </row>
    <row r="118" spans="1:12" ht="14.25" customHeight="1">
      <c r="A118" s="44" t="str">
        <f t="shared" si="2"/>
        <v>2434</v>
      </c>
      <c r="B118" s="44" t="str">
        <f t="shared" si="3"/>
        <v>243</v>
      </c>
      <c r="C118" s="44">
        <v>2</v>
      </c>
      <c r="D118" s="44">
        <v>4</v>
      </c>
      <c r="E118" s="44">
        <v>3</v>
      </c>
      <c r="F118" s="44">
        <v>4</v>
      </c>
      <c r="G118" s="48" t="s">
        <v>65</v>
      </c>
      <c r="H118" s="56" t="s">
        <v>134</v>
      </c>
      <c r="I118" s="58" t="s">
        <v>368</v>
      </c>
      <c r="J118" s="251" t="s">
        <v>2107</v>
      </c>
      <c r="K118" s="252" t="s">
        <v>2332</v>
      </c>
      <c r="L118" s="242" t="s">
        <v>2336</v>
      </c>
    </row>
    <row r="119" spans="1:12" ht="13.5" customHeight="1">
      <c r="A119" s="44" t="str">
        <f t="shared" si="2"/>
        <v>3111</v>
      </c>
      <c r="B119" s="44" t="str">
        <f t="shared" si="3"/>
        <v>311</v>
      </c>
      <c r="C119" s="44">
        <v>3</v>
      </c>
      <c r="D119" s="44">
        <v>1</v>
      </c>
      <c r="E119" s="44">
        <v>1</v>
      </c>
      <c r="F119" s="44">
        <v>1</v>
      </c>
      <c r="G119" s="48" t="s">
        <v>135</v>
      </c>
      <c r="H119" s="57" t="s">
        <v>136</v>
      </c>
      <c r="I119" s="58" t="s">
        <v>369</v>
      </c>
      <c r="J119" s="251" t="s">
        <v>2337</v>
      </c>
      <c r="K119" s="252" t="s">
        <v>2338</v>
      </c>
      <c r="L119" s="242" t="s">
        <v>2339</v>
      </c>
    </row>
    <row r="120" spans="1:12" ht="13.5" customHeight="1">
      <c r="A120" s="44" t="str">
        <f t="shared" si="2"/>
        <v>3112</v>
      </c>
      <c r="B120" s="44" t="str">
        <f t="shared" si="3"/>
        <v>311</v>
      </c>
      <c r="C120" s="44">
        <v>3</v>
      </c>
      <c r="D120" s="44">
        <v>1</v>
      </c>
      <c r="E120" s="44">
        <v>1</v>
      </c>
      <c r="F120" s="44">
        <v>2</v>
      </c>
      <c r="G120" s="48" t="s">
        <v>135</v>
      </c>
      <c r="H120" s="57" t="s">
        <v>136</v>
      </c>
      <c r="I120" s="58" t="s">
        <v>370</v>
      </c>
      <c r="J120" s="251" t="s">
        <v>2337</v>
      </c>
      <c r="K120" s="252" t="s">
        <v>2338</v>
      </c>
      <c r="L120" s="242" t="s">
        <v>2340</v>
      </c>
    </row>
    <row r="121" spans="1:12" ht="14.25" customHeight="1">
      <c r="A121" s="44" t="str">
        <f t="shared" si="2"/>
        <v>3121</v>
      </c>
      <c r="B121" s="44" t="str">
        <f t="shared" si="3"/>
        <v>312</v>
      </c>
      <c r="C121" s="44">
        <v>3</v>
      </c>
      <c r="D121" s="44">
        <v>1</v>
      </c>
      <c r="E121" s="44">
        <v>2</v>
      </c>
      <c r="F121" s="44">
        <v>1</v>
      </c>
      <c r="G121" s="48" t="s">
        <v>135</v>
      </c>
      <c r="H121" s="57" t="s">
        <v>137</v>
      </c>
      <c r="I121" s="58" t="s">
        <v>371</v>
      </c>
      <c r="J121" s="251" t="s">
        <v>2337</v>
      </c>
      <c r="K121" s="252" t="s">
        <v>2341</v>
      </c>
      <c r="L121" s="242" t="s">
        <v>2342</v>
      </c>
    </row>
    <row r="122" spans="1:12" ht="14.25" customHeight="1">
      <c r="A122" s="44" t="str">
        <f t="shared" si="2"/>
        <v>3131</v>
      </c>
      <c r="B122" s="44" t="str">
        <f t="shared" si="3"/>
        <v>313</v>
      </c>
      <c r="C122" s="44">
        <v>3</v>
      </c>
      <c r="D122" s="44">
        <v>1</v>
      </c>
      <c r="E122" s="44">
        <v>3</v>
      </c>
      <c r="F122" s="44">
        <v>1</v>
      </c>
      <c r="G122" s="48" t="s">
        <v>135</v>
      </c>
      <c r="H122" s="57" t="s">
        <v>138</v>
      </c>
      <c r="I122" s="58" t="s">
        <v>545</v>
      </c>
      <c r="J122" s="251" t="s">
        <v>2337</v>
      </c>
      <c r="K122" s="252" t="s">
        <v>2343</v>
      </c>
      <c r="L122" s="242" t="s">
        <v>2344</v>
      </c>
    </row>
    <row r="123" spans="1:12" ht="14.25" customHeight="1">
      <c r="A123" s="44" t="str">
        <f t="shared" si="2"/>
        <v>3132</v>
      </c>
      <c r="B123" s="44" t="str">
        <f t="shared" si="3"/>
        <v>313</v>
      </c>
      <c r="C123" s="44">
        <v>3</v>
      </c>
      <c r="D123" s="44">
        <v>1</v>
      </c>
      <c r="E123" s="44">
        <v>3</v>
      </c>
      <c r="F123" s="44">
        <v>2</v>
      </c>
      <c r="G123" s="48" t="s">
        <v>135</v>
      </c>
      <c r="H123" s="57" t="s">
        <v>138</v>
      </c>
      <c r="I123" s="58" t="s">
        <v>546</v>
      </c>
      <c r="J123" s="251" t="s">
        <v>2337</v>
      </c>
      <c r="K123" s="252" t="s">
        <v>2343</v>
      </c>
      <c r="L123" s="242" t="s">
        <v>2345</v>
      </c>
    </row>
    <row r="124" spans="1:12" ht="30">
      <c r="A124" s="44" t="str">
        <f t="shared" si="2"/>
        <v>3211</v>
      </c>
      <c r="B124" s="44" t="str">
        <f t="shared" si="3"/>
        <v>321</v>
      </c>
      <c r="C124" s="44">
        <v>3</v>
      </c>
      <c r="D124" s="44">
        <v>2</v>
      </c>
      <c r="E124" s="44">
        <v>1</v>
      </c>
      <c r="F124" s="44">
        <v>1</v>
      </c>
      <c r="G124" s="48" t="s">
        <v>70</v>
      </c>
      <c r="H124" s="57" t="s">
        <v>1</v>
      </c>
      <c r="I124" s="57" t="s">
        <v>220</v>
      </c>
      <c r="J124" s="251" t="s">
        <v>2346</v>
      </c>
      <c r="K124" s="252" t="s">
        <v>2347</v>
      </c>
      <c r="L124" s="242" t="s">
        <v>2348</v>
      </c>
    </row>
    <row r="125" spans="1:12" ht="30">
      <c r="A125" s="44" t="str">
        <f t="shared" si="2"/>
        <v>3212</v>
      </c>
      <c r="B125" s="44" t="str">
        <f t="shared" si="3"/>
        <v>321</v>
      </c>
      <c r="C125" s="44">
        <v>3</v>
      </c>
      <c r="D125" s="44">
        <v>2</v>
      </c>
      <c r="E125" s="44">
        <v>1</v>
      </c>
      <c r="F125" s="44">
        <v>2</v>
      </c>
      <c r="G125" s="48" t="s">
        <v>70</v>
      </c>
      <c r="H125" s="57" t="s">
        <v>1</v>
      </c>
      <c r="I125" s="57" t="s">
        <v>221</v>
      </c>
      <c r="J125" s="251" t="s">
        <v>2346</v>
      </c>
      <c r="K125" s="252" t="s">
        <v>2347</v>
      </c>
      <c r="L125" s="242" t="s">
        <v>2349</v>
      </c>
    </row>
    <row r="126" spans="1:12" ht="30">
      <c r="A126" s="44" t="str">
        <f t="shared" si="2"/>
        <v>3213</v>
      </c>
      <c r="B126" s="44" t="str">
        <f t="shared" si="3"/>
        <v>321</v>
      </c>
      <c r="C126" s="44">
        <v>3</v>
      </c>
      <c r="D126" s="44">
        <v>2</v>
      </c>
      <c r="E126" s="44">
        <v>1</v>
      </c>
      <c r="F126" s="44">
        <v>3</v>
      </c>
      <c r="G126" s="48" t="s">
        <v>70</v>
      </c>
      <c r="H126" s="57" t="s">
        <v>1</v>
      </c>
      <c r="I126" s="57" t="s">
        <v>222</v>
      </c>
      <c r="J126" s="251" t="s">
        <v>2346</v>
      </c>
      <c r="K126" s="252" t="s">
        <v>2347</v>
      </c>
      <c r="L126" s="242" t="s">
        <v>2350</v>
      </c>
    </row>
    <row r="127" spans="1:12" ht="30">
      <c r="A127" s="44" t="str">
        <f t="shared" si="2"/>
        <v>3214</v>
      </c>
      <c r="B127" s="44" t="str">
        <f t="shared" si="3"/>
        <v>321</v>
      </c>
      <c r="C127" s="44">
        <v>3</v>
      </c>
      <c r="D127" s="44">
        <v>2</v>
      </c>
      <c r="E127" s="44">
        <v>1</v>
      </c>
      <c r="F127" s="44">
        <v>4</v>
      </c>
      <c r="G127" s="48" t="s">
        <v>70</v>
      </c>
      <c r="H127" s="57" t="s">
        <v>1</v>
      </c>
      <c r="I127" s="57" t="s">
        <v>223</v>
      </c>
      <c r="J127" s="251" t="s">
        <v>2346</v>
      </c>
      <c r="K127" s="252" t="s">
        <v>2347</v>
      </c>
      <c r="L127" s="242" t="s">
        <v>2351</v>
      </c>
    </row>
    <row r="128" spans="1:12" ht="30">
      <c r="A128" s="44" t="str">
        <f t="shared" si="2"/>
        <v>3215</v>
      </c>
      <c r="B128" s="44" t="str">
        <f t="shared" si="3"/>
        <v>321</v>
      </c>
      <c r="C128" s="44">
        <v>3</v>
      </c>
      <c r="D128" s="44">
        <v>2</v>
      </c>
      <c r="E128" s="44">
        <v>1</v>
      </c>
      <c r="F128" s="44">
        <v>5</v>
      </c>
      <c r="G128" s="48" t="s">
        <v>70</v>
      </c>
      <c r="H128" s="57" t="s">
        <v>1</v>
      </c>
      <c r="I128" s="57" t="s">
        <v>224</v>
      </c>
      <c r="J128" s="251" t="s">
        <v>2346</v>
      </c>
      <c r="K128" s="252" t="s">
        <v>2347</v>
      </c>
      <c r="L128" s="242" t="s">
        <v>2352</v>
      </c>
    </row>
    <row r="129" spans="1:12" ht="30">
      <c r="A129" s="44" t="str">
        <f t="shared" si="2"/>
        <v>3221</v>
      </c>
      <c r="B129" s="44" t="str">
        <f t="shared" si="3"/>
        <v>322</v>
      </c>
      <c r="C129" s="44">
        <v>3</v>
      </c>
      <c r="D129" s="44">
        <v>2</v>
      </c>
      <c r="E129" s="44">
        <v>2</v>
      </c>
      <c r="F129" s="44">
        <v>1</v>
      </c>
      <c r="G129" s="48" t="s">
        <v>70</v>
      </c>
      <c r="H129" s="57" t="s">
        <v>848</v>
      </c>
      <c r="I129" s="58" t="s">
        <v>372</v>
      </c>
      <c r="J129" s="251" t="s">
        <v>2346</v>
      </c>
      <c r="K129" s="252" t="s">
        <v>2353</v>
      </c>
      <c r="L129" s="242" t="s">
        <v>2354</v>
      </c>
    </row>
    <row r="130" spans="1:12" ht="30">
      <c r="A130" s="44" t="str">
        <f t="shared" si="2"/>
        <v>3222</v>
      </c>
      <c r="B130" s="44" t="str">
        <f t="shared" si="3"/>
        <v>322</v>
      </c>
      <c r="C130" s="44">
        <v>3</v>
      </c>
      <c r="D130" s="44">
        <v>2</v>
      </c>
      <c r="E130" s="44">
        <v>2</v>
      </c>
      <c r="F130" s="44">
        <v>2</v>
      </c>
      <c r="G130" s="48" t="s">
        <v>70</v>
      </c>
      <c r="H130" s="57" t="s">
        <v>848</v>
      </c>
      <c r="I130" s="58" t="s">
        <v>373</v>
      </c>
      <c r="J130" s="251" t="s">
        <v>2346</v>
      </c>
      <c r="K130" s="252" t="s">
        <v>2353</v>
      </c>
      <c r="L130" s="242" t="s">
        <v>2355</v>
      </c>
    </row>
    <row r="131" spans="1:12" ht="30">
      <c r="A131" s="44" t="str">
        <f t="shared" ref="A131:A194" si="4">_xlfn.CONCAT(C131:F131)</f>
        <v>3223</v>
      </c>
      <c r="B131" s="44" t="str">
        <f t="shared" ref="B131:B194" si="5">_xlfn.CONCAT(C131:E131)</f>
        <v>322</v>
      </c>
      <c r="C131" s="44">
        <v>3</v>
      </c>
      <c r="D131" s="44">
        <v>2</v>
      </c>
      <c r="E131" s="44">
        <v>2</v>
      </c>
      <c r="F131" s="44">
        <v>3</v>
      </c>
      <c r="G131" s="48" t="s">
        <v>70</v>
      </c>
      <c r="H131" s="57" t="s">
        <v>848</v>
      </c>
      <c r="I131" s="58" t="s">
        <v>547</v>
      </c>
      <c r="J131" s="251" t="s">
        <v>2346</v>
      </c>
      <c r="K131" s="252" t="s">
        <v>2353</v>
      </c>
      <c r="L131" s="242" t="s">
        <v>2356</v>
      </c>
    </row>
    <row r="132" spans="1:12" ht="30">
      <c r="A132" s="44" t="str">
        <f t="shared" si="4"/>
        <v>3231</v>
      </c>
      <c r="B132" s="44" t="str">
        <f t="shared" si="5"/>
        <v>323</v>
      </c>
      <c r="C132" s="44">
        <v>3</v>
      </c>
      <c r="D132" s="44">
        <v>2</v>
      </c>
      <c r="E132" s="44">
        <v>3</v>
      </c>
      <c r="F132" s="44">
        <v>1</v>
      </c>
      <c r="G132" s="48" t="s">
        <v>70</v>
      </c>
      <c r="H132" s="57" t="s">
        <v>141</v>
      </c>
      <c r="I132" s="58" t="s">
        <v>374</v>
      </c>
      <c r="J132" s="251" t="s">
        <v>2346</v>
      </c>
      <c r="K132" s="252" t="s">
        <v>2357</v>
      </c>
      <c r="L132" s="242" t="s">
        <v>2358</v>
      </c>
    </row>
    <row r="133" spans="1:12" ht="30">
      <c r="A133" s="44" t="str">
        <f t="shared" si="4"/>
        <v>3232</v>
      </c>
      <c r="B133" s="44" t="str">
        <f t="shared" si="5"/>
        <v>323</v>
      </c>
      <c r="C133" s="44">
        <v>3</v>
      </c>
      <c r="D133" s="44">
        <v>2</v>
      </c>
      <c r="E133" s="44">
        <v>3</v>
      </c>
      <c r="F133" s="44">
        <v>2</v>
      </c>
      <c r="G133" s="48" t="s">
        <v>70</v>
      </c>
      <c r="H133" s="57" t="s">
        <v>141</v>
      </c>
      <c r="I133" s="58" t="s">
        <v>375</v>
      </c>
      <c r="J133" s="251" t="s">
        <v>2346</v>
      </c>
      <c r="K133" s="252" t="s">
        <v>2357</v>
      </c>
      <c r="L133" s="242" t="s">
        <v>2359</v>
      </c>
    </row>
    <row r="134" spans="1:12">
      <c r="A134" s="44" t="str">
        <f t="shared" si="4"/>
        <v>3311</v>
      </c>
      <c r="B134" s="44" t="str">
        <f t="shared" si="5"/>
        <v>331</v>
      </c>
      <c r="C134" s="44">
        <v>3</v>
      </c>
      <c r="D134" s="44">
        <v>3</v>
      </c>
      <c r="E134" s="44">
        <v>1</v>
      </c>
      <c r="F134" s="44">
        <v>1</v>
      </c>
      <c r="G134" s="48" t="s">
        <v>519</v>
      </c>
      <c r="H134" s="57" t="s">
        <v>142</v>
      </c>
      <c r="I134" s="58" t="s">
        <v>376</v>
      </c>
      <c r="J134" s="251" t="s">
        <v>2360</v>
      </c>
      <c r="K134" s="252" t="s">
        <v>2361</v>
      </c>
      <c r="L134" s="242" t="s">
        <v>2362</v>
      </c>
    </row>
    <row r="135" spans="1:12">
      <c r="A135" s="44" t="str">
        <f t="shared" si="4"/>
        <v>3312</v>
      </c>
      <c r="B135" s="44" t="str">
        <f t="shared" si="5"/>
        <v>331</v>
      </c>
      <c r="C135" s="44">
        <v>3</v>
      </c>
      <c r="D135" s="44">
        <v>3</v>
      </c>
      <c r="E135" s="44">
        <v>1</v>
      </c>
      <c r="F135" s="44">
        <v>2</v>
      </c>
      <c r="G135" s="48" t="s">
        <v>519</v>
      </c>
      <c r="H135" s="57" t="s">
        <v>142</v>
      </c>
      <c r="I135" s="58" t="s">
        <v>377</v>
      </c>
      <c r="J135" s="251" t="s">
        <v>2360</v>
      </c>
      <c r="K135" s="252" t="s">
        <v>2361</v>
      </c>
      <c r="L135" s="242" t="s">
        <v>2363</v>
      </c>
    </row>
    <row r="136" spans="1:12" ht="30">
      <c r="A136" s="44" t="str">
        <f t="shared" si="4"/>
        <v>3321</v>
      </c>
      <c r="B136" s="44" t="str">
        <f t="shared" si="5"/>
        <v>332</v>
      </c>
      <c r="C136" s="44">
        <v>3</v>
      </c>
      <c r="D136" s="44">
        <v>3</v>
      </c>
      <c r="E136" s="44">
        <v>2</v>
      </c>
      <c r="F136" s="44">
        <v>1</v>
      </c>
      <c r="G136" s="48" t="s">
        <v>519</v>
      </c>
      <c r="H136" s="57" t="s">
        <v>2</v>
      </c>
      <c r="I136" s="57" t="s">
        <v>225</v>
      </c>
      <c r="J136" s="251" t="s">
        <v>2360</v>
      </c>
      <c r="K136" s="252" t="s">
        <v>2364</v>
      </c>
      <c r="L136" s="242" t="s">
        <v>2365</v>
      </c>
    </row>
    <row r="137" spans="1:12" ht="30">
      <c r="A137" s="44" t="str">
        <f t="shared" si="4"/>
        <v>3322</v>
      </c>
      <c r="B137" s="44" t="str">
        <f t="shared" si="5"/>
        <v>332</v>
      </c>
      <c r="C137" s="44">
        <v>3</v>
      </c>
      <c r="D137" s="44">
        <v>3</v>
      </c>
      <c r="E137" s="44">
        <v>2</v>
      </c>
      <c r="F137" s="44">
        <v>2</v>
      </c>
      <c r="G137" s="48" t="s">
        <v>519</v>
      </c>
      <c r="H137" s="57" t="s">
        <v>2</v>
      </c>
      <c r="I137" s="57" t="s">
        <v>226</v>
      </c>
      <c r="J137" s="251" t="s">
        <v>2360</v>
      </c>
      <c r="K137" s="252" t="s">
        <v>2364</v>
      </c>
      <c r="L137" s="242" t="s">
        <v>2366</v>
      </c>
    </row>
    <row r="138" spans="1:12" ht="30">
      <c r="A138" s="44" t="str">
        <f t="shared" si="4"/>
        <v>3323</v>
      </c>
      <c r="B138" s="44" t="str">
        <f t="shared" si="5"/>
        <v>332</v>
      </c>
      <c r="C138" s="44">
        <v>3</v>
      </c>
      <c r="D138" s="44">
        <v>3</v>
      </c>
      <c r="E138" s="44">
        <v>2</v>
      </c>
      <c r="F138" s="44">
        <v>3</v>
      </c>
      <c r="G138" s="48" t="s">
        <v>519</v>
      </c>
      <c r="H138" s="57" t="s">
        <v>2</v>
      </c>
      <c r="I138" s="57" t="s">
        <v>227</v>
      </c>
      <c r="J138" s="251" t="s">
        <v>2360</v>
      </c>
      <c r="K138" s="252" t="s">
        <v>2364</v>
      </c>
      <c r="L138" s="242" t="s">
        <v>2367</v>
      </c>
    </row>
    <row r="139" spans="1:12" ht="30">
      <c r="A139" s="44" t="str">
        <f t="shared" si="4"/>
        <v>3324</v>
      </c>
      <c r="B139" s="44" t="str">
        <f t="shared" si="5"/>
        <v>332</v>
      </c>
      <c r="C139" s="44">
        <v>3</v>
      </c>
      <c r="D139" s="44">
        <v>3</v>
      </c>
      <c r="E139" s="44">
        <v>2</v>
      </c>
      <c r="F139" s="44">
        <v>4</v>
      </c>
      <c r="G139" s="48" t="s">
        <v>519</v>
      </c>
      <c r="H139" s="57" t="s">
        <v>2</v>
      </c>
      <c r="I139" s="57" t="s">
        <v>228</v>
      </c>
      <c r="J139" s="251" t="s">
        <v>2360</v>
      </c>
      <c r="K139" s="252" t="s">
        <v>2364</v>
      </c>
      <c r="L139" s="242" t="s">
        <v>2368</v>
      </c>
    </row>
    <row r="140" spans="1:12" ht="30">
      <c r="A140" s="44" t="str">
        <f t="shared" si="4"/>
        <v>3325</v>
      </c>
      <c r="B140" s="44" t="str">
        <f t="shared" si="5"/>
        <v>332</v>
      </c>
      <c r="C140" s="44">
        <v>3</v>
      </c>
      <c r="D140" s="44">
        <v>3</v>
      </c>
      <c r="E140" s="44">
        <v>2</v>
      </c>
      <c r="F140" s="44">
        <v>5</v>
      </c>
      <c r="G140" s="48" t="s">
        <v>519</v>
      </c>
      <c r="H140" s="57" t="s">
        <v>2</v>
      </c>
      <c r="I140" s="57" t="s">
        <v>229</v>
      </c>
      <c r="J140" s="251" t="s">
        <v>2360</v>
      </c>
      <c r="K140" s="252" t="s">
        <v>2364</v>
      </c>
      <c r="L140" s="242"/>
    </row>
    <row r="141" spans="1:12" ht="30">
      <c r="A141" s="44" t="str">
        <f t="shared" si="4"/>
        <v>3331</v>
      </c>
      <c r="B141" s="44" t="str">
        <f t="shared" si="5"/>
        <v>333</v>
      </c>
      <c r="C141" s="44">
        <v>3</v>
      </c>
      <c r="D141" s="44">
        <v>3</v>
      </c>
      <c r="E141" s="44">
        <v>3</v>
      </c>
      <c r="F141" s="44">
        <v>1</v>
      </c>
      <c r="G141" s="48" t="s">
        <v>519</v>
      </c>
      <c r="H141" s="57" t="s">
        <v>6</v>
      </c>
      <c r="I141" s="57" t="s">
        <v>17</v>
      </c>
      <c r="J141" s="251" t="s">
        <v>2360</v>
      </c>
      <c r="K141" s="252" t="s">
        <v>2369</v>
      </c>
      <c r="L141" s="242" t="s">
        <v>2370</v>
      </c>
    </row>
    <row r="142" spans="1:12" ht="30">
      <c r="A142" s="44" t="str">
        <f t="shared" si="4"/>
        <v>3332</v>
      </c>
      <c r="B142" s="44" t="str">
        <f t="shared" si="5"/>
        <v>333</v>
      </c>
      <c r="C142" s="44">
        <v>3</v>
      </c>
      <c r="D142" s="44">
        <v>3</v>
      </c>
      <c r="E142" s="44">
        <v>3</v>
      </c>
      <c r="F142" s="44">
        <v>2</v>
      </c>
      <c r="G142" s="48" t="s">
        <v>519</v>
      </c>
      <c r="H142" s="57" t="s">
        <v>6</v>
      </c>
      <c r="I142" s="57" t="s">
        <v>18</v>
      </c>
      <c r="J142" s="251" t="s">
        <v>2360</v>
      </c>
      <c r="K142" s="252" t="s">
        <v>2369</v>
      </c>
      <c r="L142" s="242" t="s">
        <v>2371</v>
      </c>
    </row>
    <row r="143" spans="1:12" ht="30">
      <c r="A143" s="44" t="str">
        <f t="shared" si="4"/>
        <v>3333</v>
      </c>
      <c r="B143" s="44" t="str">
        <f t="shared" si="5"/>
        <v>333</v>
      </c>
      <c r="C143" s="44">
        <v>3</v>
      </c>
      <c r="D143" s="44">
        <v>3</v>
      </c>
      <c r="E143" s="44">
        <v>3</v>
      </c>
      <c r="F143" s="44">
        <v>3</v>
      </c>
      <c r="G143" s="48" t="s">
        <v>519</v>
      </c>
      <c r="H143" s="57" t="s">
        <v>6</v>
      </c>
      <c r="I143" s="57" t="s">
        <v>19</v>
      </c>
      <c r="J143" s="251" t="s">
        <v>2360</v>
      </c>
      <c r="K143" s="252" t="s">
        <v>2369</v>
      </c>
      <c r="L143" s="242" t="s">
        <v>2372</v>
      </c>
    </row>
    <row r="144" spans="1:12" ht="30">
      <c r="A144" s="44" t="str">
        <f t="shared" si="4"/>
        <v>3334</v>
      </c>
      <c r="B144" s="44" t="str">
        <f t="shared" si="5"/>
        <v>333</v>
      </c>
      <c r="C144" s="44">
        <v>3</v>
      </c>
      <c r="D144" s="44">
        <v>3</v>
      </c>
      <c r="E144" s="44">
        <v>3</v>
      </c>
      <c r="F144" s="44">
        <v>4</v>
      </c>
      <c r="G144" s="48" t="s">
        <v>519</v>
      </c>
      <c r="H144" s="57" t="s">
        <v>6</v>
      </c>
      <c r="I144" s="57" t="s">
        <v>20</v>
      </c>
      <c r="J144" s="251" t="s">
        <v>2360</v>
      </c>
      <c r="K144" s="252" t="s">
        <v>2369</v>
      </c>
      <c r="L144" s="242" t="s">
        <v>2373</v>
      </c>
    </row>
    <row r="145" spans="1:12" ht="30">
      <c r="A145" s="44" t="str">
        <f t="shared" si="4"/>
        <v>3335</v>
      </c>
      <c r="B145" s="44" t="str">
        <f t="shared" si="5"/>
        <v>333</v>
      </c>
      <c r="C145" s="44">
        <v>3</v>
      </c>
      <c r="D145" s="44">
        <v>3</v>
      </c>
      <c r="E145" s="44">
        <v>3</v>
      </c>
      <c r="F145" s="44">
        <v>5</v>
      </c>
      <c r="G145" s="48" t="s">
        <v>519</v>
      </c>
      <c r="H145" s="57" t="s">
        <v>6</v>
      </c>
      <c r="I145" s="57" t="s">
        <v>21</v>
      </c>
      <c r="J145" s="251" t="s">
        <v>2360</v>
      </c>
      <c r="K145" s="252" t="s">
        <v>2369</v>
      </c>
      <c r="L145" s="242" t="s">
        <v>2374</v>
      </c>
    </row>
    <row r="146" spans="1:12" ht="30">
      <c r="A146" s="44" t="str">
        <f t="shared" si="4"/>
        <v>3336</v>
      </c>
      <c r="B146" s="44" t="str">
        <f t="shared" si="5"/>
        <v>333</v>
      </c>
      <c r="C146" s="44">
        <v>3</v>
      </c>
      <c r="D146" s="44">
        <v>3</v>
      </c>
      <c r="E146" s="44">
        <v>3</v>
      </c>
      <c r="F146" s="44">
        <v>6</v>
      </c>
      <c r="G146" s="48" t="s">
        <v>519</v>
      </c>
      <c r="H146" s="57" t="s">
        <v>6</v>
      </c>
      <c r="I146" s="57" t="s">
        <v>22</v>
      </c>
      <c r="J146" s="251" t="s">
        <v>2360</v>
      </c>
      <c r="K146" s="252" t="s">
        <v>2369</v>
      </c>
      <c r="L146" s="242" t="s">
        <v>2375</v>
      </c>
    </row>
    <row r="147" spans="1:12" ht="30">
      <c r="A147" s="44" t="str">
        <f t="shared" si="4"/>
        <v>3411</v>
      </c>
      <c r="B147" s="44" t="str">
        <f t="shared" si="5"/>
        <v>341</v>
      </c>
      <c r="C147" s="44">
        <v>3</v>
      </c>
      <c r="D147" s="44">
        <v>4</v>
      </c>
      <c r="E147" s="44">
        <v>1</v>
      </c>
      <c r="F147" s="44">
        <v>1</v>
      </c>
      <c r="G147" s="48" t="s">
        <v>51</v>
      </c>
      <c r="H147" s="57" t="s">
        <v>52</v>
      </c>
      <c r="I147" s="57" t="s">
        <v>230</v>
      </c>
      <c r="J147" s="251" t="s">
        <v>2376</v>
      </c>
      <c r="K147" s="252" t="s">
        <v>2377</v>
      </c>
      <c r="L147" s="242" t="s">
        <v>2378</v>
      </c>
    </row>
    <row r="148" spans="1:12" ht="30">
      <c r="A148" s="44" t="str">
        <f t="shared" si="4"/>
        <v>3412</v>
      </c>
      <c r="B148" s="44" t="str">
        <f t="shared" si="5"/>
        <v>341</v>
      </c>
      <c r="C148" s="44">
        <v>3</v>
      </c>
      <c r="D148" s="44">
        <v>4</v>
      </c>
      <c r="E148" s="44">
        <v>1</v>
      </c>
      <c r="F148" s="44">
        <v>2</v>
      </c>
      <c r="G148" s="48" t="s">
        <v>51</v>
      </c>
      <c r="H148" s="57" t="s">
        <v>52</v>
      </c>
      <c r="I148" s="57" t="s">
        <v>231</v>
      </c>
      <c r="J148" s="251" t="s">
        <v>2376</v>
      </c>
      <c r="K148" s="252" t="s">
        <v>2377</v>
      </c>
      <c r="L148" s="242" t="s">
        <v>2379</v>
      </c>
    </row>
    <row r="149" spans="1:12" ht="30">
      <c r="A149" s="44" t="str">
        <f t="shared" si="4"/>
        <v>3413</v>
      </c>
      <c r="B149" s="44" t="str">
        <f t="shared" si="5"/>
        <v>341</v>
      </c>
      <c r="C149" s="44">
        <v>3</v>
      </c>
      <c r="D149" s="44">
        <v>4</v>
      </c>
      <c r="E149" s="44">
        <v>1</v>
      </c>
      <c r="F149" s="44">
        <v>3</v>
      </c>
      <c r="G149" s="48" t="s">
        <v>51</v>
      </c>
      <c r="H149" s="57" t="s">
        <v>52</v>
      </c>
      <c r="I149" s="57" t="s">
        <v>232</v>
      </c>
      <c r="J149" s="251" t="s">
        <v>2376</v>
      </c>
      <c r="K149" s="252" t="s">
        <v>2377</v>
      </c>
      <c r="L149" s="242" t="s">
        <v>2380</v>
      </c>
    </row>
    <row r="150" spans="1:12" ht="30">
      <c r="A150" s="44" t="str">
        <f t="shared" si="4"/>
        <v>3421</v>
      </c>
      <c r="B150" s="44" t="str">
        <f t="shared" si="5"/>
        <v>342</v>
      </c>
      <c r="C150" s="44">
        <v>3</v>
      </c>
      <c r="D150" s="44">
        <v>4</v>
      </c>
      <c r="E150" s="44">
        <v>2</v>
      </c>
      <c r="F150" s="44">
        <v>1</v>
      </c>
      <c r="G150" s="48" t="s">
        <v>51</v>
      </c>
      <c r="H150" s="57" t="s">
        <v>76</v>
      </c>
      <c r="I150" s="57" t="s">
        <v>548</v>
      </c>
      <c r="J150" s="251" t="s">
        <v>2376</v>
      </c>
      <c r="K150" s="252" t="s">
        <v>2381</v>
      </c>
      <c r="L150" s="242" t="s">
        <v>2382</v>
      </c>
    </row>
    <row r="151" spans="1:12" ht="30">
      <c r="A151" s="44" t="str">
        <f t="shared" si="4"/>
        <v>3422</v>
      </c>
      <c r="B151" s="44" t="str">
        <f t="shared" si="5"/>
        <v>342</v>
      </c>
      <c r="C151" s="44">
        <v>3</v>
      </c>
      <c r="D151" s="44">
        <v>4</v>
      </c>
      <c r="E151" s="44">
        <v>2</v>
      </c>
      <c r="F151" s="44">
        <v>2</v>
      </c>
      <c r="G151" s="48" t="s">
        <v>51</v>
      </c>
      <c r="H151" s="57" t="s">
        <v>76</v>
      </c>
      <c r="I151" s="57" t="s">
        <v>849</v>
      </c>
      <c r="J151" s="251" t="s">
        <v>2376</v>
      </c>
      <c r="K151" s="252" t="s">
        <v>2381</v>
      </c>
      <c r="L151" s="242" t="s">
        <v>2383</v>
      </c>
    </row>
    <row r="152" spans="1:12">
      <c r="A152" s="44" t="str">
        <f t="shared" si="4"/>
        <v>3431</v>
      </c>
      <c r="B152" s="44" t="str">
        <f t="shared" si="5"/>
        <v>343</v>
      </c>
      <c r="C152" s="44">
        <v>3</v>
      </c>
      <c r="D152" s="44">
        <v>4</v>
      </c>
      <c r="E152" s="44">
        <v>3</v>
      </c>
      <c r="F152" s="44">
        <v>1</v>
      </c>
      <c r="G152" s="48" t="s">
        <v>51</v>
      </c>
      <c r="H152" s="57" t="s">
        <v>143</v>
      </c>
      <c r="I152" s="57" t="s">
        <v>233</v>
      </c>
      <c r="J152" s="251" t="s">
        <v>2376</v>
      </c>
      <c r="K152" s="252" t="s">
        <v>2384</v>
      </c>
      <c r="L152" s="242" t="s">
        <v>2385</v>
      </c>
    </row>
    <row r="153" spans="1:12">
      <c r="A153" s="44" t="str">
        <f t="shared" si="4"/>
        <v>3432</v>
      </c>
      <c r="B153" s="44" t="str">
        <f t="shared" si="5"/>
        <v>343</v>
      </c>
      <c r="C153" s="44">
        <v>3</v>
      </c>
      <c r="D153" s="44">
        <v>4</v>
      </c>
      <c r="E153" s="44">
        <v>3</v>
      </c>
      <c r="F153" s="44">
        <v>2</v>
      </c>
      <c r="G153" s="48" t="s">
        <v>51</v>
      </c>
      <c r="H153" s="57" t="s">
        <v>143</v>
      </c>
      <c r="I153" s="57" t="s">
        <v>234</v>
      </c>
      <c r="J153" s="251" t="s">
        <v>2376</v>
      </c>
      <c r="K153" s="252" t="s">
        <v>2384</v>
      </c>
      <c r="L153" s="242" t="s">
        <v>2386</v>
      </c>
    </row>
    <row r="154" spans="1:12">
      <c r="A154" s="44" t="str">
        <f t="shared" si="4"/>
        <v>4111</v>
      </c>
      <c r="B154" s="44" t="str">
        <f t="shared" si="5"/>
        <v>411</v>
      </c>
      <c r="C154" s="44">
        <v>4</v>
      </c>
      <c r="D154" s="44">
        <v>1</v>
      </c>
      <c r="E154" s="44">
        <v>1</v>
      </c>
      <c r="F154" s="44">
        <v>1</v>
      </c>
      <c r="G154" s="48" t="s">
        <v>68</v>
      </c>
      <c r="H154" s="57" t="s">
        <v>144</v>
      </c>
      <c r="I154" s="58" t="s">
        <v>378</v>
      </c>
      <c r="J154" s="251" t="s">
        <v>2387</v>
      </c>
      <c r="K154" s="252" t="s">
        <v>2388</v>
      </c>
      <c r="L154" s="242" t="s">
        <v>2389</v>
      </c>
    </row>
    <row r="155" spans="1:12">
      <c r="A155" s="44" t="str">
        <f t="shared" si="4"/>
        <v>4112</v>
      </c>
      <c r="B155" s="44" t="str">
        <f t="shared" si="5"/>
        <v>411</v>
      </c>
      <c r="C155" s="44">
        <v>4</v>
      </c>
      <c r="D155" s="44">
        <v>1</v>
      </c>
      <c r="E155" s="44">
        <v>1</v>
      </c>
      <c r="F155" s="44">
        <v>2</v>
      </c>
      <c r="G155" s="48" t="s">
        <v>68</v>
      </c>
      <c r="H155" s="57" t="s">
        <v>144</v>
      </c>
      <c r="I155" s="58" t="s">
        <v>379</v>
      </c>
      <c r="J155" s="251" t="s">
        <v>2387</v>
      </c>
      <c r="K155" s="252" t="s">
        <v>2388</v>
      </c>
      <c r="L155" s="242" t="s">
        <v>2390</v>
      </c>
    </row>
    <row r="156" spans="1:12">
      <c r="A156" s="44" t="str">
        <f t="shared" si="4"/>
        <v>4113</v>
      </c>
      <c r="B156" s="44" t="str">
        <f t="shared" si="5"/>
        <v>411</v>
      </c>
      <c r="C156" s="44">
        <v>4</v>
      </c>
      <c r="D156" s="44">
        <v>1</v>
      </c>
      <c r="E156" s="44">
        <v>1</v>
      </c>
      <c r="F156" s="44">
        <v>3</v>
      </c>
      <c r="G156" s="48" t="s">
        <v>68</v>
      </c>
      <c r="H156" s="57" t="s">
        <v>144</v>
      </c>
      <c r="I156" s="58" t="s">
        <v>850</v>
      </c>
      <c r="J156" s="251" t="s">
        <v>2387</v>
      </c>
      <c r="K156" s="252" t="s">
        <v>2388</v>
      </c>
      <c r="L156" s="242" t="s">
        <v>2391</v>
      </c>
    </row>
    <row r="157" spans="1:12">
      <c r="A157" s="44" t="str">
        <f t="shared" si="4"/>
        <v>4121</v>
      </c>
      <c r="B157" s="44" t="str">
        <f t="shared" si="5"/>
        <v>412</v>
      </c>
      <c r="C157" s="44">
        <v>4</v>
      </c>
      <c r="D157" s="44">
        <v>1</v>
      </c>
      <c r="E157" s="44">
        <v>2</v>
      </c>
      <c r="F157" s="44">
        <v>1</v>
      </c>
      <c r="G157" s="48" t="s">
        <v>68</v>
      </c>
      <c r="H157" s="57" t="s">
        <v>3</v>
      </c>
      <c r="I157" s="57" t="s">
        <v>235</v>
      </c>
      <c r="J157" s="251" t="s">
        <v>2387</v>
      </c>
      <c r="K157" s="252" t="s">
        <v>2392</v>
      </c>
      <c r="L157" s="242" t="s">
        <v>2393</v>
      </c>
    </row>
    <row r="158" spans="1:12" ht="30">
      <c r="A158" s="44" t="str">
        <f t="shared" si="4"/>
        <v>4122</v>
      </c>
      <c r="B158" s="44" t="str">
        <f t="shared" si="5"/>
        <v>412</v>
      </c>
      <c r="C158" s="44">
        <v>4</v>
      </c>
      <c r="D158" s="44">
        <v>1</v>
      </c>
      <c r="E158" s="44">
        <v>2</v>
      </c>
      <c r="F158" s="44">
        <v>2</v>
      </c>
      <c r="G158" s="48" t="s">
        <v>68</v>
      </c>
      <c r="H158" s="57" t="s">
        <v>3</v>
      </c>
      <c r="I158" s="57" t="s">
        <v>236</v>
      </c>
      <c r="J158" s="251" t="s">
        <v>2387</v>
      </c>
      <c r="K158" s="252" t="s">
        <v>2392</v>
      </c>
      <c r="L158" s="242" t="s">
        <v>2394</v>
      </c>
    </row>
    <row r="159" spans="1:12">
      <c r="A159" s="44" t="str">
        <f t="shared" si="4"/>
        <v>4123</v>
      </c>
      <c r="B159" s="44" t="str">
        <f t="shared" si="5"/>
        <v>412</v>
      </c>
      <c r="C159" s="44">
        <v>4</v>
      </c>
      <c r="D159" s="44">
        <v>1</v>
      </c>
      <c r="E159" s="44">
        <v>2</v>
      </c>
      <c r="F159" s="44">
        <v>3</v>
      </c>
      <c r="G159" s="48" t="s">
        <v>68</v>
      </c>
      <c r="H159" s="57" t="s">
        <v>3</v>
      </c>
      <c r="I159" s="57" t="s">
        <v>237</v>
      </c>
      <c r="J159" s="251" t="s">
        <v>2387</v>
      </c>
      <c r="K159" s="252" t="s">
        <v>2392</v>
      </c>
      <c r="L159" s="242" t="s">
        <v>2395</v>
      </c>
    </row>
    <row r="160" spans="1:12">
      <c r="A160" s="44" t="str">
        <f t="shared" si="4"/>
        <v>4124</v>
      </c>
      <c r="B160" s="44" t="str">
        <f t="shared" si="5"/>
        <v>412</v>
      </c>
      <c r="C160" s="44">
        <v>4</v>
      </c>
      <c r="D160" s="44">
        <v>1</v>
      </c>
      <c r="E160" s="44">
        <v>2</v>
      </c>
      <c r="F160" s="44">
        <v>4</v>
      </c>
      <c r="G160" s="48" t="s">
        <v>68</v>
      </c>
      <c r="H160" s="57" t="s">
        <v>3</v>
      </c>
      <c r="I160" s="57" t="s">
        <v>238</v>
      </c>
      <c r="J160" s="251" t="s">
        <v>2387</v>
      </c>
      <c r="K160" s="252" t="s">
        <v>2392</v>
      </c>
      <c r="L160" s="242" t="s">
        <v>2396</v>
      </c>
    </row>
    <row r="161" spans="1:12">
      <c r="A161" s="44" t="str">
        <f t="shared" si="4"/>
        <v>4125</v>
      </c>
      <c r="B161" s="44" t="str">
        <f t="shared" si="5"/>
        <v>412</v>
      </c>
      <c r="C161" s="44">
        <v>4</v>
      </c>
      <c r="D161" s="44">
        <v>1</v>
      </c>
      <c r="E161" s="44">
        <v>2</v>
      </c>
      <c r="F161" s="44">
        <v>5</v>
      </c>
      <c r="G161" s="48" t="s">
        <v>68</v>
      </c>
      <c r="H161" s="57" t="s">
        <v>3</v>
      </c>
      <c r="I161" s="57" t="s">
        <v>239</v>
      </c>
      <c r="J161" s="251" t="s">
        <v>2387</v>
      </c>
      <c r="K161" s="252" t="s">
        <v>2392</v>
      </c>
      <c r="L161" s="242" t="s">
        <v>2397</v>
      </c>
    </row>
    <row r="162" spans="1:12" ht="30">
      <c r="A162" s="44" t="str">
        <f t="shared" si="4"/>
        <v>4126</v>
      </c>
      <c r="B162" s="44" t="str">
        <f t="shared" si="5"/>
        <v>412</v>
      </c>
      <c r="C162" s="44">
        <v>4</v>
      </c>
      <c r="D162" s="44">
        <v>1</v>
      </c>
      <c r="E162" s="44">
        <v>2</v>
      </c>
      <c r="F162" s="44">
        <v>6</v>
      </c>
      <c r="G162" s="48" t="s">
        <v>68</v>
      </c>
      <c r="H162" s="57" t="s">
        <v>3</v>
      </c>
      <c r="I162" s="57" t="s">
        <v>109</v>
      </c>
      <c r="J162" s="251" t="s">
        <v>2387</v>
      </c>
      <c r="K162" s="252" t="s">
        <v>2392</v>
      </c>
      <c r="L162" s="242" t="s">
        <v>2398</v>
      </c>
    </row>
    <row r="163" spans="1:12">
      <c r="A163" s="44" t="str">
        <f t="shared" si="4"/>
        <v>4127</v>
      </c>
      <c r="B163" s="44" t="str">
        <f t="shared" si="5"/>
        <v>412</v>
      </c>
      <c r="C163" s="44">
        <v>4</v>
      </c>
      <c r="D163" s="44">
        <v>1</v>
      </c>
      <c r="E163" s="44">
        <v>2</v>
      </c>
      <c r="F163" s="44">
        <v>7</v>
      </c>
      <c r="G163" s="48" t="s">
        <v>68</v>
      </c>
      <c r="H163" s="57" t="s">
        <v>3</v>
      </c>
      <c r="I163" s="57" t="s">
        <v>110</v>
      </c>
      <c r="J163" s="251" t="s">
        <v>2387</v>
      </c>
      <c r="K163" s="252" t="s">
        <v>2392</v>
      </c>
      <c r="L163" s="242" t="s">
        <v>2399</v>
      </c>
    </row>
    <row r="164" spans="1:12">
      <c r="A164" s="44" t="str">
        <f t="shared" si="4"/>
        <v>4128</v>
      </c>
      <c r="B164" s="44" t="str">
        <f t="shared" si="5"/>
        <v>412</v>
      </c>
      <c r="C164" s="44">
        <v>4</v>
      </c>
      <c r="D164" s="44">
        <v>1</v>
      </c>
      <c r="E164" s="44">
        <v>2</v>
      </c>
      <c r="F164" s="44">
        <v>8</v>
      </c>
      <c r="G164" s="48" t="s">
        <v>68</v>
      </c>
      <c r="H164" s="57" t="s">
        <v>3</v>
      </c>
      <c r="I164" s="57" t="s">
        <v>111</v>
      </c>
      <c r="J164" s="251" t="s">
        <v>2387</v>
      </c>
      <c r="K164" s="252" t="s">
        <v>2392</v>
      </c>
      <c r="L164" s="242" t="s">
        <v>2400</v>
      </c>
    </row>
    <row r="165" spans="1:12" ht="30">
      <c r="A165" s="44" t="str">
        <f t="shared" si="4"/>
        <v>4131</v>
      </c>
      <c r="B165" s="44" t="str">
        <f t="shared" si="5"/>
        <v>413</v>
      </c>
      <c r="C165" s="44">
        <v>4</v>
      </c>
      <c r="D165" s="44">
        <v>1</v>
      </c>
      <c r="E165" s="44">
        <v>3</v>
      </c>
      <c r="F165" s="44">
        <v>1</v>
      </c>
      <c r="G165" s="48" t="s">
        <v>68</v>
      </c>
      <c r="H165" s="57" t="s">
        <v>28</v>
      </c>
      <c r="I165" s="57" t="s">
        <v>29</v>
      </c>
      <c r="J165" s="251" t="s">
        <v>2387</v>
      </c>
      <c r="K165" s="252" t="s">
        <v>2401</v>
      </c>
      <c r="L165" s="242" t="s">
        <v>2402</v>
      </c>
    </row>
    <row r="166" spans="1:12" ht="30">
      <c r="A166" s="44" t="str">
        <f t="shared" si="4"/>
        <v>4132</v>
      </c>
      <c r="B166" s="44" t="str">
        <f t="shared" si="5"/>
        <v>413</v>
      </c>
      <c r="C166" s="44">
        <v>4</v>
      </c>
      <c r="D166" s="44">
        <v>1</v>
      </c>
      <c r="E166" s="44">
        <v>3</v>
      </c>
      <c r="F166" s="44">
        <v>2</v>
      </c>
      <c r="G166" s="48" t="s">
        <v>68</v>
      </c>
      <c r="H166" s="57" t="s">
        <v>28</v>
      </c>
      <c r="I166" s="57" t="s">
        <v>30</v>
      </c>
      <c r="J166" s="251" t="s">
        <v>2387</v>
      </c>
      <c r="K166" s="252" t="s">
        <v>2401</v>
      </c>
      <c r="L166" s="242" t="s">
        <v>2403</v>
      </c>
    </row>
    <row r="167" spans="1:12" ht="30">
      <c r="A167" s="44" t="str">
        <f t="shared" si="4"/>
        <v>4133</v>
      </c>
      <c r="B167" s="44" t="str">
        <f t="shared" si="5"/>
        <v>413</v>
      </c>
      <c r="C167" s="44">
        <v>4</v>
      </c>
      <c r="D167" s="44">
        <v>1</v>
      </c>
      <c r="E167" s="44">
        <v>3</v>
      </c>
      <c r="F167" s="44">
        <v>3</v>
      </c>
      <c r="G167" s="48" t="s">
        <v>68</v>
      </c>
      <c r="H167" s="57" t="s">
        <v>28</v>
      </c>
      <c r="I167" s="57" t="s">
        <v>31</v>
      </c>
      <c r="J167" s="251" t="s">
        <v>2387</v>
      </c>
      <c r="K167" s="252" t="s">
        <v>2401</v>
      </c>
      <c r="L167" s="242" t="s">
        <v>2404</v>
      </c>
    </row>
    <row r="168" spans="1:12" ht="30">
      <c r="A168" s="44" t="str">
        <f t="shared" si="4"/>
        <v>4134</v>
      </c>
      <c r="B168" s="44" t="str">
        <f t="shared" si="5"/>
        <v>413</v>
      </c>
      <c r="C168" s="44">
        <v>4</v>
      </c>
      <c r="D168" s="44">
        <v>1</v>
      </c>
      <c r="E168" s="44">
        <v>3</v>
      </c>
      <c r="F168" s="44">
        <v>4</v>
      </c>
      <c r="G168" s="48" t="s">
        <v>68</v>
      </c>
      <c r="H168" s="57" t="s">
        <v>28</v>
      </c>
      <c r="I168" s="57" t="s">
        <v>32</v>
      </c>
      <c r="J168" s="251" t="s">
        <v>2387</v>
      </c>
      <c r="K168" s="252" t="s">
        <v>2401</v>
      </c>
      <c r="L168" s="242" t="s">
        <v>2405</v>
      </c>
    </row>
    <row r="169" spans="1:12" ht="15.75" customHeight="1">
      <c r="A169" s="44" t="str">
        <f t="shared" si="4"/>
        <v>4135</v>
      </c>
      <c r="B169" s="44" t="str">
        <f t="shared" si="5"/>
        <v>413</v>
      </c>
      <c r="C169" s="44">
        <v>4</v>
      </c>
      <c r="D169" s="44">
        <v>1</v>
      </c>
      <c r="E169" s="44">
        <v>3</v>
      </c>
      <c r="F169" s="44">
        <v>5</v>
      </c>
      <c r="G169" s="48" t="s">
        <v>68</v>
      </c>
      <c r="H169" s="57" t="s">
        <v>28</v>
      </c>
      <c r="I169" s="57" t="s">
        <v>33</v>
      </c>
      <c r="J169" s="251" t="s">
        <v>2387</v>
      </c>
      <c r="K169" s="252" t="s">
        <v>2401</v>
      </c>
      <c r="L169" s="242" t="s">
        <v>2406</v>
      </c>
    </row>
    <row r="170" spans="1:12" ht="30">
      <c r="A170" s="44" t="str">
        <f t="shared" si="4"/>
        <v>4136</v>
      </c>
      <c r="B170" s="44" t="str">
        <f t="shared" si="5"/>
        <v>413</v>
      </c>
      <c r="C170" s="44">
        <v>4</v>
      </c>
      <c r="D170" s="44">
        <v>1</v>
      </c>
      <c r="E170" s="44">
        <v>3</v>
      </c>
      <c r="F170" s="44">
        <v>6</v>
      </c>
      <c r="G170" s="48" t="s">
        <v>68</v>
      </c>
      <c r="H170" s="57" t="s">
        <v>28</v>
      </c>
      <c r="I170" s="57" t="s">
        <v>34</v>
      </c>
      <c r="J170" s="251" t="s">
        <v>2387</v>
      </c>
      <c r="K170" s="252" t="s">
        <v>2401</v>
      </c>
      <c r="L170" s="242" t="s">
        <v>2407</v>
      </c>
    </row>
    <row r="171" spans="1:12" ht="30">
      <c r="A171" s="44" t="str">
        <f t="shared" si="4"/>
        <v>4211</v>
      </c>
      <c r="B171" s="44" t="str">
        <f t="shared" si="5"/>
        <v>421</v>
      </c>
      <c r="C171" s="44">
        <v>4</v>
      </c>
      <c r="D171" s="44">
        <v>2</v>
      </c>
      <c r="E171" s="44">
        <v>1</v>
      </c>
      <c r="F171" s="44">
        <v>1</v>
      </c>
      <c r="G171" s="49" t="s">
        <v>98</v>
      </c>
      <c r="H171" s="56" t="s">
        <v>99</v>
      </c>
      <c r="I171" s="56" t="s">
        <v>102</v>
      </c>
      <c r="J171" s="251" t="s">
        <v>2408</v>
      </c>
      <c r="K171" s="252" t="s">
        <v>2409</v>
      </c>
      <c r="L171" s="242" t="s">
        <v>2410</v>
      </c>
    </row>
    <row r="172" spans="1:12" ht="30">
      <c r="A172" s="44" t="str">
        <f t="shared" si="4"/>
        <v>4212</v>
      </c>
      <c r="B172" s="44" t="str">
        <f t="shared" si="5"/>
        <v>421</v>
      </c>
      <c r="C172" s="44">
        <v>4</v>
      </c>
      <c r="D172" s="44">
        <v>2</v>
      </c>
      <c r="E172" s="44">
        <v>1</v>
      </c>
      <c r="F172" s="44">
        <v>2</v>
      </c>
      <c r="G172" s="49" t="s">
        <v>98</v>
      </c>
      <c r="H172" s="56" t="s">
        <v>99</v>
      </c>
      <c r="I172" s="56" t="s">
        <v>103</v>
      </c>
      <c r="J172" s="251" t="s">
        <v>2408</v>
      </c>
      <c r="K172" s="252" t="s">
        <v>2409</v>
      </c>
      <c r="L172" s="242" t="s">
        <v>2411</v>
      </c>
    </row>
    <row r="173" spans="1:12">
      <c r="A173" s="44" t="str">
        <f t="shared" si="4"/>
        <v>4221</v>
      </c>
      <c r="B173" s="44" t="str">
        <f t="shared" si="5"/>
        <v>422</v>
      </c>
      <c r="C173" s="44">
        <v>4</v>
      </c>
      <c r="D173" s="44">
        <v>2</v>
      </c>
      <c r="E173" s="44">
        <v>2</v>
      </c>
      <c r="F173" s="44">
        <v>1</v>
      </c>
      <c r="G173" s="49" t="s">
        <v>98</v>
      </c>
      <c r="H173" s="56" t="s">
        <v>100</v>
      </c>
      <c r="I173" s="56" t="s">
        <v>104</v>
      </c>
      <c r="J173" s="251" t="s">
        <v>2408</v>
      </c>
      <c r="K173" s="252" t="s">
        <v>2412</v>
      </c>
      <c r="L173" s="242" t="s">
        <v>2413</v>
      </c>
    </row>
    <row r="174" spans="1:12">
      <c r="A174" s="44" t="str">
        <f t="shared" si="4"/>
        <v>4222</v>
      </c>
      <c r="B174" s="44" t="str">
        <f t="shared" si="5"/>
        <v>422</v>
      </c>
      <c r="C174" s="44">
        <v>4</v>
      </c>
      <c r="D174" s="44">
        <v>2</v>
      </c>
      <c r="E174" s="44">
        <v>2</v>
      </c>
      <c r="F174" s="44">
        <v>2</v>
      </c>
      <c r="G174" s="49" t="s">
        <v>98</v>
      </c>
      <c r="H174" s="56" t="s">
        <v>100</v>
      </c>
      <c r="I174" s="56" t="s">
        <v>549</v>
      </c>
      <c r="J174" s="251" t="s">
        <v>2408</v>
      </c>
      <c r="K174" s="252" t="s">
        <v>2412</v>
      </c>
      <c r="L174" s="242" t="s">
        <v>2414</v>
      </c>
    </row>
    <row r="175" spans="1:12">
      <c r="A175" s="44" t="str">
        <f t="shared" si="4"/>
        <v>4223</v>
      </c>
      <c r="B175" s="44" t="str">
        <f t="shared" si="5"/>
        <v>422</v>
      </c>
      <c r="C175" s="44">
        <v>4</v>
      </c>
      <c r="D175" s="44">
        <v>2</v>
      </c>
      <c r="E175" s="44">
        <v>2</v>
      </c>
      <c r="F175" s="44">
        <v>3</v>
      </c>
      <c r="G175" s="49" t="s">
        <v>98</v>
      </c>
      <c r="H175" s="56" t="s">
        <v>100</v>
      </c>
      <c r="I175" s="56" t="s">
        <v>105</v>
      </c>
      <c r="J175" s="251" t="s">
        <v>2408</v>
      </c>
      <c r="K175" s="252" t="s">
        <v>2412</v>
      </c>
      <c r="L175" s="242" t="s">
        <v>2415</v>
      </c>
    </row>
    <row r="176" spans="1:12">
      <c r="A176" s="44" t="str">
        <f t="shared" si="4"/>
        <v>4224</v>
      </c>
      <c r="B176" s="44" t="str">
        <f t="shared" si="5"/>
        <v>422</v>
      </c>
      <c r="C176" s="44">
        <v>4</v>
      </c>
      <c r="D176" s="44">
        <v>2</v>
      </c>
      <c r="E176" s="44">
        <v>2</v>
      </c>
      <c r="F176" s="44">
        <v>4</v>
      </c>
      <c r="G176" s="49" t="s">
        <v>98</v>
      </c>
      <c r="H176" s="56" t="s">
        <v>100</v>
      </c>
      <c r="I176" s="56" t="s">
        <v>106</v>
      </c>
      <c r="J176" s="251" t="s">
        <v>2408</v>
      </c>
      <c r="K176" s="252" t="s">
        <v>2412</v>
      </c>
      <c r="L176" s="242" t="s">
        <v>2416</v>
      </c>
    </row>
    <row r="177" spans="1:12">
      <c r="A177" s="44" t="str">
        <f t="shared" si="4"/>
        <v>4225</v>
      </c>
      <c r="B177" s="44" t="str">
        <f t="shared" si="5"/>
        <v>422</v>
      </c>
      <c r="C177" s="44">
        <v>4</v>
      </c>
      <c r="D177" s="44">
        <v>2</v>
      </c>
      <c r="E177" s="44">
        <v>2</v>
      </c>
      <c r="F177" s="44">
        <v>5</v>
      </c>
      <c r="G177" s="49" t="s">
        <v>98</v>
      </c>
      <c r="H177" s="56" t="s">
        <v>100</v>
      </c>
      <c r="I177" s="56" t="s">
        <v>107</v>
      </c>
      <c r="J177" s="251" t="s">
        <v>2408</v>
      </c>
      <c r="K177" s="252" t="s">
        <v>2412</v>
      </c>
      <c r="L177" s="242"/>
    </row>
    <row r="178" spans="1:12" ht="30">
      <c r="A178" s="44" t="str">
        <f t="shared" si="4"/>
        <v>4231</v>
      </c>
      <c r="B178" s="44" t="str">
        <f t="shared" si="5"/>
        <v>423</v>
      </c>
      <c r="C178" s="44">
        <v>4</v>
      </c>
      <c r="D178" s="44">
        <v>2</v>
      </c>
      <c r="E178" s="44">
        <v>3</v>
      </c>
      <c r="F178" s="44">
        <v>1</v>
      </c>
      <c r="G178" s="49" t="s">
        <v>98</v>
      </c>
      <c r="H178" s="56" t="s">
        <v>101</v>
      </c>
      <c r="I178" s="56" t="s">
        <v>108</v>
      </c>
      <c r="J178" s="251" t="s">
        <v>2408</v>
      </c>
      <c r="K178" s="252" t="s">
        <v>2417</v>
      </c>
      <c r="L178" s="242" t="s">
        <v>2418</v>
      </c>
    </row>
    <row r="179" spans="1:12" ht="30">
      <c r="A179" s="44" t="str">
        <f t="shared" si="4"/>
        <v>4232</v>
      </c>
      <c r="B179" s="44" t="str">
        <f t="shared" si="5"/>
        <v>423</v>
      </c>
      <c r="C179" s="44">
        <v>4</v>
      </c>
      <c r="D179" s="44">
        <v>2</v>
      </c>
      <c r="E179" s="44">
        <v>3</v>
      </c>
      <c r="F179" s="44">
        <v>2</v>
      </c>
      <c r="G179" s="49" t="s">
        <v>98</v>
      </c>
      <c r="H179" s="56" t="s">
        <v>101</v>
      </c>
      <c r="I179" s="56" t="s">
        <v>550</v>
      </c>
      <c r="J179" s="251" t="s">
        <v>2408</v>
      </c>
      <c r="K179" s="252" t="s">
        <v>2417</v>
      </c>
      <c r="L179" s="242" t="s">
        <v>2419</v>
      </c>
    </row>
    <row r="180" spans="1:12" ht="30">
      <c r="A180" s="44" t="str">
        <f t="shared" si="4"/>
        <v>4233</v>
      </c>
      <c r="B180" s="44" t="str">
        <f t="shared" si="5"/>
        <v>423</v>
      </c>
      <c r="C180" s="44">
        <v>4</v>
      </c>
      <c r="D180" s="44">
        <v>2</v>
      </c>
      <c r="E180" s="44">
        <v>3</v>
      </c>
      <c r="F180" s="44">
        <v>3</v>
      </c>
      <c r="G180" s="49" t="s">
        <v>98</v>
      </c>
      <c r="H180" s="56" t="s">
        <v>101</v>
      </c>
      <c r="I180" s="56" t="s">
        <v>551</v>
      </c>
      <c r="J180" s="251" t="s">
        <v>2408</v>
      </c>
      <c r="K180" s="252" t="s">
        <v>2417</v>
      </c>
      <c r="L180" s="242" t="s">
        <v>2420</v>
      </c>
    </row>
    <row r="181" spans="1:12" ht="30">
      <c r="A181" s="44" t="str">
        <f t="shared" si="4"/>
        <v>4311</v>
      </c>
      <c r="B181" s="44" t="str">
        <f t="shared" si="5"/>
        <v>431</v>
      </c>
      <c r="C181" s="44">
        <v>4</v>
      </c>
      <c r="D181" s="44">
        <v>3</v>
      </c>
      <c r="E181" s="44">
        <v>1</v>
      </c>
      <c r="F181" s="44">
        <v>1</v>
      </c>
      <c r="G181" s="49" t="s">
        <v>145</v>
      </c>
      <c r="H181" s="56" t="s">
        <v>146</v>
      </c>
      <c r="I181" s="5" t="s">
        <v>309</v>
      </c>
      <c r="J181" s="251" t="s">
        <v>2421</v>
      </c>
      <c r="K181" s="252" t="s">
        <v>2422</v>
      </c>
      <c r="L181" s="242" t="s">
        <v>2423</v>
      </c>
    </row>
    <row r="182" spans="1:12" ht="30">
      <c r="A182" s="44" t="str">
        <f t="shared" si="4"/>
        <v>4312</v>
      </c>
      <c r="B182" s="44" t="str">
        <f t="shared" si="5"/>
        <v>431</v>
      </c>
      <c r="C182" s="44">
        <v>4</v>
      </c>
      <c r="D182" s="44">
        <v>3</v>
      </c>
      <c r="E182" s="44">
        <v>1</v>
      </c>
      <c r="F182" s="44">
        <v>2</v>
      </c>
      <c r="G182" s="49" t="s">
        <v>145</v>
      </c>
      <c r="H182" s="56" t="s">
        <v>146</v>
      </c>
      <c r="I182" s="5" t="s">
        <v>310</v>
      </c>
      <c r="J182" s="251" t="s">
        <v>2421</v>
      </c>
      <c r="K182" s="252" t="s">
        <v>2422</v>
      </c>
      <c r="L182" s="242" t="s">
        <v>2424</v>
      </c>
    </row>
    <row r="183" spans="1:12" ht="30">
      <c r="A183" s="44" t="str">
        <f t="shared" si="4"/>
        <v>4313</v>
      </c>
      <c r="B183" s="44" t="str">
        <f t="shared" si="5"/>
        <v>431</v>
      </c>
      <c r="C183" s="44">
        <v>4</v>
      </c>
      <c r="D183" s="44">
        <v>3</v>
      </c>
      <c r="E183" s="44">
        <v>1</v>
      </c>
      <c r="F183" s="44">
        <v>3</v>
      </c>
      <c r="G183" s="49" t="s">
        <v>145</v>
      </c>
      <c r="H183" s="56" t="s">
        <v>146</v>
      </c>
      <c r="I183" s="5" t="s">
        <v>311</v>
      </c>
      <c r="J183" s="251" t="s">
        <v>2421</v>
      </c>
      <c r="K183" s="252" t="s">
        <v>2422</v>
      </c>
      <c r="L183" s="242" t="s">
        <v>2425</v>
      </c>
    </row>
    <row r="184" spans="1:12" ht="30">
      <c r="A184" s="44" t="str">
        <f t="shared" si="4"/>
        <v>4314</v>
      </c>
      <c r="B184" s="44" t="str">
        <f t="shared" si="5"/>
        <v>431</v>
      </c>
      <c r="C184" s="44">
        <v>4</v>
      </c>
      <c r="D184" s="44">
        <v>3</v>
      </c>
      <c r="E184" s="44">
        <v>1</v>
      </c>
      <c r="F184" s="44">
        <v>4</v>
      </c>
      <c r="G184" s="49" t="s">
        <v>145</v>
      </c>
      <c r="H184" s="56" t="s">
        <v>146</v>
      </c>
      <c r="I184" s="5" t="s">
        <v>312</v>
      </c>
      <c r="J184" s="251" t="s">
        <v>2421</v>
      </c>
      <c r="K184" s="252" t="s">
        <v>2422</v>
      </c>
      <c r="L184" s="242" t="s">
        <v>2426</v>
      </c>
    </row>
    <row r="185" spans="1:12" ht="30">
      <c r="A185" s="44" t="str">
        <f t="shared" si="4"/>
        <v>4321</v>
      </c>
      <c r="B185" s="44" t="str">
        <f t="shared" si="5"/>
        <v>432</v>
      </c>
      <c r="C185" s="44">
        <v>4</v>
      </c>
      <c r="D185" s="44">
        <v>3</v>
      </c>
      <c r="E185" s="44">
        <v>2</v>
      </c>
      <c r="F185" s="44">
        <v>1</v>
      </c>
      <c r="G185" s="49" t="s">
        <v>145</v>
      </c>
      <c r="H185" s="56" t="s">
        <v>147</v>
      </c>
      <c r="I185" s="5" t="s">
        <v>313</v>
      </c>
      <c r="J185" s="251" t="s">
        <v>2421</v>
      </c>
      <c r="K185" s="252" t="s">
        <v>2427</v>
      </c>
      <c r="L185" s="242" t="s">
        <v>2428</v>
      </c>
    </row>
    <row r="186" spans="1:12" ht="30">
      <c r="A186" s="44" t="str">
        <f t="shared" si="4"/>
        <v>4322</v>
      </c>
      <c r="B186" s="44" t="str">
        <f t="shared" si="5"/>
        <v>432</v>
      </c>
      <c r="C186" s="44">
        <v>4</v>
      </c>
      <c r="D186" s="44">
        <v>3</v>
      </c>
      <c r="E186" s="44">
        <v>2</v>
      </c>
      <c r="F186" s="44">
        <v>2</v>
      </c>
      <c r="G186" s="49" t="s">
        <v>145</v>
      </c>
      <c r="H186" s="56" t="s">
        <v>147</v>
      </c>
      <c r="I186" s="5" t="s">
        <v>314</v>
      </c>
      <c r="J186" s="251" t="s">
        <v>2421</v>
      </c>
      <c r="K186" s="252" t="s">
        <v>2427</v>
      </c>
      <c r="L186" s="242" t="s">
        <v>2429</v>
      </c>
    </row>
    <row r="187" spans="1:12" ht="30">
      <c r="A187" s="44" t="str">
        <f t="shared" si="4"/>
        <v>4323</v>
      </c>
      <c r="B187" s="44" t="str">
        <f t="shared" si="5"/>
        <v>432</v>
      </c>
      <c r="C187" s="44">
        <v>4</v>
      </c>
      <c r="D187" s="44">
        <v>3</v>
      </c>
      <c r="E187" s="44">
        <v>2</v>
      </c>
      <c r="F187" s="44">
        <v>3</v>
      </c>
      <c r="G187" s="49" t="s">
        <v>145</v>
      </c>
      <c r="H187" s="56" t="s">
        <v>147</v>
      </c>
      <c r="I187" s="5" t="s">
        <v>315</v>
      </c>
      <c r="J187" s="251" t="s">
        <v>2421</v>
      </c>
      <c r="K187" s="252" t="s">
        <v>2427</v>
      </c>
      <c r="L187" s="242" t="s">
        <v>2430</v>
      </c>
    </row>
    <row r="188" spans="1:12" ht="30">
      <c r="A188" s="44" t="str">
        <f t="shared" si="4"/>
        <v>4324</v>
      </c>
      <c r="B188" s="44" t="str">
        <f t="shared" si="5"/>
        <v>432</v>
      </c>
      <c r="C188" s="44">
        <v>4</v>
      </c>
      <c r="D188" s="44">
        <v>3</v>
      </c>
      <c r="E188" s="44">
        <v>2</v>
      </c>
      <c r="F188" s="44">
        <v>4</v>
      </c>
      <c r="G188" s="49" t="s">
        <v>145</v>
      </c>
      <c r="H188" s="56" t="s">
        <v>147</v>
      </c>
      <c r="I188" s="5" t="s">
        <v>316</v>
      </c>
      <c r="J188" s="251" t="s">
        <v>2421</v>
      </c>
      <c r="K188" s="252" t="s">
        <v>2427</v>
      </c>
      <c r="L188" s="242" t="s">
        <v>2431</v>
      </c>
    </row>
    <row r="189" spans="1:12" ht="30">
      <c r="A189" s="44" t="str">
        <f t="shared" si="4"/>
        <v>4331</v>
      </c>
      <c r="B189" s="44" t="str">
        <f t="shared" si="5"/>
        <v>433</v>
      </c>
      <c r="C189" s="44">
        <v>4</v>
      </c>
      <c r="D189" s="44">
        <v>3</v>
      </c>
      <c r="E189" s="44">
        <v>3</v>
      </c>
      <c r="F189" s="44">
        <v>1</v>
      </c>
      <c r="G189" s="49" t="s">
        <v>145</v>
      </c>
      <c r="H189" s="56" t="s">
        <v>148</v>
      </c>
      <c r="I189" s="5" t="s">
        <v>317</v>
      </c>
      <c r="J189" s="251" t="s">
        <v>2421</v>
      </c>
      <c r="K189" s="252" t="s">
        <v>2432</v>
      </c>
      <c r="L189" s="242" t="s">
        <v>2433</v>
      </c>
    </row>
    <row r="190" spans="1:12" ht="30">
      <c r="A190" s="44" t="str">
        <f t="shared" si="4"/>
        <v>4332</v>
      </c>
      <c r="B190" s="44" t="str">
        <f t="shared" si="5"/>
        <v>433</v>
      </c>
      <c r="C190" s="44">
        <v>4</v>
      </c>
      <c r="D190" s="44">
        <v>3</v>
      </c>
      <c r="E190" s="44">
        <v>3</v>
      </c>
      <c r="F190" s="44">
        <v>2</v>
      </c>
      <c r="G190" s="49" t="s">
        <v>145</v>
      </c>
      <c r="H190" s="56" t="s">
        <v>148</v>
      </c>
      <c r="I190" s="5" t="s">
        <v>318</v>
      </c>
      <c r="J190" s="251" t="s">
        <v>2421</v>
      </c>
      <c r="K190" s="252" t="s">
        <v>2432</v>
      </c>
      <c r="L190" s="242" t="s">
        <v>2434</v>
      </c>
    </row>
    <row r="191" spans="1:12" ht="15.75">
      <c r="A191" s="44" t="str">
        <f t="shared" si="4"/>
        <v>4411</v>
      </c>
      <c r="B191" s="44" t="str">
        <f t="shared" si="5"/>
        <v>441</v>
      </c>
      <c r="C191" s="44">
        <v>4</v>
      </c>
      <c r="D191" s="44">
        <v>4</v>
      </c>
      <c r="E191" s="44">
        <v>1</v>
      </c>
      <c r="F191" s="44">
        <v>1</v>
      </c>
      <c r="G191" s="47" t="s">
        <v>60</v>
      </c>
      <c r="H191" s="56" t="s">
        <v>149</v>
      </c>
      <c r="I191" s="5" t="s">
        <v>380</v>
      </c>
      <c r="J191" s="251" t="s">
        <v>2435</v>
      </c>
      <c r="K191" s="252" t="s">
        <v>2436</v>
      </c>
      <c r="L191" s="242" t="s">
        <v>2437</v>
      </c>
    </row>
    <row r="192" spans="1:12" ht="15.75">
      <c r="A192" s="44" t="str">
        <f t="shared" si="4"/>
        <v>4412</v>
      </c>
      <c r="B192" s="44" t="str">
        <f t="shared" si="5"/>
        <v>441</v>
      </c>
      <c r="C192" s="44">
        <v>4</v>
      </c>
      <c r="D192" s="44">
        <v>4</v>
      </c>
      <c r="E192" s="44">
        <v>1</v>
      </c>
      <c r="F192" s="44">
        <v>2</v>
      </c>
      <c r="G192" s="47" t="s">
        <v>60</v>
      </c>
      <c r="H192" s="56" t="s">
        <v>149</v>
      </c>
      <c r="I192" s="5" t="s">
        <v>381</v>
      </c>
      <c r="J192" s="251" t="s">
        <v>2435</v>
      </c>
      <c r="K192" s="252" t="s">
        <v>2436</v>
      </c>
      <c r="L192" s="242" t="s">
        <v>2438</v>
      </c>
    </row>
    <row r="193" spans="1:12" ht="15.75">
      <c r="A193" s="44" t="str">
        <f t="shared" si="4"/>
        <v>4413</v>
      </c>
      <c r="B193" s="44" t="str">
        <f t="shared" si="5"/>
        <v>441</v>
      </c>
      <c r="C193" s="44">
        <v>4</v>
      </c>
      <c r="D193" s="44">
        <v>4</v>
      </c>
      <c r="E193" s="44">
        <v>1</v>
      </c>
      <c r="F193" s="44">
        <v>3</v>
      </c>
      <c r="G193" s="47" t="s">
        <v>60</v>
      </c>
      <c r="H193" s="56" t="s">
        <v>149</v>
      </c>
      <c r="I193" s="5" t="s">
        <v>382</v>
      </c>
      <c r="J193" s="251" t="s">
        <v>2435</v>
      </c>
      <c r="K193" s="252" t="s">
        <v>2436</v>
      </c>
      <c r="L193" s="242" t="s">
        <v>2439</v>
      </c>
    </row>
    <row r="194" spans="1:12" ht="15.75">
      <c r="A194" s="44" t="str">
        <f t="shared" si="4"/>
        <v>4421</v>
      </c>
      <c r="B194" s="44" t="str">
        <f t="shared" si="5"/>
        <v>442</v>
      </c>
      <c r="C194" s="44">
        <v>4</v>
      </c>
      <c r="D194" s="44">
        <v>4</v>
      </c>
      <c r="E194" s="44">
        <v>2</v>
      </c>
      <c r="F194" s="44">
        <v>1</v>
      </c>
      <c r="G194" s="47" t="s">
        <v>60</v>
      </c>
      <c r="H194" s="56" t="s">
        <v>851</v>
      </c>
      <c r="I194" s="5" t="s">
        <v>552</v>
      </c>
      <c r="J194" s="251" t="s">
        <v>2435</v>
      </c>
      <c r="K194" s="252" t="s">
        <v>2440</v>
      </c>
      <c r="L194" s="242" t="s">
        <v>2441</v>
      </c>
    </row>
    <row r="195" spans="1:12" ht="15.75">
      <c r="A195" s="44" t="str">
        <f t="shared" ref="A195:A258" si="6">_xlfn.CONCAT(C195:F195)</f>
        <v>4422</v>
      </c>
      <c r="B195" s="44" t="str">
        <f t="shared" ref="B195:B258" si="7">_xlfn.CONCAT(C195:E195)</f>
        <v>442</v>
      </c>
      <c r="C195" s="44">
        <v>4</v>
      </c>
      <c r="D195" s="44">
        <v>4</v>
      </c>
      <c r="E195" s="44">
        <v>2</v>
      </c>
      <c r="F195" s="44">
        <v>2</v>
      </c>
      <c r="G195" s="47" t="s">
        <v>60</v>
      </c>
      <c r="H195" s="56" t="s">
        <v>851</v>
      </c>
      <c r="I195" s="5" t="s">
        <v>383</v>
      </c>
      <c r="J195" s="251" t="s">
        <v>2435</v>
      </c>
      <c r="K195" s="252" t="s">
        <v>2440</v>
      </c>
      <c r="L195" s="242" t="s">
        <v>2442</v>
      </c>
    </row>
    <row r="196" spans="1:12" ht="30">
      <c r="A196" s="44" t="str">
        <f t="shared" si="6"/>
        <v>4431</v>
      </c>
      <c r="B196" s="44" t="str">
        <f t="shared" si="7"/>
        <v>443</v>
      </c>
      <c r="C196" s="44">
        <v>4</v>
      </c>
      <c r="D196" s="44">
        <v>4</v>
      </c>
      <c r="E196" s="44">
        <v>3</v>
      </c>
      <c r="F196" s="44">
        <v>1</v>
      </c>
      <c r="G196" s="47" t="s">
        <v>60</v>
      </c>
      <c r="H196" s="57" t="s">
        <v>852</v>
      </c>
      <c r="I196" s="57" t="s">
        <v>24</v>
      </c>
      <c r="J196" s="251" t="s">
        <v>2435</v>
      </c>
      <c r="K196" s="252" t="s">
        <v>2443</v>
      </c>
      <c r="L196" s="242" t="s">
        <v>2444</v>
      </c>
    </row>
    <row r="197" spans="1:12" ht="30">
      <c r="A197" s="44" t="str">
        <f t="shared" si="6"/>
        <v>4432</v>
      </c>
      <c r="B197" s="44" t="str">
        <f t="shared" si="7"/>
        <v>443</v>
      </c>
      <c r="C197" s="44">
        <v>4</v>
      </c>
      <c r="D197" s="44">
        <v>4</v>
      </c>
      <c r="E197" s="44">
        <v>3</v>
      </c>
      <c r="F197" s="44">
        <v>2</v>
      </c>
      <c r="G197" s="47" t="s">
        <v>60</v>
      </c>
      <c r="H197" s="57" t="s">
        <v>852</v>
      </c>
      <c r="I197" s="57" t="s">
        <v>25</v>
      </c>
      <c r="J197" s="251" t="s">
        <v>2435</v>
      </c>
      <c r="K197" s="252" t="s">
        <v>2443</v>
      </c>
      <c r="L197" s="242" t="s">
        <v>2445</v>
      </c>
    </row>
    <row r="198" spans="1:12" ht="30">
      <c r="A198" s="44" t="str">
        <f t="shared" si="6"/>
        <v>4433</v>
      </c>
      <c r="B198" s="44" t="str">
        <f t="shared" si="7"/>
        <v>443</v>
      </c>
      <c r="C198" s="44">
        <v>4</v>
      </c>
      <c r="D198" s="44">
        <v>4</v>
      </c>
      <c r="E198" s="44">
        <v>3</v>
      </c>
      <c r="F198" s="44">
        <v>3</v>
      </c>
      <c r="G198" s="47" t="s">
        <v>60</v>
      </c>
      <c r="H198" s="57" t="s">
        <v>852</v>
      </c>
      <c r="I198" s="57" t="s">
        <v>26</v>
      </c>
      <c r="J198" s="251" t="s">
        <v>2435</v>
      </c>
      <c r="K198" s="252" t="s">
        <v>2443</v>
      </c>
      <c r="L198" s="242" t="s">
        <v>2446</v>
      </c>
    </row>
    <row r="199" spans="1:12" ht="30">
      <c r="A199" s="44" t="str">
        <f t="shared" si="6"/>
        <v>4434</v>
      </c>
      <c r="B199" s="44" t="str">
        <f t="shared" si="7"/>
        <v>443</v>
      </c>
      <c r="C199" s="44">
        <v>4</v>
      </c>
      <c r="D199" s="44">
        <v>4</v>
      </c>
      <c r="E199" s="44">
        <v>3</v>
      </c>
      <c r="F199" s="44">
        <v>4</v>
      </c>
      <c r="G199" s="47" t="s">
        <v>60</v>
      </c>
      <c r="H199" s="57" t="s">
        <v>852</v>
      </c>
      <c r="I199" s="57" t="s">
        <v>27</v>
      </c>
      <c r="J199" s="251" t="s">
        <v>2435</v>
      </c>
      <c r="K199" s="252" t="s">
        <v>2443</v>
      </c>
      <c r="L199" s="242" t="s">
        <v>2447</v>
      </c>
    </row>
    <row r="200" spans="1:12">
      <c r="A200" s="44" t="str">
        <f t="shared" si="6"/>
        <v>4511</v>
      </c>
      <c r="B200" s="44" t="str">
        <f t="shared" si="7"/>
        <v>451</v>
      </c>
      <c r="C200" s="44">
        <v>4</v>
      </c>
      <c r="D200" s="44">
        <v>5</v>
      </c>
      <c r="E200" s="44">
        <v>1</v>
      </c>
      <c r="F200" s="44">
        <v>1</v>
      </c>
      <c r="G200" s="48" t="s">
        <v>73</v>
      </c>
      <c r="H200" s="57" t="s">
        <v>150</v>
      </c>
      <c r="I200" s="58" t="s">
        <v>384</v>
      </c>
      <c r="J200" s="251" t="s">
        <v>2448</v>
      </c>
      <c r="K200" s="252" t="s">
        <v>2449</v>
      </c>
      <c r="L200" s="242" t="s">
        <v>2450</v>
      </c>
    </row>
    <row r="201" spans="1:12">
      <c r="A201" s="44" t="str">
        <f t="shared" si="6"/>
        <v>4512</v>
      </c>
      <c r="B201" s="44" t="str">
        <f t="shared" si="7"/>
        <v>451</v>
      </c>
      <c r="C201" s="44">
        <v>4</v>
      </c>
      <c r="D201" s="44">
        <v>5</v>
      </c>
      <c r="E201" s="44">
        <v>1</v>
      </c>
      <c r="F201" s="44">
        <v>2</v>
      </c>
      <c r="G201" s="48" t="s">
        <v>73</v>
      </c>
      <c r="H201" s="57" t="s">
        <v>150</v>
      </c>
      <c r="I201" s="58" t="s">
        <v>385</v>
      </c>
      <c r="J201" s="251" t="s">
        <v>2448</v>
      </c>
      <c r="K201" s="252" t="s">
        <v>2449</v>
      </c>
      <c r="L201" s="242" t="s">
        <v>2451</v>
      </c>
    </row>
    <row r="202" spans="1:12">
      <c r="A202" s="44" t="str">
        <f t="shared" si="6"/>
        <v>4513</v>
      </c>
      <c r="B202" s="44" t="str">
        <f t="shared" si="7"/>
        <v>451</v>
      </c>
      <c r="C202" s="44">
        <v>4</v>
      </c>
      <c r="D202" s="44">
        <v>5</v>
      </c>
      <c r="E202" s="44">
        <v>1</v>
      </c>
      <c r="F202" s="44">
        <v>3</v>
      </c>
      <c r="G202" s="48" t="s">
        <v>73</v>
      </c>
      <c r="H202" s="57" t="s">
        <v>150</v>
      </c>
      <c r="I202" s="58" t="s">
        <v>386</v>
      </c>
      <c r="J202" s="251" t="s">
        <v>2448</v>
      </c>
      <c r="K202" s="252" t="s">
        <v>2449</v>
      </c>
      <c r="L202" s="242" t="s">
        <v>2452</v>
      </c>
    </row>
    <row r="203" spans="1:12">
      <c r="A203" s="44" t="str">
        <f t="shared" si="6"/>
        <v>4521</v>
      </c>
      <c r="B203" s="44" t="str">
        <f t="shared" si="7"/>
        <v>452</v>
      </c>
      <c r="C203" s="44">
        <v>4</v>
      </c>
      <c r="D203" s="44">
        <v>5</v>
      </c>
      <c r="E203" s="44">
        <v>2</v>
      </c>
      <c r="F203" s="44">
        <v>1</v>
      </c>
      <c r="G203" s="48" t="s">
        <v>73</v>
      </c>
      <c r="H203" s="57" t="s">
        <v>151</v>
      </c>
      <c r="I203" s="58" t="s">
        <v>553</v>
      </c>
      <c r="J203" s="251" t="s">
        <v>2448</v>
      </c>
      <c r="K203" s="252" t="s">
        <v>2453</v>
      </c>
      <c r="L203" s="242" t="s">
        <v>2454</v>
      </c>
    </row>
    <row r="204" spans="1:12">
      <c r="A204" s="44" t="str">
        <f t="shared" si="6"/>
        <v>4522</v>
      </c>
      <c r="B204" s="44" t="str">
        <f t="shared" si="7"/>
        <v>452</v>
      </c>
      <c r="C204" s="44">
        <v>4</v>
      </c>
      <c r="D204" s="44">
        <v>5</v>
      </c>
      <c r="E204" s="44">
        <v>2</v>
      </c>
      <c r="F204" s="44">
        <v>2</v>
      </c>
      <c r="G204" s="48" t="s">
        <v>73</v>
      </c>
      <c r="H204" s="57" t="s">
        <v>151</v>
      </c>
      <c r="I204" s="58" t="s">
        <v>387</v>
      </c>
      <c r="J204" s="251" t="s">
        <v>2448</v>
      </c>
      <c r="K204" s="252" t="s">
        <v>2453</v>
      </c>
      <c r="L204" s="242" t="s">
        <v>2455</v>
      </c>
    </row>
    <row r="205" spans="1:12">
      <c r="A205" s="44" t="str">
        <f t="shared" si="6"/>
        <v>4523</v>
      </c>
      <c r="B205" s="44" t="str">
        <f t="shared" si="7"/>
        <v>452</v>
      </c>
      <c r="C205" s="44">
        <v>4</v>
      </c>
      <c r="D205" s="44">
        <v>5</v>
      </c>
      <c r="E205" s="44">
        <v>2</v>
      </c>
      <c r="F205" s="44">
        <v>3</v>
      </c>
      <c r="G205" s="48" t="s">
        <v>73</v>
      </c>
      <c r="H205" s="57" t="s">
        <v>151</v>
      </c>
      <c r="I205" s="58" t="s">
        <v>388</v>
      </c>
      <c r="J205" s="251" t="s">
        <v>2448</v>
      </c>
      <c r="K205" s="252" t="s">
        <v>2453</v>
      </c>
      <c r="L205" s="242" t="s">
        <v>2456</v>
      </c>
    </row>
    <row r="206" spans="1:12">
      <c r="A206" s="44" t="str">
        <f t="shared" si="6"/>
        <v>4531</v>
      </c>
      <c r="B206" s="44" t="str">
        <f t="shared" si="7"/>
        <v>453</v>
      </c>
      <c r="C206" s="44">
        <v>4</v>
      </c>
      <c r="D206" s="44">
        <v>5</v>
      </c>
      <c r="E206" s="44">
        <v>3</v>
      </c>
      <c r="F206" s="44">
        <v>1</v>
      </c>
      <c r="G206" s="48" t="s">
        <v>73</v>
      </c>
      <c r="H206" s="57" t="s">
        <v>10</v>
      </c>
      <c r="I206" s="57" t="s">
        <v>240</v>
      </c>
      <c r="J206" s="251" t="s">
        <v>2448</v>
      </c>
      <c r="K206" s="252" t="s">
        <v>2457</v>
      </c>
      <c r="L206" s="242" t="s">
        <v>2458</v>
      </c>
    </row>
    <row r="207" spans="1:12">
      <c r="A207" s="44" t="str">
        <f t="shared" si="6"/>
        <v>4532</v>
      </c>
      <c r="B207" s="44" t="str">
        <f t="shared" si="7"/>
        <v>453</v>
      </c>
      <c r="C207" s="44">
        <v>4</v>
      </c>
      <c r="D207" s="44">
        <v>5</v>
      </c>
      <c r="E207" s="44">
        <v>3</v>
      </c>
      <c r="F207" s="44">
        <v>2</v>
      </c>
      <c r="G207" s="48" t="s">
        <v>73</v>
      </c>
      <c r="H207" s="57" t="s">
        <v>10</v>
      </c>
      <c r="I207" s="57" t="s">
        <v>241</v>
      </c>
      <c r="J207" s="251" t="s">
        <v>2448</v>
      </c>
      <c r="K207" s="252" t="s">
        <v>2457</v>
      </c>
      <c r="L207" s="242" t="s">
        <v>2459</v>
      </c>
    </row>
    <row r="208" spans="1:12">
      <c r="A208" s="44" t="str">
        <f t="shared" si="6"/>
        <v>4533</v>
      </c>
      <c r="B208" s="44" t="str">
        <f t="shared" si="7"/>
        <v>453</v>
      </c>
      <c r="C208" s="44">
        <v>4</v>
      </c>
      <c r="D208" s="44">
        <v>5</v>
      </c>
      <c r="E208" s="44">
        <v>3</v>
      </c>
      <c r="F208" s="44">
        <v>3</v>
      </c>
      <c r="G208" s="48" t="s">
        <v>73</v>
      </c>
      <c r="H208" s="57" t="s">
        <v>10</v>
      </c>
      <c r="I208" s="57" t="s">
        <v>242</v>
      </c>
      <c r="J208" s="251" t="s">
        <v>2448</v>
      </c>
      <c r="K208" s="252" t="s">
        <v>2457</v>
      </c>
      <c r="L208" s="242" t="s">
        <v>2460</v>
      </c>
    </row>
    <row r="209" spans="1:12">
      <c r="A209" s="44" t="str">
        <f t="shared" si="6"/>
        <v>4534</v>
      </c>
      <c r="B209" s="44" t="str">
        <f t="shared" si="7"/>
        <v>453</v>
      </c>
      <c r="C209" s="44">
        <v>4</v>
      </c>
      <c r="D209" s="44">
        <v>5</v>
      </c>
      <c r="E209" s="44">
        <v>3</v>
      </c>
      <c r="F209" s="44">
        <v>4</v>
      </c>
      <c r="G209" s="48" t="s">
        <v>73</v>
      </c>
      <c r="H209" s="57" t="s">
        <v>10</v>
      </c>
      <c r="I209" s="57" t="s">
        <v>243</v>
      </c>
      <c r="J209" s="251" t="s">
        <v>2448</v>
      </c>
      <c r="K209" s="252" t="s">
        <v>2457</v>
      </c>
      <c r="L209" s="242" t="s">
        <v>2461</v>
      </c>
    </row>
    <row r="210" spans="1:12">
      <c r="A210" s="44" t="str">
        <f t="shared" si="6"/>
        <v>4535</v>
      </c>
      <c r="B210" s="44" t="str">
        <f t="shared" si="7"/>
        <v>453</v>
      </c>
      <c r="C210" s="44">
        <v>4</v>
      </c>
      <c r="D210" s="44">
        <v>5</v>
      </c>
      <c r="E210" s="44">
        <v>3</v>
      </c>
      <c r="F210" s="44">
        <v>5</v>
      </c>
      <c r="G210" s="48" t="s">
        <v>73</v>
      </c>
      <c r="H210" s="57" t="s">
        <v>10</v>
      </c>
      <c r="I210" s="57" t="s">
        <v>244</v>
      </c>
      <c r="J210" s="251" t="s">
        <v>2448</v>
      </c>
      <c r="K210" s="252" t="s">
        <v>2457</v>
      </c>
      <c r="L210" s="242" t="s">
        <v>2462</v>
      </c>
    </row>
    <row r="211" spans="1:12">
      <c r="A211" s="44" t="str">
        <f t="shared" si="6"/>
        <v>4536</v>
      </c>
      <c r="B211" s="44" t="str">
        <f t="shared" si="7"/>
        <v>453</v>
      </c>
      <c r="C211" s="44">
        <v>4</v>
      </c>
      <c r="D211" s="44">
        <v>5</v>
      </c>
      <c r="E211" s="44">
        <v>3</v>
      </c>
      <c r="F211" s="44">
        <v>6</v>
      </c>
      <c r="G211" s="48" t="s">
        <v>73</v>
      </c>
      <c r="H211" s="57" t="s">
        <v>10</v>
      </c>
      <c r="I211" s="57" t="s">
        <v>245</v>
      </c>
      <c r="J211" s="251" t="s">
        <v>2448</v>
      </c>
      <c r="K211" s="252" t="s">
        <v>2457</v>
      </c>
      <c r="L211" s="242" t="s">
        <v>2463</v>
      </c>
    </row>
    <row r="212" spans="1:12" ht="30">
      <c r="A212" s="44" t="str">
        <f t="shared" si="6"/>
        <v>4537</v>
      </c>
      <c r="B212" s="44" t="str">
        <f t="shared" si="7"/>
        <v>453</v>
      </c>
      <c r="C212" s="44">
        <v>4</v>
      </c>
      <c r="D212" s="44">
        <v>5</v>
      </c>
      <c r="E212" s="44">
        <v>3</v>
      </c>
      <c r="F212" s="44">
        <v>7</v>
      </c>
      <c r="G212" s="48" t="s">
        <v>73</v>
      </c>
      <c r="H212" s="57" t="s">
        <v>10</v>
      </c>
      <c r="I212" s="57" t="s">
        <v>246</v>
      </c>
      <c r="J212" s="251" t="s">
        <v>2448</v>
      </c>
      <c r="K212" s="252" t="s">
        <v>2457</v>
      </c>
      <c r="L212" s="242" t="s">
        <v>2464</v>
      </c>
    </row>
    <row r="213" spans="1:12" ht="30">
      <c r="A213" s="44" t="str">
        <f t="shared" si="6"/>
        <v>4611</v>
      </c>
      <c r="B213" s="44" t="str">
        <f t="shared" si="7"/>
        <v>461</v>
      </c>
      <c r="C213" s="44">
        <v>4</v>
      </c>
      <c r="D213" s="44">
        <v>6</v>
      </c>
      <c r="E213" s="44">
        <v>1</v>
      </c>
      <c r="F213" s="44">
        <v>1</v>
      </c>
      <c r="G213" s="48" t="s">
        <v>152</v>
      </c>
      <c r="H213" s="57" t="s">
        <v>153</v>
      </c>
      <c r="I213" s="58" t="s">
        <v>389</v>
      </c>
      <c r="J213" s="251" t="s">
        <v>2465</v>
      </c>
      <c r="K213" s="252" t="s">
        <v>2466</v>
      </c>
      <c r="L213" s="242" t="s">
        <v>2467</v>
      </c>
    </row>
    <row r="214" spans="1:12" ht="30">
      <c r="A214" s="44" t="str">
        <f t="shared" si="6"/>
        <v>4612</v>
      </c>
      <c r="B214" s="44" t="str">
        <f t="shared" si="7"/>
        <v>461</v>
      </c>
      <c r="C214" s="44">
        <v>4</v>
      </c>
      <c r="D214" s="44">
        <v>6</v>
      </c>
      <c r="E214" s="44">
        <v>1</v>
      </c>
      <c r="F214" s="44">
        <v>2</v>
      </c>
      <c r="G214" s="48" t="s">
        <v>152</v>
      </c>
      <c r="H214" s="57" t="s">
        <v>153</v>
      </c>
      <c r="I214" s="58" t="s">
        <v>390</v>
      </c>
      <c r="J214" s="251" t="s">
        <v>2465</v>
      </c>
      <c r="K214" s="252" t="s">
        <v>2466</v>
      </c>
      <c r="L214" s="242" t="s">
        <v>2468</v>
      </c>
    </row>
    <row r="215" spans="1:12" ht="30">
      <c r="A215" s="44" t="str">
        <f t="shared" si="6"/>
        <v>4621</v>
      </c>
      <c r="B215" s="44" t="str">
        <f t="shared" si="7"/>
        <v>462</v>
      </c>
      <c r="C215" s="44">
        <v>4</v>
      </c>
      <c r="D215" s="44">
        <v>6</v>
      </c>
      <c r="E215" s="44">
        <v>2</v>
      </c>
      <c r="F215" s="44">
        <v>1</v>
      </c>
      <c r="G215" s="48" t="s">
        <v>152</v>
      </c>
      <c r="H215" s="57" t="s">
        <v>155</v>
      </c>
      <c r="I215" s="58" t="s">
        <v>391</v>
      </c>
      <c r="J215" s="251" t="s">
        <v>2465</v>
      </c>
      <c r="K215" s="252" t="s">
        <v>2469</v>
      </c>
      <c r="L215" s="242" t="s">
        <v>2470</v>
      </c>
    </row>
    <row r="216" spans="1:12" ht="30">
      <c r="A216" s="44" t="str">
        <f t="shared" si="6"/>
        <v>4622</v>
      </c>
      <c r="B216" s="44" t="str">
        <f t="shared" si="7"/>
        <v>462</v>
      </c>
      <c r="C216" s="44">
        <v>4</v>
      </c>
      <c r="D216" s="44">
        <v>6</v>
      </c>
      <c r="E216" s="44">
        <v>2</v>
      </c>
      <c r="F216" s="44">
        <v>2</v>
      </c>
      <c r="G216" s="48" t="s">
        <v>152</v>
      </c>
      <c r="H216" s="57" t="s">
        <v>155</v>
      </c>
      <c r="I216" s="58" t="s">
        <v>392</v>
      </c>
      <c r="J216" s="251" t="s">
        <v>2465</v>
      </c>
      <c r="K216" s="252" t="s">
        <v>2469</v>
      </c>
      <c r="L216" s="242" t="s">
        <v>2471</v>
      </c>
    </row>
    <row r="217" spans="1:12" ht="30">
      <c r="A217" s="44" t="str">
        <f t="shared" si="6"/>
        <v>4631</v>
      </c>
      <c r="B217" s="44" t="str">
        <f t="shared" si="7"/>
        <v>463</v>
      </c>
      <c r="C217" s="44">
        <v>4</v>
      </c>
      <c r="D217" s="44">
        <v>6</v>
      </c>
      <c r="E217" s="44">
        <v>3</v>
      </c>
      <c r="F217" s="44">
        <v>1</v>
      </c>
      <c r="G217" s="48" t="s">
        <v>152</v>
      </c>
      <c r="H217" s="57" t="s">
        <v>154</v>
      </c>
      <c r="I217" s="58" t="s">
        <v>853</v>
      </c>
      <c r="J217" s="251" t="s">
        <v>2465</v>
      </c>
      <c r="K217" s="252" t="s">
        <v>2472</v>
      </c>
      <c r="L217" s="242" t="s">
        <v>2473</v>
      </c>
    </row>
    <row r="218" spans="1:12" ht="30">
      <c r="A218" s="44" t="str">
        <f t="shared" si="6"/>
        <v>5111</v>
      </c>
      <c r="B218" s="44" t="str">
        <f t="shared" si="7"/>
        <v>511</v>
      </c>
      <c r="C218" s="44">
        <v>5</v>
      </c>
      <c r="D218" s="44">
        <v>1</v>
      </c>
      <c r="E218" s="44">
        <v>1</v>
      </c>
      <c r="F218" s="44">
        <v>1</v>
      </c>
      <c r="G218" s="48" t="s">
        <v>54</v>
      </c>
      <c r="H218" s="57" t="s">
        <v>55</v>
      </c>
      <c r="I218" s="57" t="s">
        <v>247</v>
      </c>
      <c r="J218" s="251" t="s">
        <v>2474</v>
      </c>
      <c r="K218" s="252" t="s">
        <v>2475</v>
      </c>
      <c r="L218" s="242" t="s">
        <v>2476</v>
      </c>
    </row>
    <row r="219" spans="1:12" ht="30">
      <c r="A219" s="44" t="str">
        <f t="shared" si="6"/>
        <v>5112</v>
      </c>
      <c r="B219" s="44" t="str">
        <f t="shared" si="7"/>
        <v>511</v>
      </c>
      <c r="C219" s="44">
        <v>5</v>
      </c>
      <c r="D219" s="44">
        <v>1</v>
      </c>
      <c r="E219" s="44">
        <v>1</v>
      </c>
      <c r="F219" s="44">
        <v>2</v>
      </c>
      <c r="G219" s="48" t="s">
        <v>54</v>
      </c>
      <c r="H219" s="57" t="s">
        <v>55</v>
      </c>
      <c r="I219" s="57" t="s">
        <v>248</v>
      </c>
      <c r="J219" s="251" t="s">
        <v>2474</v>
      </c>
      <c r="K219" s="252" t="s">
        <v>2475</v>
      </c>
      <c r="L219" s="242" t="s">
        <v>2477</v>
      </c>
    </row>
    <row r="220" spans="1:12" ht="30">
      <c r="A220" s="44" t="str">
        <f t="shared" si="6"/>
        <v>5113</v>
      </c>
      <c r="B220" s="44" t="str">
        <f t="shared" si="7"/>
        <v>511</v>
      </c>
      <c r="C220" s="44">
        <v>5</v>
      </c>
      <c r="D220" s="44">
        <v>1</v>
      </c>
      <c r="E220" s="44">
        <v>1</v>
      </c>
      <c r="F220" s="44">
        <v>3</v>
      </c>
      <c r="G220" s="48" t="s">
        <v>54</v>
      </c>
      <c r="H220" s="57" t="s">
        <v>55</v>
      </c>
      <c r="I220" s="57" t="s">
        <v>249</v>
      </c>
      <c r="J220" s="251" t="s">
        <v>2474</v>
      </c>
      <c r="K220" s="252" t="s">
        <v>2475</v>
      </c>
      <c r="L220" s="242" t="s">
        <v>2478</v>
      </c>
    </row>
    <row r="221" spans="1:12" ht="30">
      <c r="A221" s="44" t="str">
        <f t="shared" si="6"/>
        <v>5114</v>
      </c>
      <c r="B221" s="44" t="str">
        <f t="shared" si="7"/>
        <v>511</v>
      </c>
      <c r="C221" s="44">
        <v>5</v>
      </c>
      <c r="D221" s="44">
        <v>1</v>
      </c>
      <c r="E221" s="44">
        <v>1</v>
      </c>
      <c r="F221" s="44">
        <v>4</v>
      </c>
      <c r="G221" s="48" t="s">
        <v>54</v>
      </c>
      <c r="H221" s="57" t="s">
        <v>55</v>
      </c>
      <c r="I221" s="57" t="s">
        <v>250</v>
      </c>
      <c r="J221" s="251" t="s">
        <v>2474</v>
      </c>
      <c r="K221" s="252" t="s">
        <v>2475</v>
      </c>
      <c r="L221" s="242" t="s">
        <v>2479</v>
      </c>
    </row>
    <row r="222" spans="1:12" ht="30">
      <c r="A222" s="44" t="str">
        <f t="shared" si="6"/>
        <v>5121</v>
      </c>
      <c r="B222" s="44" t="str">
        <f t="shared" si="7"/>
        <v>512</v>
      </c>
      <c r="C222" s="44">
        <v>5</v>
      </c>
      <c r="D222" s="44">
        <v>1</v>
      </c>
      <c r="E222" s="44">
        <v>2</v>
      </c>
      <c r="F222" s="44">
        <v>1</v>
      </c>
      <c r="G222" s="48" t="s">
        <v>54</v>
      </c>
      <c r="H222" s="57" t="s">
        <v>156</v>
      </c>
      <c r="I222" s="58" t="s">
        <v>554</v>
      </c>
      <c r="J222" s="251" t="s">
        <v>2474</v>
      </c>
      <c r="K222" s="252" t="s">
        <v>2480</v>
      </c>
      <c r="L222" s="254" t="s">
        <v>2481</v>
      </c>
    </row>
    <row r="223" spans="1:12" ht="30">
      <c r="A223" s="44" t="str">
        <f t="shared" si="6"/>
        <v>5122</v>
      </c>
      <c r="B223" s="44" t="str">
        <f t="shared" si="7"/>
        <v>512</v>
      </c>
      <c r="C223" s="44">
        <v>5</v>
      </c>
      <c r="D223" s="44">
        <v>1</v>
      </c>
      <c r="E223" s="44">
        <v>2</v>
      </c>
      <c r="F223" s="44">
        <v>2</v>
      </c>
      <c r="G223" s="48" t="s">
        <v>54</v>
      </c>
      <c r="H223" s="57" t="s">
        <v>156</v>
      </c>
      <c r="I223" s="58" t="s">
        <v>395</v>
      </c>
      <c r="J223" s="251" t="s">
        <v>2474</v>
      </c>
      <c r="K223" s="252" t="s">
        <v>2480</v>
      </c>
      <c r="L223" s="242" t="s">
        <v>2482</v>
      </c>
    </row>
    <row r="224" spans="1:12" ht="30">
      <c r="A224" s="44" t="str">
        <f t="shared" si="6"/>
        <v>5123</v>
      </c>
      <c r="B224" s="44" t="str">
        <f t="shared" si="7"/>
        <v>512</v>
      </c>
      <c r="C224" s="44">
        <v>5</v>
      </c>
      <c r="D224" s="44">
        <v>1</v>
      </c>
      <c r="E224" s="44">
        <v>2</v>
      </c>
      <c r="F224" s="44">
        <v>3</v>
      </c>
      <c r="G224" s="48" t="s">
        <v>54</v>
      </c>
      <c r="H224" s="57" t="s">
        <v>156</v>
      </c>
      <c r="I224" s="58" t="s">
        <v>396</v>
      </c>
      <c r="J224" s="251" t="s">
        <v>2474</v>
      </c>
      <c r="K224" s="252" t="s">
        <v>2480</v>
      </c>
      <c r="L224" s="242" t="s">
        <v>2483</v>
      </c>
    </row>
    <row r="225" spans="1:12" ht="30">
      <c r="A225" s="44" t="str">
        <f t="shared" si="6"/>
        <v>5124</v>
      </c>
      <c r="B225" s="44" t="str">
        <f t="shared" si="7"/>
        <v>512</v>
      </c>
      <c r="C225" s="44">
        <v>5</v>
      </c>
      <c r="D225" s="44">
        <v>1</v>
      </c>
      <c r="E225" s="44">
        <v>2</v>
      </c>
      <c r="F225" s="44">
        <v>4</v>
      </c>
      <c r="G225" s="48" t="s">
        <v>54</v>
      </c>
      <c r="H225" s="57" t="s">
        <v>156</v>
      </c>
      <c r="I225" s="58" t="s">
        <v>397</v>
      </c>
      <c r="J225" s="251" t="s">
        <v>2474</v>
      </c>
      <c r="K225" s="252" t="s">
        <v>2480</v>
      </c>
      <c r="L225" s="242" t="s">
        <v>2484</v>
      </c>
    </row>
    <row r="226" spans="1:12" ht="30">
      <c r="A226" s="44" t="str">
        <f t="shared" si="6"/>
        <v>5125</v>
      </c>
      <c r="B226" s="44" t="str">
        <f t="shared" si="7"/>
        <v>512</v>
      </c>
      <c r="C226" s="44">
        <v>5</v>
      </c>
      <c r="D226" s="44">
        <v>1</v>
      </c>
      <c r="E226" s="44">
        <v>2</v>
      </c>
      <c r="F226" s="44">
        <v>5</v>
      </c>
      <c r="G226" s="48" t="s">
        <v>54</v>
      </c>
      <c r="H226" s="57" t="s">
        <v>156</v>
      </c>
      <c r="I226" s="58" t="s">
        <v>398</v>
      </c>
      <c r="J226" s="251" t="s">
        <v>2474</v>
      </c>
      <c r="K226" s="252" t="s">
        <v>2480</v>
      </c>
      <c r="L226" s="242" t="s">
        <v>2485</v>
      </c>
    </row>
    <row r="227" spans="1:12">
      <c r="A227" s="44" t="str">
        <f t="shared" si="6"/>
        <v>5131</v>
      </c>
      <c r="B227" s="44" t="str">
        <f t="shared" si="7"/>
        <v>513</v>
      </c>
      <c r="C227" s="44">
        <v>5</v>
      </c>
      <c r="D227" s="44">
        <v>1</v>
      </c>
      <c r="E227" s="44">
        <v>3</v>
      </c>
      <c r="F227" s="44">
        <v>1</v>
      </c>
      <c r="G227" s="48" t="s">
        <v>54</v>
      </c>
      <c r="H227" s="57" t="s">
        <v>157</v>
      </c>
      <c r="I227" s="58" t="s">
        <v>393</v>
      </c>
      <c r="J227" s="251" t="s">
        <v>2474</v>
      </c>
      <c r="K227" s="252" t="s">
        <v>2486</v>
      </c>
      <c r="L227" s="242" t="s">
        <v>2487</v>
      </c>
    </row>
    <row r="228" spans="1:12" ht="30">
      <c r="A228" s="44" t="str">
        <f t="shared" si="6"/>
        <v>5132</v>
      </c>
      <c r="B228" s="44" t="str">
        <f t="shared" si="7"/>
        <v>513</v>
      </c>
      <c r="C228" s="44">
        <v>5</v>
      </c>
      <c r="D228" s="44">
        <v>1</v>
      </c>
      <c r="E228" s="44">
        <v>3</v>
      </c>
      <c r="F228" s="44">
        <v>2</v>
      </c>
      <c r="G228" s="48" t="s">
        <v>54</v>
      </c>
      <c r="H228" s="57" t="s">
        <v>157</v>
      </c>
      <c r="I228" s="58" t="s">
        <v>394</v>
      </c>
      <c r="J228" s="251" t="s">
        <v>2474</v>
      </c>
      <c r="K228" s="252" t="s">
        <v>2486</v>
      </c>
      <c r="L228" s="242" t="s">
        <v>2488</v>
      </c>
    </row>
    <row r="229" spans="1:12" ht="15.75">
      <c r="A229" s="44" t="str">
        <f t="shared" si="6"/>
        <v>5211</v>
      </c>
      <c r="B229" s="44" t="str">
        <f t="shared" si="7"/>
        <v>521</v>
      </c>
      <c r="C229" s="44">
        <v>5</v>
      </c>
      <c r="D229" s="44">
        <v>2</v>
      </c>
      <c r="E229" s="44">
        <v>1</v>
      </c>
      <c r="F229" s="44">
        <v>1</v>
      </c>
      <c r="G229" s="47" t="s">
        <v>67</v>
      </c>
      <c r="H229" s="57" t="s">
        <v>46</v>
      </c>
      <c r="I229" s="57" t="s">
        <v>251</v>
      </c>
      <c r="J229" s="251" t="s">
        <v>2489</v>
      </c>
      <c r="K229" s="252" t="s">
        <v>2490</v>
      </c>
      <c r="L229" s="242" t="s">
        <v>2491</v>
      </c>
    </row>
    <row r="230" spans="1:12" ht="15.75">
      <c r="A230" s="44" t="str">
        <f t="shared" si="6"/>
        <v>5212</v>
      </c>
      <c r="B230" s="44" t="str">
        <f t="shared" si="7"/>
        <v>521</v>
      </c>
      <c r="C230" s="44">
        <v>5</v>
      </c>
      <c r="D230" s="44">
        <v>2</v>
      </c>
      <c r="E230" s="44">
        <v>1</v>
      </c>
      <c r="F230" s="44">
        <v>2</v>
      </c>
      <c r="G230" s="47" t="s">
        <v>67</v>
      </c>
      <c r="H230" s="57" t="s">
        <v>46</v>
      </c>
      <c r="I230" s="57" t="s">
        <v>252</v>
      </c>
      <c r="J230" s="251" t="s">
        <v>2489</v>
      </c>
      <c r="K230" s="252" t="s">
        <v>2490</v>
      </c>
      <c r="L230" s="242" t="s">
        <v>2492</v>
      </c>
    </row>
    <row r="231" spans="1:12" ht="15.75">
      <c r="A231" s="44" t="str">
        <f t="shared" si="6"/>
        <v>5213</v>
      </c>
      <c r="B231" s="44" t="str">
        <f t="shared" si="7"/>
        <v>521</v>
      </c>
      <c r="C231" s="44">
        <v>5</v>
      </c>
      <c r="D231" s="44">
        <v>2</v>
      </c>
      <c r="E231" s="44">
        <v>1</v>
      </c>
      <c r="F231" s="44">
        <v>3</v>
      </c>
      <c r="G231" s="47" t="s">
        <v>67</v>
      </c>
      <c r="H231" s="57" t="s">
        <v>46</v>
      </c>
      <c r="I231" s="57" t="s">
        <v>253</v>
      </c>
      <c r="J231" s="251" t="s">
        <v>2489</v>
      </c>
      <c r="K231" s="252" t="s">
        <v>2490</v>
      </c>
      <c r="L231" s="242" t="s">
        <v>2493</v>
      </c>
    </row>
    <row r="232" spans="1:12" ht="30">
      <c r="A232" s="44" t="str">
        <f t="shared" si="6"/>
        <v>5221</v>
      </c>
      <c r="B232" s="44" t="str">
        <f t="shared" si="7"/>
        <v>522</v>
      </c>
      <c r="C232" s="44">
        <v>5</v>
      </c>
      <c r="D232" s="44">
        <v>2</v>
      </c>
      <c r="E232" s="44">
        <v>2</v>
      </c>
      <c r="F232" s="44">
        <v>1</v>
      </c>
      <c r="G232" s="47" t="s">
        <v>67</v>
      </c>
      <c r="H232" s="57" t="s">
        <v>158</v>
      </c>
      <c r="I232" s="58" t="s">
        <v>399</v>
      </c>
      <c r="J232" s="251" t="s">
        <v>2489</v>
      </c>
      <c r="K232" s="252" t="s">
        <v>2494</v>
      </c>
      <c r="L232" s="242" t="s">
        <v>2495</v>
      </c>
    </row>
    <row r="233" spans="1:12" ht="30">
      <c r="A233" s="44" t="str">
        <f t="shared" si="6"/>
        <v>5222</v>
      </c>
      <c r="B233" s="44" t="str">
        <f t="shared" si="7"/>
        <v>522</v>
      </c>
      <c r="C233" s="44">
        <v>5</v>
      </c>
      <c r="D233" s="44">
        <v>2</v>
      </c>
      <c r="E233" s="44">
        <v>2</v>
      </c>
      <c r="F233" s="44">
        <v>2</v>
      </c>
      <c r="G233" s="47" t="s">
        <v>67</v>
      </c>
      <c r="H233" s="57" t="s">
        <v>158</v>
      </c>
      <c r="I233" s="58" t="s">
        <v>400</v>
      </c>
      <c r="J233" s="251" t="s">
        <v>2489</v>
      </c>
      <c r="K233" s="252" t="s">
        <v>2494</v>
      </c>
      <c r="L233" s="242" t="s">
        <v>2496</v>
      </c>
    </row>
    <row r="234" spans="1:12" ht="30">
      <c r="A234" s="44" t="str">
        <f t="shared" si="6"/>
        <v>5223</v>
      </c>
      <c r="B234" s="44" t="str">
        <f t="shared" si="7"/>
        <v>522</v>
      </c>
      <c r="C234" s="44">
        <v>5</v>
      </c>
      <c r="D234" s="44">
        <v>2</v>
      </c>
      <c r="E234" s="44">
        <v>2</v>
      </c>
      <c r="F234" s="44">
        <v>3</v>
      </c>
      <c r="G234" s="47" t="s">
        <v>67</v>
      </c>
      <c r="H234" s="57" t="s">
        <v>158</v>
      </c>
      <c r="I234" s="58" t="s">
        <v>401</v>
      </c>
      <c r="J234" s="251" t="s">
        <v>2489</v>
      </c>
      <c r="K234" s="252" t="s">
        <v>2494</v>
      </c>
      <c r="L234" s="242" t="s">
        <v>2497</v>
      </c>
    </row>
    <row r="235" spans="1:12" ht="30">
      <c r="A235" s="44" t="str">
        <f t="shared" si="6"/>
        <v>5224</v>
      </c>
      <c r="B235" s="44" t="str">
        <f t="shared" si="7"/>
        <v>522</v>
      </c>
      <c r="C235" s="44">
        <v>5</v>
      </c>
      <c r="D235" s="44">
        <v>2</v>
      </c>
      <c r="E235" s="44">
        <v>2</v>
      </c>
      <c r="F235" s="44">
        <v>4</v>
      </c>
      <c r="G235" s="47" t="s">
        <v>67</v>
      </c>
      <c r="H235" s="57" t="s">
        <v>158</v>
      </c>
      <c r="I235" s="58" t="s">
        <v>402</v>
      </c>
      <c r="J235" s="251" t="s">
        <v>2489</v>
      </c>
      <c r="K235" s="252" t="s">
        <v>2494</v>
      </c>
      <c r="L235" s="242" t="s">
        <v>2498</v>
      </c>
    </row>
    <row r="236" spans="1:12" ht="30">
      <c r="A236" s="44" t="str">
        <f t="shared" si="6"/>
        <v>5225</v>
      </c>
      <c r="B236" s="44" t="str">
        <f t="shared" si="7"/>
        <v>522</v>
      </c>
      <c r="C236" s="44">
        <v>5</v>
      </c>
      <c r="D236" s="44">
        <v>2</v>
      </c>
      <c r="E236" s="44">
        <v>2</v>
      </c>
      <c r="F236" s="44">
        <v>5</v>
      </c>
      <c r="G236" s="47" t="s">
        <v>67</v>
      </c>
      <c r="H236" s="57" t="s">
        <v>158</v>
      </c>
      <c r="I236" s="58" t="s">
        <v>555</v>
      </c>
      <c r="J236" s="251" t="s">
        <v>2489</v>
      </c>
      <c r="K236" s="252" t="s">
        <v>2494</v>
      </c>
      <c r="L236" s="242" t="s">
        <v>2499</v>
      </c>
    </row>
    <row r="237" spans="1:12" ht="30">
      <c r="A237" s="44" t="str">
        <f t="shared" si="6"/>
        <v>5226</v>
      </c>
      <c r="B237" s="44" t="str">
        <f t="shared" si="7"/>
        <v>522</v>
      </c>
      <c r="C237" s="44">
        <v>5</v>
      </c>
      <c r="D237" s="44">
        <v>2</v>
      </c>
      <c r="E237" s="44">
        <v>2</v>
      </c>
      <c r="F237" s="44">
        <v>6</v>
      </c>
      <c r="G237" s="47" t="s">
        <v>67</v>
      </c>
      <c r="H237" s="57" t="s">
        <v>158</v>
      </c>
      <c r="I237" s="58" t="s">
        <v>403</v>
      </c>
      <c r="J237" s="251" t="s">
        <v>2489</v>
      </c>
      <c r="K237" s="252" t="s">
        <v>2494</v>
      </c>
      <c r="L237" s="242" t="s">
        <v>2500</v>
      </c>
    </row>
    <row r="238" spans="1:12" ht="30">
      <c r="A238" s="44" t="str">
        <f t="shared" si="6"/>
        <v>5227</v>
      </c>
      <c r="B238" s="44" t="str">
        <f t="shared" si="7"/>
        <v>522</v>
      </c>
      <c r="C238" s="44">
        <v>5</v>
      </c>
      <c r="D238" s="44">
        <v>2</v>
      </c>
      <c r="E238" s="44">
        <v>2</v>
      </c>
      <c r="F238" s="44">
        <v>7</v>
      </c>
      <c r="G238" s="47" t="s">
        <v>67</v>
      </c>
      <c r="H238" s="57" t="s">
        <v>158</v>
      </c>
      <c r="I238" s="58" t="s">
        <v>404</v>
      </c>
      <c r="J238" s="251" t="s">
        <v>2489</v>
      </c>
      <c r="K238" s="252" t="s">
        <v>2494</v>
      </c>
      <c r="L238" s="242" t="s">
        <v>2501</v>
      </c>
    </row>
    <row r="239" spans="1:12" ht="30">
      <c r="A239" s="44" t="str">
        <f t="shared" si="6"/>
        <v>5231</v>
      </c>
      <c r="B239" s="44" t="str">
        <f t="shared" si="7"/>
        <v>523</v>
      </c>
      <c r="C239" s="44">
        <v>5</v>
      </c>
      <c r="D239" s="44">
        <v>2</v>
      </c>
      <c r="E239" s="44">
        <v>3</v>
      </c>
      <c r="F239" s="44">
        <v>1</v>
      </c>
      <c r="G239" s="47" t="s">
        <v>67</v>
      </c>
      <c r="H239" s="57" t="s">
        <v>159</v>
      </c>
      <c r="I239" s="5" t="s">
        <v>556</v>
      </c>
      <c r="J239" s="251" t="s">
        <v>2489</v>
      </c>
      <c r="K239" s="252" t="s">
        <v>2502</v>
      </c>
      <c r="L239" s="242" t="s">
        <v>2503</v>
      </c>
    </row>
    <row r="240" spans="1:12" ht="30">
      <c r="A240" s="44" t="str">
        <f t="shared" si="6"/>
        <v>5232</v>
      </c>
      <c r="B240" s="44" t="str">
        <f t="shared" si="7"/>
        <v>523</v>
      </c>
      <c r="C240" s="44">
        <v>5</v>
      </c>
      <c r="D240" s="44">
        <v>2</v>
      </c>
      <c r="E240" s="44">
        <v>3</v>
      </c>
      <c r="F240" s="44">
        <v>2</v>
      </c>
      <c r="G240" s="47" t="s">
        <v>67</v>
      </c>
      <c r="H240" s="57" t="s">
        <v>159</v>
      </c>
      <c r="I240" s="5" t="s">
        <v>405</v>
      </c>
      <c r="J240" s="251" t="s">
        <v>2489</v>
      </c>
      <c r="K240" s="252" t="s">
        <v>2502</v>
      </c>
      <c r="L240" s="242" t="s">
        <v>2504</v>
      </c>
    </row>
    <row r="241" spans="1:12" ht="30">
      <c r="A241" s="44" t="str">
        <f t="shared" si="6"/>
        <v>5233</v>
      </c>
      <c r="B241" s="44" t="str">
        <f t="shared" si="7"/>
        <v>523</v>
      </c>
      <c r="C241" s="44">
        <v>5</v>
      </c>
      <c r="D241" s="44">
        <v>2</v>
      </c>
      <c r="E241" s="44">
        <v>3</v>
      </c>
      <c r="F241" s="44">
        <v>3</v>
      </c>
      <c r="G241" s="47" t="s">
        <v>67</v>
      </c>
      <c r="H241" s="57" t="s">
        <v>159</v>
      </c>
      <c r="I241" s="5" t="s">
        <v>406</v>
      </c>
      <c r="J241" s="251" t="s">
        <v>2489</v>
      </c>
      <c r="K241" s="252" t="s">
        <v>2502</v>
      </c>
      <c r="L241" s="242" t="s">
        <v>2505</v>
      </c>
    </row>
    <row r="242" spans="1:12" ht="30">
      <c r="A242" s="44" t="str">
        <f t="shared" si="6"/>
        <v>5234</v>
      </c>
      <c r="B242" s="44" t="str">
        <f t="shared" si="7"/>
        <v>523</v>
      </c>
      <c r="C242" s="44">
        <v>5</v>
      </c>
      <c r="D242" s="44">
        <v>2</v>
      </c>
      <c r="E242" s="44">
        <v>3</v>
      </c>
      <c r="F242" s="44">
        <v>4</v>
      </c>
      <c r="G242" s="47" t="s">
        <v>67</v>
      </c>
      <c r="H242" s="57" t="s">
        <v>159</v>
      </c>
      <c r="I242" s="5" t="s">
        <v>407</v>
      </c>
      <c r="J242" s="251" t="s">
        <v>2489</v>
      </c>
      <c r="K242" s="252" t="s">
        <v>2502</v>
      </c>
      <c r="L242" s="242" t="s">
        <v>2506</v>
      </c>
    </row>
    <row r="243" spans="1:12" ht="30">
      <c r="A243" s="44" t="str">
        <f t="shared" si="6"/>
        <v>5235</v>
      </c>
      <c r="B243" s="44" t="str">
        <f t="shared" si="7"/>
        <v>523</v>
      </c>
      <c r="C243" s="44">
        <v>5</v>
      </c>
      <c r="D243" s="44">
        <v>2</v>
      </c>
      <c r="E243" s="44">
        <v>3</v>
      </c>
      <c r="F243" s="44">
        <v>5</v>
      </c>
      <c r="G243" s="47" t="s">
        <v>67</v>
      </c>
      <c r="H243" s="57" t="s">
        <v>159</v>
      </c>
      <c r="I243" s="5" t="s">
        <v>408</v>
      </c>
      <c r="J243" s="251" t="s">
        <v>2489</v>
      </c>
      <c r="K243" s="252" t="s">
        <v>2502</v>
      </c>
      <c r="L243" s="242" t="s">
        <v>2507</v>
      </c>
    </row>
    <row r="244" spans="1:12" ht="30">
      <c r="A244" s="44" t="str">
        <f t="shared" si="6"/>
        <v>5236</v>
      </c>
      <c r="B244" s="44" t="str">
        <f t="shared" si="7"/>
        <v>523</v>
      </c>
      <c r="C244" s="44">
        <v>5</v>
      </c>
      <c r="D244" s="44">
        <v>2</v>
      </c>
      <c r="E244" s="44">
        <v>3</v>
      </c>
      <c r="F244" s="44">
        <v>6</v>
      </c>
      <c r="G244" s="47" t="s">
        <v>67</v>
      </c>
      <c r="H244" s="57" t="s">
        <v>159</v>
      </c>
      <c r="I244" s="5" t="s">
        <v>409</v>
      </c>
      <c r="J244" s="251" t="s">
        <v>2489</v>
      </c>
      <c r="K244" s="252" t="s">
        <v>2502</v>
      </c>
      <c r="L244" s="242" t="s">
        <v>2508</v>
      </c>
    </row>
    <row r="245" spans="1:12" ht="15.75">
      <c r="A245" s="44" t="str">
        <f t="shared" si="6"/>
        <v>5311</v>
      </c>
      <c r="B245" s="44" t="str">
        <f t="shared" si="7"/>
        <v>531</v>
      </c>
      <c r="C245" s="44">
        <v>5</v>
      </c>
      <c r="D245" s="44">
        <v>3</v>
      </c>
      <c r="E245" s="44">
        <v>1</v>
      </c>
      <c r="F245" s="45">
        <v>1</v>
      </c>
      <c r="G245" s="47" t="s">
        <v>854</v>
      </c>
      <c r="H245" s="57" t="s">
        <v>160</v>
      </c>
      <c r="I245" s="5" t="s">
        <v>321</v>
      </c>
      <c r="J245" s="251" t="s">
        <v>2509</v>
      </c>
      <c r="K245" s="252" t="s">
        <v>2510</v>
      </c>
      <c r="L245" s="242" t="s">
        <v>2511</v>
      </c>
    </row>
    <row r="246" spans="1:12" ht="15.75">
      <c r="A246" s="44" t="str">
        <f t="shared" si="6"/>
        <v>5312</v>
      </c>
      <c r="B246" s="44" t="str">
        <f t="shared" si="7"/>
        <v>531</v>
      </c>
      <c r="C246" s="44">
        <v>5</v>
      </c>
      <c r="D246" s="44">
        <v>3</v>
      </c>
      <c r="E246" s="44">
        <v>1</v>
      </c>
      <c r="F246" s="45">
        <v>2</v>
      </c>
      <c r="G246" s="47" t="s">
        <v>854</v>
      </c>
      <c r="H246" s="57" t="s">
        <v>160</v>
      </c>
      <c r="I246" s="5" t="s">
        <v>410</v>
      </c>
      <c r="J246" s="251" t="s">
        <v>2509</v>
      </c>
      <c r="K246" s="252" t="s">
        <v>2510</v>
      </c>
      <c r="L246" s="242" t="s">
        <v>2512</v>
      </c>
    </row>
    <row r="247" spans="1:12" ht="15.75">
      <c r="A247" s="44" t="str">
        <f t="shared" si="6"/>
        <v>5321</v>
      </c>
      <c r="B247" s="44" t="str">
        <f t="shared" si="7"/>
        <v>532</v>
      </c>
      <c r="C247" s="44">
        <v>5</v>
      </c>
      <c r="D247" s="44">
        <v>3</v>
      </c>
      <c r="E247" s="44">
        <v>2</v>
      </c>
      <c r="F247" s="45">
        <v>1</v>
      </c>
      <c r="G247" s="47" t="s">
        <v>854</v>
      </c>
      <c r="H247" s="57" t="s">
        <v>47</v>
      </c>
      <c r="I247" s="5" t="s">
        <v>411</v>
      </c>
      <c r="J247" s="251" t="s">
        <v>2509</v>
      </c>
      <c r="K247" s="252" t="s">
        <v>2513</v>
      </c>
      <c r="L247" s="242" t="s">
        <v>2514</v>
      </c>
    </row>
    <row r="248" spans="1:12" ht="15.75">
      <c r="A248" s="44" t="str">
        <f t="shared" si="6"/>
        <v>5322</v>
      </c>
      <c r="B248" s="44" t="str">
        <f t="shared" si="7"/>
        <v>532</v>
      </c>
      <c r="C248" s="44">
        <v>5</v>
      </c>
      <c r="D248" s="44">
        <v>3</v>
      </c>
      <c r="E248" s="44">
        <v>2</v>
      </c>
      <c r="F248" s="45">
        <v>2</v>
      </c>
      <c r="G248" s="47" t="s">
        <v>854</v>
      </c>
      <c r="H248" s="57" t="s">
        <v>47</v>
      </c>
      <c r="I248" s="5" t="s">
        <v>412</v>
      </c>
      <c r="J248" s="251" t="s">
        <v>2509</v>
      </c>
      <c r="K248" s="252" t="s">
        <v>2513</v>
      </c>
      <c r="L248" s="242" t="s">
        <v>2515</v>
      </c>
    </row>
    <row r="249" spans="1:12" ht="45">
      <c r="A249" s="44" t="str">
        <f t="shared" si="6"/>
        <v>5331</v>
      </c>
      <c r="B249" s="44" t="str">
        <f t="shared" si="7"/>
        <v>533</v>
      </c>
      <c r="C249" s="44">
        <v>5</v>
      </c>
      <c r="D249" s="44">
        <v>3</v>
      </c>
      <c r="E249" s="44">
        <v>3</v>
      </c>
      <c r="F249" s="44">
        <v>1</v>
      </c>
      <c r="G249" s="47" t="s">
        <v>854</v>
      </c>
      <c r="H249" s="57" t="s">
        <v>864</v>
      </c>
      <c r="I249" s="57" t="s">
        <v>413</v>
      </c>
      <c r="J249" s="251" t="s">
        <v>2509</v>
      </c>
      <c r="K249" s="252" t="s">
        <v>2516</v>
      </c>
      <c r="L249" s="242" t="s">
        <v>2517</v>
      </c>
    </row>
    <row r="250" spans="1:12" ht="45">
      <c r="A250" s="44" t="str">
        <f t="shared" si="6"/>
        <v>5332</v>
      </c>
      <c r="B250" s="44" t="str">
        <f t="shared" si="7"/>
        <v>533</v>
      </c>
      <c r="C250" s="44">
        <v>5</v>
      </c>
      <c r="D250" s="44">
        <v>3</v>
      </c>
      <c r="E250" s="44">
        <v>3</v>
      </c>
      <c r="F250" s="44">
        <v>2</v>
      </c>
      <c r="G250" s="47" t="s">
        <v>854</v>
      </c>
      <c r="H250" s="57" t="s">
        <v>864</v>
      </c>
      <c r="I250" s="57" t="s">
        <v>319</v>
      </c>
      <c r="J250" s="251" t="s">
        <v>2509</v>
      </c>
      <c r="K250" s="252" t="s">
        <v>2516</v>
      </c>
      <c r="L250" s="242" t="s">
        <v>2518</v>
      </c>
    </row>
    <row r="251" spans="1:12" ht="45">
      <c r="A251" s="44" t="str">
        <f t="shared" si="6"/>
        <v>5333</v>
      </c>
      <c r="B251" s="44" t="str">
        <f t="shared" si="7"/>
        <v>533</v>
      </c>
      <c r="C251" s="44">
        <v>5</v>
      </c>
      <c r="D251" s="44">
        <v>3</v>
      </c>
      <c r="E251" s="44">
        <v>3</v>
      </c>
      <c r="F251" s="44">
        <v>3</v>
      </c>
      <c r="G251" s="47" t="s">
        <v>854</v>
      </c>
      <c r="H251" s="57" t="s">
        <v>864</v>
      </c>
      <c r="I251" s="57" t="s">
        <v>320</v>
      </c>
      <c r="J251" s="251" t="s">
        <v>2509</v>
      </c>
      <c r="K251" s="252" t="s">
        <v>2516</v>
      </c>
      <c r="L251" s="242" t="s">
        <v>2519</v>
      </c>
    </row>
    <row r="252" spans="1:12">
      <c r="A252" s="44" t="str">
        <f t="shared" si="6"/>
        <v>5411</v>
      </c>
      <c r="B252" s="44" t="str">
        <f t="shared" si="7"/>
        <v>541</v>
      </c>
      <c r="C252" s="44">
        <v>5</v>
      </c>
      <c r="D252" s="44">
        <v>4</v>
      </c>
      <c r="E252" s="44">
        <v>1</v>
      </c>
      <c r="F252" s="44">
        <v>1</v>
      </c>
      <c r="G252" s="48" t="s">
        <v>56</v>
      </c>
      <c r="H252" s="57" t="s">
        <v>161</v>
      </c>
      <c r="I252" s="57" t="s">
        <v>414</v>
      </c>
      <c r="J252" s="251" t="s">
        <v>2520</v>
      </c>
      <c r="K252" s="252" t="s">
        <v>2521</v>
      </c>
      <c r="L252" s="242" t="s">
        <v>2522</v>
      </c>
    </row>
    <row r="253" spans="1:12">
      <c r="A253" s="44" t="str">
        <f t="shared" si="6"/>
        <v>5412</v>
      </c>
      <c r="B253" s="44" t="str">
        <f t="shared" si="7"/>
        <v>541</v>
      </c>
      <c r="C253" s="44">
        <v>5</v>
      </c>
      <c r="D253" s="44">
        <v>4</v>
      </c>
      <c r="E253" s="44">
        <v>1</v>
      </c>
      <c r="F253" s="44">
        <v>2</v>
      </c>
      <c r="G253" s="48" t="s">
        <v>56</v>
      </c>
      <c r="H253" s="57" t="s">
        <v>161</v>
      </c>
      <c r="I253" s="57" t="s">
        <v>415</v>
      </c>
      <c r="J253" s="251" t="s">
        <v>2520</v>
      </c>
      <c r="K253" s="252" t="s">
        <v>2521</v>
      </c>
      <c r="L253" s="242" t="s">
        <v>2523</v>
      </c>
    </row>
    <row r="254" spans="1:12">
      <c r="A254" s="44" t="str">
        <f t="shared" si="6"/>
        <v>5413</v>
      </c>
      <c r="B254" s="44" t="str">
        <f t="shared" si="7"/>
        <v>541</v>
      </c>
      <c r="C254" s="44">
        <v>5</v>
      </c>
      <c r="D254" s="44">
        <v>4</v>
      </c>
      <c r="E254" s="44">
        <v>1</v>
      </c>
      <c r="F254" s="44">
        <v>3</v>
      </c>
      <c r="G254" s="48" t="s">
        <v>56</v>
      </c>
      <c r="H254" s="57" t="s">
        <v>161</v>
      </c>
      <c r="I254" s="57" t="s">
        <v>416</v>
      </c>
      <c r="J254" s="251" t="s">
        <v>2520</v>
      </c>
      <c r="K254" s="252" t="s">
        <v>2521</v>
      </c>
      <c r="L254" s="242" t="s">
        <v>2524</v>
      </c>
    </row>
    <row r="255" spans="1:12">
      <c r="A255" s="44" t="str">
        <f t="shared" si="6"/>
        <v>5414</v>
      </c>
      <c r="B255" s="44" t="str">
        <f t="shared" si="7"/>
        <v>541</v>
      </c>
      <c r="C255" s="44">
        <v>5</v>
      </c>
      <c r="D255" s="44">
        <v>4</v>
      </c>
      <c r="E255" s="44">
        <v>1</v>
      </c>
      <c r="F255" s="44">
        <v>4</v>
      </c>
      <c r="G255" s="48" t="s">
        <v>56</v>
      </c>
      <c r="H255" s="57" t="s">
        <v>161</v>
      </c>
      <c r="I255" s="57" t="s">
        <v>417</v>
      </c>
      <c r="J255" s="251" t="s">
        <v>2520</v>
      </c>
      <c r="K255" s="252" t="s">
        <v>2521</v>
      </c>
      <c r="L255" s="242" t="s">
        <v>2525</v>
      </c>
    </row>
    <row r="256" spans="1:12" ht="30">
      <c r="A256" s="44" t="str">
        <f t="shared" si="6"/>
        <v>5415</v>
      </c>
      <c r="B256" s="44" t="str">
        <f t="shared" si="7"/>
        <v>541</v>
      </c>
      <c r="C256" s="44">
        <v>5</v>
      </c>
      <c r="D256" s="44">
        <v>4</v>
      </c>
      <c r="E256" s="44">
        <v>1</v>
      </c>
      <c r="F256" s="44">
        <v>5</v>
      </c>
      <c r="G256" s="48" t="s">
        <v>56</v>
      </c>
      <c r="H256" s="57" t="s">
        <v>161</v>
      </c>
      <c r="I256" s="57" t="s">
        <v>418</v>
      </c>
      <c r="J256" s="251" t="s">
        <v>2520</v>
      </c>
      <c r="K256" s="252" t="s">
        <v>2526</v>
      </c>
      <c r="L256" s="242" t="s">
        <v>2527</v>
      </c>
    </row>
    <row r="257" spans="1:12" ht="30">
      <c r="A257" s="44" t="str">
        <f t="shared" si="6"/>
        <v>5421</v>
      </c>
      <c r="B257" s="44" t="str">
        <f t="shared" si="7"/>
        <v>542</v>
      </c>
      <c r="C257" s="44">
        <v>5</v>
      </c>
      <c r="D257" s="44">
        <v>4</v>
      </c>
      <c r="E257" s="44">
        <v>2</v>
      </c>
      <c r="F257" s="44">
        <v>1</v>
      </c>
      <c r="G257" s="48" t="s">
        <v>56</v>
      </c>
      <c r="H257" s="57" t="s">
        <v>57</v>
      </c>
      <c r="I257" s="57" t="s">
        <v>254</v>
      </c>
      <c r="J257" s="251" t="s">
        <v>2520</v>
      </c>
      <c r="K257" s="252" t="s">
        <v>2526</v>
      </c>
      <c r="L257" s="242" t="s">
        <v>2528</v>
      </c>
    </row>
    <row r="258" spans="1:12" ht="30">
      <c r="A258" s="44" t="str">
        <f t="shared" si="6"/>
        <v>5422</v>
      </c>
      <c r="B258" s="44" t="str">
        <f t="shared" si="7"/>
        <v>542</v>
      </c>
      <c r="C258" s="44">
        <v>5</v>
      </c>
      <c r="D258" s="44">
        <v>4</v>
      </c>
      <c r="E258" s="44">
        <v>2</v>
      </c>
      <c r="F258" s="44">
        <v>2</v>
      </c>
      <c r="G258" s="48" t="s">
        <v>56</v>
      </c>
      <c r="H258" s="57" t="s">
        <v>57</v>
      </c>
      <c r="I258" s="57" t="s">
        <v>255</v>
      </c>
      <c r="J258" s="251" t="s">
        <v>2520</v>
      </c>
      <c r="K258" s="252" t="s">
        <v>2526</v>
      </c>
      <c r="L258" s="242" t="s">
        <v>2529</v>
      </c>
    </row>
    <row r="259" spans="1:12" ht="30">
      <c r="A259" s="44" t="str">
        <f t="shared" ref="A259:A325" si="8">_xlfn.CONCAT(C259:F259)</f>
        <v>5423</v>
      </c>
      <c r="B259" s="44" t="str">
        <f t="shared" ref="B259:B325" si="9">_xlfn.CONCAT(C259:E259)</f>
        <v>542</v>
      </c>
      <c r="C259" s="44">
        <v>5</v>
      </c>
      <c r="D259" s="44">
        <v>4</v>
      </c>
      <c r="E259" s="44">
        <v>2</v>
      </c>
      <c r="F259" s="44">
        <v>3</v>
      </c>
      <c r="G259" s="48" t="s">
        <v>56</v>
      </c>
      <c r="H259" s="57" t="s">
        <v>57</v>
      </c>
      <c r="I259" s="57" t="s">
        <v>256</v>
      </c>
      <c r="J259" s="251" t="s">
        <v>2520</v>
      </c>
      <c r="K259" s="252" t="s">
        <v>2526</v>
      </c>
      <c r="L259" s="242" t="s">
        <v>2530</v>
      </c>
    </row>
    <row r="260" spans="1:12" ht="30">
      <c r="A260" s="44" t="str">
        <f t="shared" si="8"/>
        <v>5424</v>
      </c>
      <c r="B260" s="44" t="str">
        <f t="shared" si="9"/>
        <v>542</v>
      </c>
      <c r="C260" s="44">
        <v>5</v>
      </c>
      <c r="D260" s="44">
        <v>4</v>
      </c>
      <c r="E260" s="44">
        <v>2</v>
      </c>
      <c r="F260" s="44">
        <v>4</v>
      </c>
      <c r="G260" s="48" t="s">
        <v>56</v>
      </c>
      <c r="H260" s="57" t="s">
        <v>57</v>
      </c>
      <c r="I260" s="57" t="s">
        <v>257</v>
      </c>
      <c r="J260" s="251" t="s">
        <v>2520</v>
      </c>
      <c r="K260" s="252" t="s">
        <v>2526</v>
      </c>
      <c r="L260" s="242" t="s">
        <v>2531</v>
      </c>
    </row>
    <row r="261" spans="1:12" ht="30">
      <c r="A261" s="44" t="str">
        <f t="shared" si="8"/>
        <v>5425</v>
      </c>
      <c r="B261" s="44" t="str">
        <f t="shared" si="9"/>
        <v>542</v>
      </c>
      <c r="C261" s="44">
        <v>5</v>
      </c>
      <c r="D261" s="44">
        <v>4</v>
      </c>
      <c r="E261" s="44">
        <v>2</v>
      </c>
      <c r="F261" s="44">
        <v>5</v>
      </c>
      <c r="G261" s="48" t="s">
        <v>56</v>
      </c>
      <c r="H261" s="57" t="s">
        <v>57</v>
      </c>
      <c r="I261" s="57" t="s">
        <v>258</v>
      </c>
      <c r="J261" s="251" t="s">
        <v>2520</v>
      </c>
      <c r="K261" s="252" t="s">
        <v>2526</v>
      </c>
      <c r="L261" s="242" t="s">
        <v>2532</v>
      </c>
    </row>
    <row r="262" spans="1:12" ht="30">
      <c r="A262" s="44" t="str">
        <f t="shared" si="8"/>
        <v>5426</v>
      </c>
      <c r="B262" s="44" t="str">
        <f t="shared" si="9"/>
        <v>542</v>
      </c>
      <c r="C262" s="44">
        <v>5</v>
      </c>
      <c r="D262" s="44">
        <v>4</v>
      </c>
      <c r="E262" s="44">
        <v>2</v>
      </c>
      <c r="F262" s="44">
        <v>6</v>
      </c>
      <c r="G262" s="48" t="s">
        <v>56</v>
      </c>
      <c r="H262" s="57" t="s">
        <v>57</v>
      </c>
      <c r="I262" s="57" t="s">
        <v>259</v>
      </c>
      <c r="J262" s="251" t="s">
        <v>2520</v>
      </c>
      <c r="K262" s="252" t="s">
        <v>2526</v>
      </c>
      <c r="L262" s="242" t="s">
        <v>2533</v>
      </c>
    </row>
    <row r="263" spans="1:12" ht="30">
      <c r="A263" s="44" t="str">
        <f t="shared" si="8"/>
        <v>5427</v>
      </c>
      <c r="B263" s="44" t="str">
        <f t="shared" si="9"/>
        <v>542</v>
      </c>
      <c r="C263" s="44">
        <v>5</v>
      </c>
      <c r="D263" s="44">
        <v>4</v>
      </c>
      <c r="E263" s="44">
        <v>2</v>
      </c>
      <c r="F263" s="44">
        <v>7</v>
      </c>
      <c r="G263" s="48" t="s">
        <v>56</v>
      </c>
      <c r="H263" s="57" t="s">
        <v>57</v>
      </c>
      <c r="I263" s="57" t="s">
        <v>260</v>
      </c>
      <c r="J263" s="251" t="s">
        <v>2520</v>
      </c>
      <c r="K263" s="252" t="s">
        <v>2526</v>
      </c>
      <c r="L263" s="242" t="s">
        <v>2534</v>
      </c>
    </row>
    <row r="264" spans="1:12" ht="30">
      <c r="A264" s="44" t="str">
        <f t="shared" si="8"/>
        <v>5428</v>
      </c>
      <c r="B264" s="44" t="str">
        <f t="shared" si="9"/>
        <v>542</v>
      </c>
      <c r="C264" s="44">
        <v>5</v>
      </c>
      <c r="D264" s="44">
        <v>4</v>
      </c>
      <c r="E264" s="44">
        <v>2</v>
      </c>
      <c r="F264" s="44">
        <v>8</v>
      </c>
      <c r="G264" s="48" t="s">
        <v>56</v>
      </c>
      <c r="H264" s="57" t="s">
        <v>57</v>
      </c>
      <c r="I264" s="57" t="s">
        <v>261</v>
      </c>
      <c r="J264" s="251" t="s">
        <v>2520</v>
      </c>
      <c r="K264" s="252" t="s">
        <v>2526</v>
      </c>
      <c r="L264" s="242" t="s">
        <v>2535</v>
      </c>
    </row>
    <row r="265" spans="1:12">
      <c r="A265" s="44" t="str">
        <f t="shared" si="8"/>
        <v>5431</v>
      </c>
      <c r="B265" s="44" t="str">
        <f t="shared" si="9"/>
        <v>543</v>
      </c>
      <c r="C265" s="44">
        <v>5</v>
      </c>
      <c r="D265" s="44">
        <v>4</v>
      </c>
      <c r="E265" s="44">
        <v>3</v>
      </c>
      <c r="F265" s="44">
        <v>1</v>
      </c>
      <c r="G265" s="48" t="s">
        <v>56</v>
      </c>
      <c r="H265" s="57" t="s">
        <v>41</v>
      </c>
      <c r="I265" s="57" t="s">
        <v>42</v>
      </c>
      <c r="J265" s="251" t="s">
        <v>2520</v>
      </c>
      <c r="K265" s="252" t="s">
        <v>2536</v>
      </c>
      <c r="L265" s="242" t="s">
        <v>2537</v>
      </c>
    </row>
    <row r="266" spans="1:12">
      <c r="A266" s="44" t="str">
        <f t="shared" si="8"/>
        <v>5432</v>
      </c>
      <c r="B266" s="44" t="str">
        <f t="shared" si="9"/>
        <v>543</v>
      </c>
      <c r="C266" s="44">
        <v>5</v>
      </c>
      <c r="D266" s="44">
        <v>4</v>
      </c>
      <c r="E266" s="44">
        <v>3</v>
      </c>
      <c r="F266" s="44">
        <v>2</v>
      </c>
      <c r="G266" s="48" t="s">
        <v>56</v>
      </c>
      <c r="H266" s="57" t="s">
        <v>41</v>
      </c>
      <c r="I266" s="57" t="s">
        <v>43</v>
      </c>
      <c r="J266" s="251" t="s">
        <v>2520</v>
      </c>
      <c r="K266" s="252" t="s">
        <v>2536</v>
      </c>
      <c r="L266" s="242" t="s">
        <v>2538</v>
      </c>
    </row>
    <row r="267" spans="1:12">
      <c r="A267" s="44" t="str">
        <f t="shared" si="8"/>
        <v>5433</v>
      </c>
      <c r="B267" s="44" t="str">
        <f t="shared" si="9"/>
        <v>543</v>
      </c>
      <c r="C267" s="44">
        <v>5</v>
      </c>
      <c r="D267" s="44">
        <v>4</v>
      </c>
      <c r="E267" s="44">
        <v>3</v>
      </c>
      <c r="F267" s="44">
        <v>3</v>
      </c>
      <c r="G267" s="48" t="s">
        <v>56</v>
      </c>
      <c r="H267" s="57" t="s">
        <v>41</v>
      </c>
      <c r="I267" s="57" t="s">
        <v>44</v>
      </c>
      <c r="J267" s="251" t="s">
        <v>2520</v>
      </c>
      <c r="K267" s="252" t="s">
        <v>2536</v>
      </c>
      <c r="L267" s="242" t="s">
        <v>2539</v>
      </c>
    </row>
    <row r="268" spans="1:12" ht="30">
      <c r="A268" s="44" t="str">
        <f t="shared" si="8"/>
        <v>5511</v>
      </c>
      <c r="B268" s="44" t="str">
        <f t="shared" si="9"/>
        <v>551</v>
      </c>
      <c r="C268" s="44">
        <v>5</v>
      </c>
      <c r="D268" s="44">
        <v>5</v>
      </c>
      <c r="E268" s="44">
        <v>1</v>
      </c>
      <c r="F268" s="44">
        <v>1</v>
      </c>
      <c r="G268" s="48" t="s">
        <v>66</v>
      </c>
      <c r="H268" s="57" t="s">
        <v>855</v>
      </c>
      <c r="I268" s="64" t="s">
        <v>856</v>
      </c>
      <c r="J268" s="251" t="s">
        <v>2540</v>
      </c>
      <c r="K268" s="252" t="s">
        <v>2541</v>
      </c>
      <c r="L268" s="242" t="s">
        <v>2542</v>
      </c>
    </row>
    <row r="269" spans="1:12" ht="30">
      <c r="A269" s="44" t="str">
        <f t="shared" si="8"/>
        <v>5512</v>
      </c>
      <c r="B269" s="44" t="str">
        <f t="shared" si="9"/>
        <v>551</v>
      </c>
      <c r="C269" s="44">
        <v>5</v>
      </c>
      <c r="D269" s="44">
        <v>5</v>
      </c>
      <c r="E269" s="44">
        <v>1</v>
      </c>
      <c r="F269" s="44">
        <v>2</v>
      </c>
      <c r="G269" s="48" t="s">
        <v>66</v>
      </c>
      <c r="H269" s="57" t="s">
        <v>855</v>
      </c>
      <c r="I269" s="64" t="s">
        <v>857</v>
      </c>
      <c r="J269" s="251" t="s">
        <v>2540</v>
      </c>
      <c r="K269" s="252" t="s">
        <v>2541</v>
      </c>
      <c r="L269" s="242" t="s">
        <v>2543</v>
      </c>
    </row>
    <row r="270" spans="1:12" ht="30">
      <c r="A270" s="44" t="str">
        <f t="shared" si="8"/>
        <v>5513</v>
      </c>
      <c r="B270" s="44" t="str">
        <f t="shared" si="9"/>
        <v>551</v>
      </c>
      <c r="C270" s="44">
        <v>5</v>
      </c>
      <c r="D270" s="44">
        <v>5</v>
      </c>
      <c r="E270" s="44">
        <v>1</v>
      </c>
      <c r="F270" s="44">
        <v>3</v>
      </c>
      <c r="G270" s="48" t="s">
        <v>66</v>
      </c>
      <c r="H270" s="57" t="s">
        <v>855</v>
      </c>
      <c r="I270" s="65" t="s">
        <v>858</v>
      </c>
      <c r="J270" s="251" t="s">
        <v>2540</v>
      </c>
      <c r="K270" s="252" t="s">
        <v>2541</v>
      </c>
      <c r="L270" s="242" t="s">
        <v>2544</v>
      </c>
    </row>
    <row r="271" spans="1:12" ht="30">
      <c r="A271" s="44" t="str">
        <f t="shared" si="8"/>
        <v>5514</v>
      </c>
      <c r="B271" s="44" t="str">
        <f t="shared" si="9"/>
        <v>551</v>
      </c>
      <c r="C271" s="44">
        <v>5</v>
      </c>
      <c r="D271" s="44">
        <v>5</v>
      </c>
      <c r="E271" s="44">
        <v>1</v>
      </c>
      <c r="F271" s="44">
        <v>4</v>
      </c>
      <c r="G271" s="48" t="s">
        <v>66</v>
      </c>
      <c r="H271" s="57" t="s">
        <v>855</v>
      </c>
      <c r="I271" s="65" t="s">
        <v>859</v>
      </c>
      <c r="J271" s="251" t="s">
        <v>2540</v>
      </c>
      <c r="K271" s="252" t="s">
        <v>2541</v>
      </c>
      <c r="L271" s="242" t="s">
        <v>2545</v>
      </c>
    </row>
    <row r="272" spans="1:12" ht="30">
      <c r="A272" s="44" t="str">
        <f t="shared" si="8"/>
        <v>5515</v>
      </c>
      <c r="B272" s="44" t="str">
        <f t="shared" si="9"/>
        <v>551</v>
      </c>
      <c r="C272" s="44">
        <v>5</v>
      </c>
      <c r="D272" s="44">
        <v>5</v>
      </c>
      <c r="E272" s="44">
        <v>1</v>
      </c>
      <c r="F272" s="44">
        <v>5</v>
      </c>
      <c r="G272" s="48" t="s">
        <v>66</v>
      </c>
      <c r="H272" s="57" t="s">
        <v>855</v>
      </c>
      <c r="I272" s="65" t="s">
        <v>860</v>
      </c>
      <c r="J272" s="251" t="s">
        <v>2540</v>
      </c>
      <c r="K272" s="252" t="s">
        <v>2541</v>
      </c>
      <c r="L272" s="242"/>
    </row>
    <row r="273" spans="1:12" ht="45">
      <c r="A273" s="44" t="str">
        <f t="shared" si="8"/>
        <v>5521</v>
      </c>
      <c r="B273" s="44" t="str">
        <f t="shared" si="9"/>
        <v>552</v>
      </c>
      <c r="C273" s="44">
        <v>5</v>
      </c>
      <c r="D273" s="44">
        <v>5</v>
      </c>
      <c r="E273" s="44">
        <v>2</v>
      </c>
      <c r="F273" s="44">
        <v>1</v>
      </c>
      <c r="G273" s="48" t="s">
        <v>66</v>
      </c>
      <c r="H273" s="57" t="s">
        <v>16</v>
      </c>
      <c r="I273" s="57" t="s">
        <v>262</v>
      </c>
      <c r="J273" s="251" t="s">
        <v>2540</v>
      </c>
      <c r="K273" s="252" t="s">
        <v>2546</v>
      </c>
      <c r="L273" s="242" t="s">
        <v>2547</v>
      </c>
    </row>
    <row r="274" spans="1:12" ht="45">
      <c r="A274" s="44" t="str">
        <f t="shared" si="8"/>
        <v>5522</v>
      </c>
      <c r="B274" s="44" t="str">
        <f t="shared" si="9"/>
        <v>552</v>
      </c>
      <c r="C274" s="44">
        <v>5</v>
      </c>
      <c r="D274" s="44">
        <v>5</v>
      </c>
      <c r="E274" s="44">
        <v>2</v>
      </c>
      <c r="F274" s="44">
        <v>2</v>
      </c>
      <c r="G274" s="48" t="s">
        <v>66</v>
      </c>
      <c r="H274" s="57" t="s">
        <v>16</v>
      </c>
      <c r="I274" s="57" t="s">
        <v>263</v>
      </c>
      <c r="J274" s="251" t="s">
        <v>2540</v>
      </c>
      <c r="K274" s="252" t="s">
        <v>2546</v>
      </c>
      <c r="L274" s="242" t="s">
        <v>2548</v>
      </c>
    </row>
    <row r="275" spans="1:12">
      <c r="A275" s="44" t="str">
        <f t="shared" si="8"/>
        <v>5531</v>
      </c>
      <c r="B275" s="44" t="str">
        <f t="shared" si="9"/>
        <v>553</v>
      </c>
      <c r="C275" s="44">
        <v>5</v>
      </c>
      <c r="D275" s="44">
        <v>5</v>
      </c>
      <c r="E275" s="44">
        <v>3</v>
      </c>
      <c r="F275" s="44">
        <v>1</v>
      </c>
      <c r="G275" s="48" t="s">
        <v>66</v>
      </c>
      <c r="H275" s="57" t="s">
        <v>162</v>
      </c>
      <c r="I275" s="58" t="s">
        <v>264</v>
      </c>
      <c r="J275" s="251" t="s">
        <v>2540</v>
      </c>
      <c r="K275" s="252" t="s">
        <v>2549</v>
      </c>
      <c r="L275" s="242" t="s">
        <v>2550</v>
      </c>
    </row>
    <row r="276" spans="1:12">
      <c r="A276" s="44" t="str">
        <f t="shared" si="8"/>
        <v>5532</v>
      </c>
      <c r="B276" s="44" t="str">
        <f t="shared" si="9"/>
        <v>553</v>
      </c>
      <c r="C276" s="44">
        <v>5</v>
      </c>
      <c r="D276" s="44">
        <v>5</v>
      </c>
      <c r="E276" s="44">
        <v>3</v>
      </c>
      <c r="F276" s="44">
        <v>2</v>
      </c>
      <c r="G276" s="48" t="s">
        <v>66</v>
      </c>
      <c r="H276" s="57" t="s">
        <v>162</v>
      </c>
      <c r="I276" s="58" t="s">
        <v>419</v>
      </c>
      <c r="J276" s="251" t="s">
        <v>2540</v>
      </c>
      <c r="K276" s="255" t="s">
        <v>2549</v>
      </c>
      <c r="L276" s="242" t="s">
        <v>2551</v>
      </c>
    </row>
    <row r="277" spans="1:12" ht="30">
      <c r="A277" s="44" t="str">
        <f t="shared" si="8"/>
        <v>5611</v>
      </c>
      <c r="B277" s="44" t="str">
        <f t="shared" si="9"/>
        <v>561</v>
      </c>
      <c r="C277" s="44">
        <v>5</v>
      </c>
      <c r="D277" s="44">
        <v>6</v>
      </c>
      <c r="E277" s="44">
        <v>1</v>
      </c>
      <c r="F277" s="44">
        <v>1</v>
      </c>
      <c r="G277" s="48" t="s">
        <v>63</v>
      </c>
      <c r="H277" s="57" t="s">
        <v>163</v>
      </c>
      <c r="I277" s="58" t="s">
        <v>420</v>
      </c>
      <c r="J277" s="251" t="s">
        <v>2552</v>
      </c>
      <c r="K277" s="252" t="s">
        <v>2553</v>
      </c>
      <c r="L277" s="242" t="s">
        <v>2554</v>
      </c>
    </row>
    <row r="278" spans="1:12" ht="30">
      <c r="A278" s="44" t="str">
        <f t="shared" si="8"/>
        <v>5612</v>
      </c>
      <c r="B278" s="44" t="str">
        <f t="shared" si="9"/>
        <v>561</v>
      </c>
      <c r="C278" s="44">
        <v>5</v>
      </c>
      <c r="D278" s="44">
        <v>6</v>
      </c>
      <c r="E278" s="44">
        <v>1</v>
      </c>
      <c r="F278" s="44">
        <v>2</v>
      </c>
      <c r="G278" s="48" t="s">
        <v>63</v>
      </c>
      <c r="H278" s="57" t="s">
        <v>163</v>
      </c>
      <c r="I278" s="58" t="s">
        <v>421</v>
      </c>
      <c r="J278" s="251" t="s">
        <v>2552</v>
      </c>
      <c r="K278" s="252" t="s">
        <v>2553</v>
      </c>
      <c r="L278" s="242" t="s">
        <v>2555</v>
      </c>
    </row>
    <row r="279" spans="1:12">
      <c r="A279" s="44" t="str">
        <f t="shared" si="8"/>
        <v>5613</v>
      </c>
      <c r="B279" s="44" t="str">
        <f t="shared" si="9"/>
        <v>561</v>
      </c>
      <c r="C279" s="44">
        <v>5</v>
      </c>
      <c r="D279" s="44">
        <v>6</v>
      </c>
      <c r="E279" s="44">
        <v>1</v>
      </c>
      <c r="F279" s="44">
        <v>3</v>
      </c>
      <c r="G279" s="48" t="s">
        <v>63</v>
      </c>
      <c r="H279" s="57" t="s">
        <v>163</v>
      </c>
      <c r="I279" s="58" t="s">
        <v>557</v>
      </c>
      <c r="J279" s="251" t="s">
        <v>2552</v>
      </c>
      <c r="K279" s="252" t="s">
        <v>2553</v>
      </c>
      <c r="L279" s="242" t="s">
        <v>2556</v>
      </c>
    </row>
    <row r="280" spans="1:12">
      <c r="A280" s="44" t="str">
        <f t="shared" si="8"/>
        <v>5614</v>
      </c>
      <c r="B280" s="44" t="str">
        <f t="shared" si="9"/>
        <v>561</v>
      </c>
      <c r="C280" s="44">
        <v>5</v>
      </c>
      <c r="D280" s="44">
        <v>6</v>
      </c>
      <c r="E280" s="44">
        <v>1</v>
      </c>
      <c r="F280" s="44">
        <v>4</v>
      </c>
      <c r="G280" s="48" t="s">
        <v>63</v>
      </c>
      <c r="H280" s="57" t="s">
        <v>163</v>
      </c>
      <c r="I280" s="58" t="s">
        <v>422</v>
      </c>
      <c r="J280" s="251" t="s">
        <v>2552</v>
      </c>
      <c r="K280" s="252" t="s">
        <v>2553</v>
      </c>
      <c r="L280" s="242" t="s">
        <v>2557</v>
      </c>
    </row>
    <row r="281" spans="1:12" ht="30">
      <c r="A281" s="44" t="str">
        <f t="shared" si="8"/>
        <v>5621</v>
      </c>
      <c r="B281" s="44" t="str">
        <f t="shared" si="9"/>
        <v>562</v>
      </c>
      <c r="C281" s="44">
        <v>5</v>
      </c>
      <c r="D281" s="44">
        <v>6</v>
      </c>
      <c r="E281" s="44">
        <v>2</v>
      </c>
      <c r="F281" s="44">
        <v>1</v>
      </c>
      <c r="G281" s="48" t="s">
        <v>63</v>
      </c>
      <c r="H281" s="57" t="s">
        <v>12</v>
      </c>
      <c r="I281" s="57" t="s">
        <v>265</v>
      </c>
      <c r="J281" s="251" t="s">
        <v>2552</v>
      </c>
      <c r="K281" s="252" t="s">
        <v>2558</v>
      </c>
      <c r="L281" s="242" t="s">
        <v>2559</v>
      </c>
    </row>
    <row r="282" spans="1:12" ht="30">
      <c r="A282" s="44" t="str">
        <f t="shared" si="8"/>
        <v>5622</v>
      </c>
      <c r="B282" s="44" t="str">
        <f t="shared" si="9"/>
        <v>562</v>
      </c>
      <c r="C282" s="44">
        <v>5</v>
      </c>
      <c r="D282" s="44">
        <v>6</v>
      </c>
      <c r="E282" s="44">
        <v>2</v>
      </c>
      <c r="F282" s="44">
        <v>2</v>
      </c>
      <c r="G282" s="48" t="s">
        <v>63</v>
      </c>
      <c r="H282" s="57" t="s">
        <v>12</v>
      </c>
      <c r="I282" s="57" t="s">
        <v>266</v>
      </c>
      <c r="J282" s="251" t="s">
        <v>2552</v>
      </c>
      <c r="K282" s="252" t="s">
        <v>2558</v>
      </c>
      <c r="L282" s="242" t="s">
        <v>2560</v>
      </c>
    </row>
    <row r="283" spans="1:12" ht="30">
      <c r="A283" s="44" t="str">
        <f t="shared" si="8"/>
        <v>5623</v>
      </c>
      <c r="B283" s="44" t="str">
        <f t="shared" si="9"/>
        <v>562</v>
      </c>
      <c r="C283" s="44">
        <v>5</v>
      </c>
      <c r="D283" s="44">
        <v>6</v>
      </c>
      <c r="E283" s="44">
        <v>2</v>
      </c>
      <c r="F283" s="44">
        <v>3</v>
      </c>
      <c r="G283" s="48" t="s">
        <v>63</v>
      </c>
      <c r="H283" s="57" t="s">
        <v>12</v>
      </c>
      <c r="I283" s="57" t="s">
        <v>267</v>
      </c>
      <c r="J283" s="251" t="s">
        <v>2552</v>
      </c>
      <c r="K283" s="252" t="s">
        <v>2558</v>
      </c>
      <c r="L283" s="242" t="s">
        <v>2561</v>
      </c>
    </row>
    <row r="284" spans="1:12" ht="30">
      <c r="A284" s="44" t="str">
        <f t="shared" si="8"/>
        <v>5624</v>
      </c>
      <c r="B284" s="44" t="str">
        <f t="shared" si="9"/>
        <v>562</v>
      </c>
      <c r="C284" s="44">
        <v>5</v>
      </c>
      <c r="D284" s="44">
        <v>6</v>
      </c>
      <c r="E284" s="44">
        <v>2</v>
      </c>
      <c r="F284" s="44">
        <v>4</v>
      </c>
      <c r="G284" s="48" t="s">
        <v>63</v>
      </c>
      <c r="H284" s="57" t="s">
        <v>12</v>
      </c>
      <c r="I284" s="57" t="s">
        <v>268</v>
      </c>
      <c r="J284" s="251" t="s">
        <v>2552</v>
      </c>
      <c r="K284" s="252" t="s">
        <v>2558</v>
      </c>
      <c r="L284" s="242" t="s">
        <v>2562</v>
      </c>
    </row>
    <row r="285" spans="1:12" ht="18" customHeight="1">
      <c r="A285" s="44" t="str">
        <f t="shared" si="8"/>
        <v>5625</v>
      </c>
      <c r="B285" s="44" t="str">
        <f t="shared" si="9"/>
        <v>562</v>
      </c>
      <c r="C285" s="44">
        <v>5</v>
      </c>
      <c r="D285" s="44">
        <v>6</v>
      </c>
      <c r="E285" s="44">
        <v>2</v>
      </c>
      <c r="F285" s="44">
        <v>5</v>
      </c>
      <c r="G285" s="48" t="s">
        <v>63</v>
      </c>
      <c r="H285" s="57" t="s">
        <v>12</v>
      </c>
      <c r="I285" s="57" t="s">
        <v>269</v>
      </c>
      <c r="J285" s="251" t="s">
        <v>2552</v>
      </c>
      <c r="K285" s="252" t="s">
        <v>2558</v>
      </c>
      <c r="L285" s="242" t="s">
        <v>2563</v>
      </c>
    </row>
    <row r="286" spans="1:12" ht="18" customHeight="1">
      <c r="A286" s="44" t="str">
        <f t="shared" si="8"/>
        <v>5626</v>
      </c>
      <c r="B286" s="44" t="str">
        <f t="shared" si="9"/>
        <v>562</v>
      </c>
      <c r="C286" s="44">
        <v>5</v>
      </c>
      <c r="D286" s="44">
        <v>6</v>
      </c>
      <c r="E286" s="44">
        <v>2</v>
      </c>
      <c r="F286" s="44">
        <v>6</v>
      </c>
      <c r="G286" s="48" t="s">
        <v>63</v>
      </c>
      <c r="H286" s="57" t="s">
        <v>12</v>
      </c>
      <c r="I286" s="57" t="s">
        <v>270</v>
      </c>
      <c r="J286" s="251" t="s">
        <v>2552</v>
      </c>
      <c r="K286" s="252" t="s">
        <v>2558</v>
      </c>
      <c r="L286" s="242" t="s">
        <v>2564</v>
      </c>
    </row>
    <row r="287" spans="1:12" ht="18" customHeight="1">
      <c r="A287" s="44" t="str">
        <f t="shared" si="8"/>
        <v>5631</v>
      </c>
      <c r="B287" s="44" t="str">
        <f t="shared" si="9"/>
        <v>563</v>
      </c>
      <c r="C287" s="44">
        <v>5</v>
      </c>
      <c r="D287" s="44">
        <v>6</v>
      </c>
      <c r="E287" s="44">
        <v>3</v>
      </c>
      <c r="F287" s="44">
        <v>1</v>
      </c>
      <c r="G287" s="48" t="s">
        <v>63</v>
      </c>
      <c r="H287" s="57" t="s">
        <v>861</v>
      </c>
      <c r="I287" s="58" t="s">
        <v>423</v>
      </c>
      <c r="J287" s="251" t="s">
        <v>2552</v>
      </c>
      <c r="K287" s="252" t="s">
        <v>2565</v>
      </c>
      <c r="L287" s="242" t="s">
        <v>2566</v>
      </c>
    </row>
    <row r="288" spans="1:12" ht="18" customHeight="1">
      <c r="A288" s="44" t="str">
        <f t="shared" si="8"/>
        <v>5632</v>
      </c>
      <c r="B288" s="44" t="str">
        <f t="shared" si="9"/>
        <v>563</v>
      </c>
      <c r="C288" s="44">
        <v>5</v>
      </c>
      <c r="D288" s="44">
        <v>6</v>
      </c>
      <c r="E288" s="44">
        <v>3</v>
      </c>
      <c r="F288" s="44">
        <v>2</v>
      </c>
      <c r="G288" s="48" t="s">
        <v>63</v>
      </c>
      <c r="H288" s="57" t="s">
        <v>861</v>
      </c>
      <c r="I288" s="58" t="s">
        <v>424</v>
      </c>
      <c r="J288" s="251" t="s">
        <v>2552</v>
      </c>
      <c r="K288" s="252" t="s">
        <v>2565</v>
      </c>
      <c r="L288" s="242" t="s">
        <v>2567</v>
      </c>
    </row>
    <row r="289" spans="1:12" ht="30">
      <c r="A289" s="44" t="str">
        <f t="shared" si="8"/>
        <v>6111</v>
      </c>
      <c r="B289" s="44" t="str">
        <f t="shared" si="9"/>
        <v>611</v>
      </c>
      <c r="C289" s="44">
        <v>6</v>
      </c>
      <c r="D289" s="44">
        <v>1</v>
      </c>
      <c r="E289" s="44">
        <v>1</v>
      </c>
      <c r="F289" s="44">
        <v>1</v>
      </c>
      <c r="G289" s="48" t="s">
        <v>164</v>
      </c>
      <c r="H289" s="57" t="s">
        <v>165</v>
      </c>
      <c r="I289" s="58" t="s">
        <v>425</v>
      </c>
      <c r="J289" s="251" t="s">
        <v>2568</v>
      </c>
      <c r="K289" s="252" t="s">
        <v>2569</v>
      </c>
      <c r="L289" s="242" t="s">
        <v>2570</v>
      </c>
    </row>
    <row r="290" spans="1:12" ht="30">
      <c r="A290" s="44" t="str">
        <f t="shared" si="8"/>
        <v>6112</v>
      </c>
      <c r="B290" s="44" t="str">
        <f t="shared" si="9"/>
        <v>611</v>
      </c>
      <c r="C290" s="44">
        <v>6</v>
      </c>
      <c r="D290" s="44">
        <v>1</v>
      </c>
      <c r="E290" s="44">
        <v>1</v>
      </c>
      <c r="F290" s="44">
        <v>2</v>
      </c>
      <c r="G290" s="48" t="s">
        <v>164</v>
      </c>
      <c r="H290" s="57" t="s">
        <v>165</v>
      </c>
      <c r="I290" s="58" t="s">
        <v>426</v>
      </c>
      <c r="J290" s="251" t="s">
        <v>2568</v>
      </c>
      <c r="K290" s="252" t="s">
        <v>2569</v>
      </c>
      <c r="L290" s="242" t="s">
        <v>2571</v>
      </c>
    </row>
    <row r="291" spans="1:12" ht="30">
      <c r="A291" s="44" t="str">
        <f t="shared" si="8"/>
        <v>6113</v>
      </c>
      <c r="B291" s="44" t="str">
        <f t="shared" si="9"/>
        <v>611</v>
      </c>
      <c r="C291" s="44">
        <v>6</v>
      </c>
      <c r="D291" s="44">
        <v>1</v>
      </c>
      <c r="E291" s="44">
        <v>1</v>
      </c>
      <c r="F291" s="44">
        <v>3</v>
      </c>
      <c r="G291" s="48" t="s">
        <v>164</v>
      </c>
      <c r="H291" s="57" t="s">
        <v>165</v>
      </c>
      <c r="I291" s="58" t="s">
        <v>427</v>
      </c>
      <c r="J291" s="251" t="s">
        <v>2568</v>
      </c>
      <c r="K291" s="252" t="s">
        <v>2569</v>
      </c>
      <c r="L291" s="242" t="s">
        <v>2572</v>
      </c>
    </row>
    <row r="292" spans="1:12" ht="30">
      <c r="A292" s="44" t="str">
        <f t="shared" si="8"/>
        <v>6114</v>
      </c>
      <c r="B292" s="44" t="str">
        <f t="shared" si="9"/>
        <v>611</v>
      </c>
      <c r="C292" s="44">
        <v>6</v>
      </c>
      <c r="D292" s="44">
        <v>1</v>
      </c>
      <c r="E292" s="44">
        <v>1</v>
      </c>
      <c r="F292" s="44">
        <v>4</v>
      </c>
      <c r="G292" s="48" t="s">
        <v>164</v>
      </c>
      <c r="H292" s="57" t="s">
        <v>165</v>
      </c>
      <c r="I292" s="58" t="s">
        <v>428</v>
      </c>
      <c r="J292" s="251" t="s">
        <v>2568</v>
      </c>
      <c r="K292" s="252" t="s">
        <v>2569</v>
      </c>
      <c r="L292" s="242" t="s">
        <v>2573</v>
      </c>
    </row>
    <row r="293" spans="1:12" ht="18" customHeight="1">
      <c r="A293" s="44" t="str">
        <f t="shared" si="8"/>
        <v>6121</v>
      </c>
      <c r="B293" s="44" t="str">
        <f t="shared" si="9"/>
        <v>612</v>
      </c>
      <c r="C293" s="44">
        <v>6</v>
      </c>
      <c r="D293" s="44">
        <v>1</v>
      </c>
      <c r="E293" s="44">
        <v>2</v>
      </c>
      <c r="F293" s="44">
        <v>1</v>
      </c>
      <c r="G293" s="48" t="s">
        <v>164</v>
      </c>
      <c r="H293" s="57" t="s">
        <v>166</v>
      </c>
      <c r="I293" s="58" t="s">
        <v>429</v>
      </c>
      <c r="J293" s="251" t="s">
        <v>2568</v>
      </c>
      <c r="K293" s="252" t="s">
        <v>2574</v>
      </c>
      <c r="L293" s="242" t="s">
        <v>2575</v>
      </c>
    </row>
    <row r="294" spans="1:12" ht="18" customHeight="1">
      <c r="A294" s="44" t="str">
        <f t="shared" si="8"/>
        <v>6122</v>
      </c>
      <c r="B294" s="44" t="str">
        <f t="shared" si="9"/>
        <v>612</v>
      </c>
      <c r="C294" s="44">
        <v>6</v>
      </c>
      <c r="D294" s="44">
        <v>1</v>
      </c>
      <c r="E294" s="44">
        <v>2</v>
      </c>
      <c r="F294" s="44">
        <v>2</v>
      </c>
      <c r="G294" s="48" t="s">
        <v>164</v>
      </c>
      <c r="H294" s="57" t="s">
        <v>166</v>
      </c>
      <c r="I294" s="58" t="s">
        <v>430</v>
      </c>
      <c r="J294" s="251" t="s">
        <v>2568</v>
      </c>
      <c r="K294" s="252" t="s">
        <v>2574</v>
      </c>
      <c r="L294" s="242" t="s">
        <v>2576</v>
      </c>
    </row>
    <row r="295" spans="1:12" ht="18" customHeight="1">
      <c r="A295" s="44" t="str">
        <f t="shared" si="8"/>
        <v>6123</v>
      </c>
      <c r="B295" s="44" t="str">
        <f t="shared" si="9"/>
        <v>612</v>
      </c>
      <c r="C295" s="44">
        <v>6</v>
      </c>
      <c r="D295" s="44">
        <v>1</v>
      </c>
      <c r="E295" s="44">
        <v>2</v>
      </c>
      <c r="F295" s="44">
        <v>3</v>
      </c>
      <c r="G295" s="48" t="s">
        <v>164</v>
      </c>
      <c r="H295" s="57" t="s">
        <v>166</v>
      </c>
      <c r="I295" s="58" t="s">
        <v>431</v>
      </c>
      <c r="J295" s="251" t="s">
        <v>2568</v>
      </c>
      <c r="K295" s="252" t="s">
        <v>2574</v>
      </c>
      <c r="L295" s="242" t="s">
        <v>2577</v>
      </c>
    </row>
    <row r="296" spans="1:12" ht="18" customHeight="1">
      <c r="A296" s="44" t="str">
        <f t="shared" si="8"/>
        <v>6131</v>
      </c>
      <c r="B296" s="44" t="str">
        <f t="shared" si="9"/>
        <v>613</v>
      </c>
      <c r="C296" s="44">
        <v>6</v>
      </c>
      <c r="D296" s="44">
        <v>1</v>
      </c>
      <c r="E296" s="44">
        <v>3</v>
      </c>
      <c r="F296" s="44">
        <v>1</v>
      </c>
      <c r="G296" s="48" t="s">
        <v>164</v>
      </c>
      <c r="H296" s="57" t="s">
        <v>167</v>
      </c>
      <c r="I296" s="58" t="s">
        <v>432</v>
      </c>
      <c r="J296" s="251" t="s">
        <v>2568</v>
      </c>
      <c r="K296" s="252" t="s">
        <v>2578</v>
      </c>
      <c r="L296" s="242" t="s">
        <v>2579</v>
      </c>
    </row>
    <row r="297" spans="1:12" ht="18" customHeight="1">
      <c r="A297" s="44" t="str">
        <f t="shared" si="8"/>
        <v>6132</v>
      </c>
      <c r="B297" s="44" t="str">
        <f t="shared" si="9"/>
        <v>613</v>
      </c>
      <c r="C297" s="44">
        <v>6</v>
      </c>
      <c r="D297" s="44">
        <v>1</v>
      </c>
      <c r="E297" s="44">
        <v>3</v>
      </c>
      <c r="F297" s="44">
        <v>2</v>
      </c>
      <c r="G297" s="48" t="s">
        <v>164</v>
      </c>
      <c r="H297" s="57" t="s">
        <v>167</v>
      </c>
      <c r="I297" s="58" t="s">
        <v>433</v>
      </c>
      <c r="J297" s="251" t="s">
        <v>2568</v>
      </c>
      <c r="K297" s="252" t="s">
        <v>2578</v>
      </c>
      <c r="L297" s="242" t="s">
        <v>2580</v>
      </c>
    </row>
    <row r="298" spans="1:12" ht="30">
      <c r="A298" s="44" t="str">
        <f t="shared" si="8"/>
        <v>6211</v>
      </c>
      <c r="B298" s="44" t="str">
        <f t="shared" si="9"/>
        <v>621</v>
      </c>
      <c r="C298" s="44">
        <v>6</v>
      </c>
      <c r="D298" s="44">
        <v>2</v>
      </c>
      <c r="E298" s="44">
        <v>1</v>
      </c>
      <c r="F298" s="44">
        <v>1</v>
      </c>
      <c r="G298" s="47" t="s">
        <v>72</v>
      </c>
      <c r="H298" s="57" t="s">
        <v>49</v>
      </c>
      <c r="I298" s="57" t="s">
        <v>271</v>
      </c>
      <c r="J298" s="251" t="s">
        <v>2581</v>
      </c>
      <c r="K298" s="252" t="s">
        <v>2582</v>
      </c>
      <c r="L298" s="242" t="s">
        <v>2583</v>
      </c>
    </row>
    <row r="299" spans="1:12" ht="30">
      <c r="A299" s="44" t="str">
        <f t="shared" si="8"/>
        <v>6212</v>
      </c>
      <c r="B299" s="44" t="str">
        <f t="shared" si="9"/>
        <v>621</v>
      </c>
      <c r="C299" s="44">
        <v>6</v>
      </c>
      <c r="D299" s="44">
        <v>2</v>
      </c>
      <c r="E299" s="44">
        <v>1</v>
      </c>
      <c r="F299" s="44">
        <v>2</v>
      </c>
      <c r="G299" s="47" t="s">
        <v>72</v>
      </c>
      <c r="H299" s="57" t="s">
        <v>49</v>
      </c>
      <c r="I299" s="57" t="s">
        <v>272</v>
      </c>
      <c r="J299" s="251" t="s">
        <v>2581</v>
      </c>
      <c r="K299" s="252" t="s">
        <v>2582</v>
      </c>
      <c r="L299" s="242" t="s">
        <v>2584</v>
      </c>
    </row>
    <row r="300" spans="1:12" ht="30">
      <c r="A300" s="44" t="str">
        <f t="shared" si="8"/>
        <v>6213</v>
      </c>
      <c r="B300" s="44" t="str">
        <f t="shared" si="9"/>
        <v>621</v>
      </c>
      <c r="C300" s="44">
        <v>6</v>
      </c>
      <c r="D300" s="44">
        <v>2</v>
      </c>
      <c r="E300" s="44">
        <v>1</v>
      </c>
      <c r="F300" s="44">
        <v>3</v>
      </c>
      <c r="G300" s="47" t="s">
        <v>72</v>
      </c>
      <c r="H300" s="57" t="s">
        <v>49</v>
      </c>
      <c r="I300" s="57" t="s">
        <v>273</v>
      </c>
      <c r="J300" s="251" t="s">
        <v>2581</v>
      </c>
      <c r="K300" s="252" t="s">
        <v>2582</v>
      </c>
      <c r="L300" s="242" t="s">
        <v>2585</v>
      </c>
    </row>
    <row r="301" spans="1:12" ht="30">
      <c r="A301" s="44" t="str">
        <f t="shared" si="8"/>
        <v>6214</v>
      </c>
      <c r="B301" s="44" t="str">
        <f t="shared" si="9"/>
        <v>621</v>
      </c>
      <c r="C301" s="44">
        <v>6</v>
      </c>
      <c r="D301" s="44">
        <v>2</v>
      </c>
      <c r="E301" s="44">
        <v>1</v>
      </c>
      <c r="F301" s="44">
        <v>4</v>
      </c>
      <c r="G301" s="47" t="s">
        <v>72</v>
      </c>
      <c r="H301" s="57" t="s">
        <v>49</v>
      </c>
      <c r="I301" s="57" t="s">
        <v>274</v>
      </c>
      <c r="J301" s="251" t="s">
        <v>2581</v>
      </c>
      <c r="K301" s="252" t="s">
        <v>2582</v>
      </c>
      <c r="L301" s="242" t="s">
        <v>2586</v>
      </c>
    </row>
    <row r="302" spans="1:12" ht="30">
      <c r="A302" s="44" t="str">
        <f t="shared" si="8"/>
        <v>6221</v>
      </c>
      <c r="B302" s="44" t="str">
        <f t="shared" si="9"/>
        <v>622</v>
      </c>
      <c r="C302" s="44">
        <v>6</v>
      </c>
      <c r="D302" s="44">
        <v>2</v>
      </c>
      <c r="E302" s="44">
        <v>2</v>
      </c>
      <c r="F302" s="44">
        <v>1</v>
      </c>
      <c r="G302" s="47" t="s">
        <v>72</v>
      </c>
      <c r="H302" s="57" t="s">
        <v>168</v>
      </c>
      <c r="I302" s="58" t="s">
        <v>434</v>
      </c>
      <c r="J302" s="251" t="s">
        <v>2581</v>
      </c>
      <c r="K302" s="252" t="s">
        <v>2587</v>
      </c>
      <c r="L302" s="242" t="s">
        <v>2588</v>
      </c>
    </row>
    <row r="303" spans="1:12" ht="15.75">
      <c r="A303" s="44" t="str">
        <f t="shared" si="8"/>
        <v>6222</v>
      </c>
      <c r="B303" s="44" t="str">
        <f t="shared" si="9"/>
        <v>622</v>
      </c>
      <c r="C303" s="44">
        <v>6</v>
      </c>
      <c r="D303" s="44">
        <v>2</v>
      </c>
      <c r="E303" s="44">
        <v>2</v>
      </c>
      <c r="F303" s="44">
        <v>2</v>
      </c>
      <c r="G303" s="47" t="s">
        <v>72</v>
      </c>
      <c r="H303" s="57" t="s">
        <v>168</v>
      </c>
      <c r="I303" s="58" t="s">
        <v>558</v>
      </c>
      <c r="J303" s="251" t="s">
        <v>2581</v>
      </c>
      <c r="K303" s="252" t="s">
        <v>2587</v>
      </c>
      <c r="L303" s="242" t="s">
        <v>2589</v>
      </c>
    </row>
    <row r="304" spans="1:12" ht="15.75">
      <c r="A304" s="44" t="str">
        <f t="shared" si="8"/>
        <v>6223</v>
      </c>
      <c r="B304" s="44" t="str">
        <f t="shared" si="9"/>
        <v>622</v>
      </c>
      <c r="C304" s="44">
        <v>6</v>
      </c>
      <c r="D304" s="44">
        <v>2</v>
      </c>
      <c r="E304" s="44">
        <v>2</v>
      </c>
      <c r="F304" s="44">
        <v>3</v>
      </c>
      <c r="G304" s="47" t="s">
        <v>72</v>
      </c>
      <c r="H304" s="57" t="s">
        <v>168</v>
      </c>
      <c r="I304" s="58" t="s">
        <v>435</v>
      </c>
      <c r="J304" s="251" t="s">
        <v>2581</v>
      </c>
      <c r="K304" s="252" t="s">
        <v>2587</v>
      </c>
      <c r="L304" s="242" t="s">
        <v>2590</v>
      </c>
    </row>
    <row r="305" spans="1:12" ht="15.75">
      <c r="A305" s="44" t="str">
        <f t="shared" si="8"/>
        <v>6224</v>
      </c>
      <c r="B305" s="44" t="str">
        <f t="shared" si="9"/>
        <v>622</v>
      </c>
      <c r="C305" s="44">
        <v>6</v>
      </c>
      <c r="D305" s="44">
        <v>2</v>
      </c>
      <c r="E305" s="44">
        <v>2</v>
      </c>
      <c r="F305" s="44">
        <v>4</v>
      </c>
      <c r="G305" s="47" t="s">
        <v>72</v>
      </c>
      <c r="H305" s="57" t="s">
        <v>168</v>
      </c>
      <c r="I305" s="58" t="s">
        <v>436</v>
      </c>
      <c r="J305" s="251" t="s">
        <v>2581</v>
      </c>
      <c r="K305" s="252" t="s">
        <v>2587</v>
      </c>
      <c r="L305" s="242" t="s">
        <v>2591</v>
      </c>
    </row>
    <row r="306" spans="1:12" ht="15.75">
      <c r="A306" s="44" t="str">
        <f t="shared" si="8"/>
        <v>6225</v>
      </c>
      <c r="B306" s="44" t="str">
        <f t="shared" si="9"/>
        <v>622</v>
      </c>
      <c r="C306" s="44">
        <v>6</v>
      </c>
      <c r="D306" s="44">
        <v>2</v>
      </c>
      <c r="E306" s="44">
        <v>2</v>
      </c>
      <c r="F306" s="44">
        <v>5</v>
      </c>
      <c r="G306" s="47" t="s">
        <v>72</v>
      </c>
      <c r="H306" s="57" t="s">
        <v>168</v>
      </c>
      <c r="I306" s="58" t="s">
        <v>559</v>
      </c>
      <c r="J306" s="251" t="s">
        <v>2581</v>
      </c>
      <c r="K306" s="252" t="s">
        <v>2587</v>
      </c>
      <c r="L306" s="242" t="s">
        <v>2592</v>
      </c>
    </row>
    <row r="307" spans="1:12" ht="15.75">
      <c r="A307" s="44" t="str">
        <f t="shared" si="8"/>
        <v>6226</v>
      </c>
      <c r="B307" s="44" t="str">
        <f t="shared" si="9"/>
        <v>622</v>
      </c>
      <c r="C307" s="44">
        <v>6</v>
      </c>
      <c r="D307" s="44">
        <v>2</v>
      </c>
      <c r="E307" s="44">
        <v>2</v>
      </c>
      <c r="F307" s="44">
        <v>6</v>
      </c>
      <c r="G307" s="47" t="s">
        <v>72</v>
      </c>
      <c r="H307" s="57" t="s">
        <v>168</v>
      </c>
      <c r="I307" s="58" t="s">
        <v>437</v>
      </c>
      <c r="J307" s="251" t="s">
        <v>2581</v>
      </c>
      <c r="K307" s="252" t="s">
        <v>2587</v>
      </c>
      <c r="L307" s="242" t="s">
        <v>2593</v>
      </c>
    </row>
    <row r="308" spans="1:12" ht="15.75">
      <c r="A308" s="44" t="str">
        <f t="shared" si="8"/>
        <v>6227</v>
      </c>
      <c r="B308" s="44" t="str">
        <f t="shared" si="9"/>
        <v>622</v>
      </c>
      <c r="C308" s="44">
        <v>6</v>
      </c>
      <c r="D308" s="44">
        <v>2</v>
      </c>
      <c r="E308" s="44">
        <v>2</v>
      </c>
      <c r="F308" s="44">
        <v>7</v>
      </c>
      <c r="G308" s="47" t="s">
        <v>72</v>
      </c>
      <c r="H308" s="57" t="s">
        <v>168</v>
      </c>
      <c r="I308" s="58" t="s">
        <v>438</v>
      </c>
      <c r="J308" s="251" t="s">
        <v>2581</v>
      </c>
      <c r="K308" s="252" t="s">
        <v>2587</v>
      </c>
      <c r="L308" s="242" t="s">
        <v>2594</v>
      </c>
    </row>
    <row r="309" spans="1:12" ht="15.75">
      <c r="A309" s="44" t="str">
        <f t="shared" si="8"/>
        <v>6231</v>
      </c>
      <c r="B309" s="44" t="str">
        <f t="shared" si="9"/>
        <v>623</v>
      </c>
      <c r="C309" s="44">
        <v>6</v>
      </c>
      <c r="D309" s="44">
        <v>2</v>
      </c>
      <c r="E309" s="44">
        <v>3</v>
      </c>
      <c r="F309" s="44">
        <v>1</v>
      </c>
      <c r="G309" s="47" t="s">
        <v>72</v>
      </c>
      <c r="H309" s="57" t="s">
        <v>169</v>
      </c>
      <c r="I309" s="58" t="s">
        <v>439</v>
      </c>
      <c r="J309" s="251" t="s">
        <v>2581</v>
      </c>
      <c r="K309" s="252" t="s">
        <v>2595</v>
      </c>
      <c r="L309" s="242" t="s">
        <v>2596</v>
      </c>
    </row>
    <row r="310" spans="1:12" ht="15.75">
      <c r="A310" s="44" t="str">
        <f t="shared" si="8"/>
        <v>6232</v>
      </c>
      <c r="B310" s="44" t="str">
        <f t="shared" si="9"/>
        <v>623</v>
      </c>
      <c r="C310" s="44">
        <v>6</v>
      </c>
      <c r="D310" s="44">
        <v>2</v>
      </c>
      <c r="E310" s="44">
        <v>3</v>
      </c>
      <c r="F310" s="44">
        <v>2</v>
      </c>
      <c r="G310" s="47" t="s">
        <v>72</v>
      </c>
      <c r="H310" s="57" t="s">
        <v>169</v>
      </c>
      <c r="I310" s="58" t="s">
        <v>440</v>
      </c>
      <c r="J310" s="251" t="s">
        <v>2581</v>
      </c>
      <c r="K310" s="252" t="s">
        <v>2595</v>
      </c>
      <c r="L310" s="242" t="s">
        <v>2597</v>
      </c>
    </row>
    <row r="311" spans="1:12">
      <c r="A311" s="44" t="str">
        <f t="shared" si="8"/>
        <v>6311</v>
      </c>
      <c r="B311" s="44" t="str">
        <f t="shared" si="9"/>
        <v>631</v>
      </c>
      <c r="C311" s="44">
        <v>6</v>
      </c>
      <c r="D311" s="44">
        <v>3</v>
      </c>
      <c r="E311" s="44">
        <v>1</v>
      </c>
      <c r="F311" s="44">
        <v>1</v>
      </c>
      <c r="G311" s="48" t="s">
        <v>75</v>
      </c>
      <c r="H311" s="57" t="s">
        <v>4</v>
      </c>
      <c r="I311" s="57" t="s">
        <v>275</v>
      </c>
      <c r="J311" s="251" t="s">
        <v>2598</v>
      </c>
      <c r="K311" s="252" t="s">
        <v>2599</v>
      </c>
      <c r="L311" s="242" t="s">
        <v>2600</v>
      </c>
    </row>
    <row r="312" spans="1:12">
      <c r="A312" s="44" t="str">
        <f t="shared" si="8"/>
        <v>6312</v>
      </c>
      <c r="B312" s="44" t="str">
        <f t="shared" si="9"/>
        <v>631</v>
      </c>
      <c r="C312" s="44">
        <v>6</v>
      </c>
      <c r="D312" s="44">
        <v>3</v>
      </c>
      <c r="E312" s="44">
        <v>1</v>
      </c>
      <c r="F312" s="44">
        <v>2</v>
      </c>
      <c r="G312" s="48" t="s">
        <v>75</v>
      </c>
      <c r="H312" s="57" t="s">
        <v>4</v>
      </c>
      <c r="I312" s="57" t="s">
        <v>276</v>
      </c>
      <c r="J312" s="251" t="s">
        <v>2598</v>
      </c>
      <c r="K312" s="252" t="s">
        <v>2599</v>
      </c>
      <c r="L312" s="242" t="s">
        <v>2601</v>
      </c>
    </row>
    <row r="313" spans="1:12">
      <c r="A313" s="44" t="str">
        <f t="shared" si="8"/>
        <v>6313</v>
      </c>
      <c r="B313" s="44" t="str">
        <f t="shared" si="9"/>
        <v>631</v>
      </c>
      <c r="C313" s="44">
        <v>6</v>
      </c>
      <c r="D313" s="44">
        <v>3</v>
      </c>
      <c r="E313" s="44">
        <v>1</v>
      </c>
      <c r="F313" s="44">
        <v>3</v>
      </c>
      <c r="G313" s="48" t="s">
        <v>75</v>
      </c>
      <c r="H313" s="57" t="s">
        <v>4</v>
      </c>
      <c r="I313" s="57" t="s">
        <v>277</v>
      </c>
      <c r="J313" s="251" t="s">
        <v>2598</v>
      </c>
      <c r="K313" s="252" t="s">
        <v>2599</v>
      </c>
      <c r="L313" s="242" t="s">
        <v>2602</v>
      </c>
    </row>
    <row r="314" spans="1:12">
      <c r="A314" s="44" t="str">
        <f t="shared" si="8"/>
        <v>6314</v>
      </c>
      <c r="B314" s="44" t="str">
        <f t="shared" si="9"/>
        <v>631</v>
      </c>
      <c r="C314" s="44">
        <v>6</v>
      </c>
      <c r="D314" s="44">
        <v>3</v>
      </c>
      <c r="E314" s="44">
        <v>1</v>
      </c>
      <c r="F314" s="44">
        <v>4</v>
      </c>
      <c r="G314" s="48" t="s">
        <v>75</v>
      </c>
      <c r="H314" s="57" t="s">
        <v>4</v>
      </c>
      <c r="I314" s="57" t="s">
        <v>278</v>
      </c>
      <c r="J314" s="251" t="s">
        <v>2598</v>
      </c>
      <c r="K314" s="252" t="s">
        <v>2599</v>
      </c>
      <c r="L314" s="242" t="s">
        <v>2603</v>
      </c>
    </row>
    <row r="315" spans="1:12">
      <c r="A315" s="44" t="str">
        <f t="shared" si="8"/>
        <v>6321</v>
      </c>
      <c r="B315" s="44" t="str">
        <f t="shared" si="9"/>
        <v>632</v>
      </c>
      <c r="C315" s="44">
        <v>6</v>
      </c>
      <c r="D315" s="44">
        <v>3</v>
      </c>
      <c r="E315" s="44">
        <v>2</v>
      </c>
      <c r="F315" s="44">
        <v>1</v>
      </c>
      <c r="G315" s="48" t="s">
        <v>75</v>
      </c>
      <c r="H315" s="57" t="s">
        <v>170</v>
      </c>
      <c r="I315" s="58" t="s">
        <v>441</v>
      </c>
      <c r="J315" s="251" t="s">
        <v>2598</v>
      </c>
      <c r="K315" s="252" t="s">
        <v>2604</v>
      </c>
      <c r="L315" s="242" t="s">
        <v>2605</v>
      </c>
    </row>
    <row r="316" spans="1:12">
      <c r="A316" s="44" t="str">
        <f t="shared" si="8"/>
        <v>6322</v>
      </c>
      <c r="B316" s="44" t="str">
        <f t="shared" si="9"/>
        <v>632</v>
      </c>
      <c r="C316" s="44">
        <v>6</v>
      </c>
      <c r="D316" s="44">
        <v>3</v>
      </c>
      <c r="E316" s="44">
        <v>2</v>
      </c>
      <c r="F316" s="44">
        <v>2</v>
      </c>
      <c r="G316" s="48" t="s">
        <v>75</v>
      </c>
      <c r="H316" s="57" t="s">
        <v>170</v>
      </c>
      <c r="I316" s="58" t="s">
        <v>442</v>
      </c>
      <c r="J316" s="251" t="s">
        <v>2598</v>
      </c>
      <c r="K316" s="252" t="s">
        <v>2604</v>
      </c>
      <c r="L316" s="242" t="s">
        <v>2606</v>
      </c>
    </row>
    <row r="317" spans="1:12">
      <c r="A317" s="44" t="str">
        <f t="shared" si="8"/>
        <v>6323</v>
      </c>
      <c r="B317" s="44" t="str">
        <f t="shared" si="9"/>
        <v>632</v>
      </c>
      <c r="C317" s="44">
        <v>6</v>
      </c>
      <c r="D317" s="44">
        <v>3</v>
      </c>
      <c r="E317" s="44">
        <v>2</v>
      </c>
      <c r="F317" s="44">
        <v>3</v>
      </c>
      <c r="G317" s="48" t="s">
        <v>75</v>
      </c>
      <c r="H317" s="57" t="s">
        <v>170</v>
      </c>
      <c r="I317" s="58" t="s">
        <v>443</v>
      </c>
      <c r="J317" s="251" t="s">
        <v>2598</v>
      </c>
      <c r="K317" s="252" t="s">
        <v>2604</v>
      </c>
      <c r="L317" s="242" t="s">
        <v>2607</v>
      </c>
    </row>
    <row r="318" spans="1:12">
      <c r="A318" s="44" t="str">
        <f t="shared" si="8"/>
        <v>6324</v>
      </c>
      <c r="B318" s="44" t="str">
        <f t="shared" si="9"/>
        <v>632</v>
      </c>
      <c r="C318" s="44">
        <v>6</v>
      </c>
      <c r="D318" s="44">
        <v>3</v>
      </c>
      <c r="E318" s="44">
        <v>2</v>
      </c>
      <c r="F318" s="44">
        <v>4</v>
      </c>
      <c r="G318" s="48" t="s">
        <v>75</v>
      </c>
      <c r="H318" s="57" t="s">
        <v>170</v>
      </c>
      <c r="I318" s="58" t="s">
        <v>444</v>
      </c>
      <c r="J318" s="251" t="s">
        <v>2598</v>
      </c>
      <c r="K318" s="252" t="s">
        <v>2604</v>
      </c>
      <c r="L318" s="242" t="s">
        <v>2608</v>
      </c>
    </row>
    <row r="319" spans="1:12" ht="30">
      <c r="A319" s="44" t="str">
        <f t="shared" si="8"/>
        <v>6331</v>
      </c>
      <c r="B319" s="44" t="str">
        <f t="shared" si="9"/>
        <v>633</v>
      </c>
      <c r="C319" s="44">
        <v>6</v>
      </c>
      <c r="D319" s="44">
        <v>3</v>
      </c>
      <c r="E319" s="44">
        <v>3</v>
      </c>
      <c r="F319" s="44">
        <v>1</v>
      </c>
      <c r="G319" s="48" t="s">
        <v>75</v>
      </c>
      <c r="H319" s="57" t="s">
        <v>48</v>
      </c>
      <c r="I319" s="57" t="s">
        <v>279</v>
      </c>
      <c r="J319" s="251" t="s">
        <v>2598</v>
      </c>
      <c r="K319" s="252" t="s">
        <v>2609</v>
      </c>
      <c r="L319" s="242" t="s">
        <v>2610</v>
      </c>
    </row>
    <row r="320" spans="1:12" ht="30">
      <c r="A320" s="44" t="str">
        <f t="shared" si="8"/>
        <v>6332</v>
      </c>
      <c r="B320" s="44" t="str">
        <f t="shared" si="9"/>
        <v>633</v>
      </c>
      <c r="C320" s="44">
        <v>6</v>
      </c>
      <c r="D320" s="44">
        <v>3</v>
      </c>
      <c r="E320" s="44">
        <v>3</v>
      </c>
      <c r="F320" s="44">
        <v>2</v>
      </c>
      <c r="G320" s="48" t="s">
        <v>75</v>
      </c>
      <c r="H320" s="57" t="s">
        <v>48</v>
      </c>
      <c r="I320" s="57" t="s">
        <v>280</v>
      </c>
      <c r="J320" s="251" t="s">
        <v>2598</v>
      </c>
      <c r="K320" s="252" t="s">
        <v>2609</v>
      </c>
      <c r="L320" s="242" t="s">
        <v>2611</v>
      </c>
    </row>
    <row r="321" spans="1:12" ht="15.75">
      <c r="A321" s="44" t="str">
        <f t="shared" si="8"/>
        <v>6411</v>
      </c>
      <c r="B321" s="44" t="str">
        <f t="shared" si="9"/>
        <v>641</v>
      </c>
      <c r="C321" s="44">
        <v>6</v>
      </c>
      <c r="D321" s="44">
        <v>4</v>
      </c>
      <c r="E321" s="44">
        <v>1</v>
      </c>
      <c r="F321" s="44">
        <v>1</v>
      </c>
      <c r="G321" s="47" t="s">
        <v>62</v>
      </c>
      <c r="H321" s="57" t="s">
        <v>5</v>
      </c>
      <c r="I321" s="57" t="s">
        <v>281</v>
      </c>
      <c r="J321" s="251" t="s">
        <v>2612</v>
      </c>
      <c r="K321" s="252" t="s">
        <v>2613</v>
      </c>
      <c r="L321" s="242" t="s">
        <v>2614</v>
      </c>
    </row>
    <row r="322" spans="1:12" ht="15.75">
      <c r="A322" s="44" t="str">
        <f t="shared" si="8"/>
        <v>6412</v>
      </c>
      <c r="B322" s="44" t="str">
        <f t="shared" si="9"/>
        <v>641</v>
      </c>
      <c r="C322" s="44">
        <v>6</v>
      </c>
      <c r="D322" s="44">
        <v>4</v>
      </c>
      <c r="E322" s="44">
        <v>1</v>
      </c>
      <c r="F322" s="44">
        <v>2</v>
      </c>
      <c r="G322" s="47" t="s">
        <v>62</v>
      </c>
      <c r="H322" s="57" t="s">
        <v>5</v>
      </c>
      <c r="I322" s="57" t="s">
        <v>282</v>
      </c>
      <c r="J322" s="251" t="s">
        <v>2612</v>
      </c>
      <c r="K322" s="252" t="s">
        <v>2613</v>
      </c>
      <c r="L322" s="242" t="s">
        <v>2615</v>
      </c>
    </row>
    <row r="323" spans="1:12" ht="15.75">
      <c r="A323" s="44" t="str">
        <f t="shared" si="8"/>
        <v>6413</v>
      </c>
      <c r="B323" s="44" t="str">
        <f t="shared" si="9"/>
        <v>641</v>
      </c>
      <c r="C323" s="44">
        <v>6</v>
      </c>
      <c r="D323" s="44">
        <v>4</v>
      </c>
      <c r="E323" s="44">
        <v>1</v>
      </c>
      <c r="F323" s="44">
        <v>3</v>
      </c>
      <c r="G323" s="47" t="s">
        <v>62</v>
      </c>
      <c r="H323" s="57" t="s">
        <v>5</v>
      </c>
      <c r="I323" s="57" t="s">
        <v>283</v>
      </c>
      <c r="J323" s="251" t="s">
        <v>2612</v>
      </c>
      <c r="K323" s="252" t="s">
        <v>2613</v>
      </c>
      <c r="L323" s="242" t="s">
        <v>2616</v>
      </c>
    </row>
    <row r="324" spans="1:12" ht="30">
      <c r="A324" s="44" t="str">
        <f t="shared" si="8"/>
        <v>6421</v>
      </c>
      <c r="B324" s="44" t="str">
        <f t="shared" si="9"/>
        <v>642</v>
      </c>
      <c r="C324" s="44">
        <v>6</v>
      </c>
      <c r="D324" s="44">
        <v>4</v>
      </c>
      <c r="E324" s="44">
        <v>2</v>
      </c>
      <c r="F324" s="44">
        <v>1</v>
      </c>
      <c r="G324" s="47" t="s">
        <v>62</v>
      </c>
      <c r="H324" s="57" t="s">
        <v>171</v>
      </c>
      <c r="I324" s="58" t="s">
        <v>459</v>
      </c>
      <c r="J324" s="251" t="s">
        <v>2612</v>
      </c>
      <c r="K324" s="252" t="s">
        <v>2617</v>
      </c>
      <c r="L324" s="242" t="s">
        <v>2618</v>
      </c>
    </row>
    <row r="325" spans="1:12" ht="30">
      <c r="A325" s="44" t="str">
        <f t="shared" si="8"/>
        <v>6422</v>
      </c>
      <c r="B325" s="44" t="str">
        <f t="shared" si="9"/>
        <v>642</v>
      </c>
      <c r="C325" s="44">
        <v>6</v>
      </c>
      <c r="D325" s="44">
        <v>4</v>
      </c>
      <c r="E325" s="44">
        <v>2</v>
      </c>
      <c r="F325" s="44">
        <v>2</v>
      </c>
      <c r="G325" s="47" t="s">
        <v>62</v>
      </c>
      <c r="H325" s="57" t="s">
        <v>171</v>
      </c>
      <c r="I325" s="58" t="s">
        <v>460</v>
      </c>
      <c r="J325" s="251" t="s">
        <v>2612</v>
      </c>
      <c r="K325" s="252" t="s">
        <v>2617</v>
      </c>
      <c r="L325" s="242" t="s">
        <v>2619</v>
      </c>
    </row>
    <row r="326" spans="1:12" ht="30">
      <c r="A326" s="44" t="str">
        <f t="shared" ref="A326:A389" si="10">_xlfn.CONCAT(C326:F326)</f>
        <v>6423</v>
      </c>
      <c r="B326" s="44" t="str">
        <f t="shared" ref="B326:B389" si="11">_xlfn.CONCAT(C326:E326)</f>
        <v>642</v>
      </c>
      <c r="C326" s="44">
        <v>6</v>
      </c>
      <c r="D326" s="44">
        <v>4</v>
      </c>
      <c r="E326" s="44">
        <v>2</v>
      </c>
      <c r="F326" s="44">
        <v>3</v>
      </c>
      <c r="G326" s="47" t="s">
        <v>62</v>
      </c>
      <c r="H326" s="57" t="s">
        <v>171</v>
      </c>
      <c r="I326" s="58" t="s">
        <v>461</v>
      </c>
      <c r="J326" s="251" t="s">
        <v>2612</v>
      </c>
      <c r="K326" s="252" t="s">
        <v>2617</v>
      </c>
      <c r="L326" s="242" t="s">
        <v>2620</v>
      </c>
    </row>
    <row r="327" spans="1:12" ht="30">
      <c r="A327" s="44" t="str">
        <f t="shared" si="10"/>
        <v>6424</v>
      </c>
      <c r="B327" s="44" t="str">
        <f t="shared" si="11"/>
        <v>642</v>
      </c>
      <c r="C327" s="44">
        <v>6</v>
      </c>
      <c r="D327" s="44">
        <v>4</v>
      </c>
      <c r="E327" s="44">
        <v>2</v>
      </c>
      <c r="F327" s="44">
        <v>4</v>
      </c>
      <c r="G327" s="47" t="s">
        <v>62</v>
      </c>
      <c r="H327" s="57" t="s">
        <v>171</v>
      </c>
      <c r="I327" s="58" t="s">
        <v>462</v>
      </c>
      <c r="J327" s="251" t="s">
        <v>2612</v>
      </c>
      <c r="K327" s="252" t="s">
        <v>2617</v>
      </c>
      <c r="L327" s="242" t="s">
        <v>2621</v>
      </c>
    </row>
    <row r="328" spans="1:12" ht="30">
      <c r="A328" s="44" t="str">
        <f t="shared" si="10"/>
        <v>6431</v>
      </c>
      <c r="B328" s="44" t="str">
        <f t="shared" si="11"/>
        <v>643</v>
      </c>
      <c r="C328" s="44">
        <v>6</v>
      </c>
      <c r="D328" s="44">
        <v>4</v>
      </c>
      <c r="E328" s="44">
        <v>3</v>
      </c>
      <c r="F328" s="44">
        <v>1</v>
      </c>
      <c r="G328" s="47" t="s">
        <v>62</v>
      </c>
      <c r="H328" s="57" t="s">
        <v>35</v>
      </c>
      <c r="I328" s="57" t="s">
        <v>36</v>
      </c>
      <c r="J328" s="251" t="s">
        <v>2612</v>
      </c>
      <c r="K328" s="252" t="s">
        <v>2622</v>
      </c>
      <c r="L328" s="242" t="s">
        <v>2623</v>
      </c>
    </row>
    <row r="329" spans="1:12" ht="30">
      <c r="A329" s="44" t="str">
        <f t="shared" si="10"/>
        <v>6432</v>
      </c>
      <c r="B329" s="44" t="str">
        <f t="shared" si="11"/>
        <v>643</v>
      </c>
      <c r="C329" s="44">
        <v>6</v>
      </c>
      <c r="D329" s="44">
        <v>4</v>
      </c>
      <c r="E329" s="44">
        <v>3</v>
      </c>
      <c r="F329" s="44">
        <v>2</v>
      </c>
      <c r="G329" s="47" t="s">
        <v>62</v>
      </c>
      <c r="H329" s="57" t="s">
        <v>35</v>
      </c>
      <c r="I329" s="57" t="s">
        <v>37</v>
      </c>
      <c r="J329" s="251" t="s">
        <v>2612</v>
      </c>
      <c r="K329" s="252" t="s">
        <v>2622</v>
      </c>
      <c r="L329" s="242" t="s">
        <v>2624</v>
      </c>
    </row>
    <row r="330" spans="1:12" ht="30">
      <c r="A330" s="44" t="str">
        <f t="shared" si="10"/>
        <v>6433</v>
      </c>
      <c r="B330" s="44" t="str">
        <f t="shared" si="11"/>
        <v>643</v>
      </c>
      <c r="C330" s="44">
        <v>6</v>
      </c>
      <c r="D330" s="44">
        <v>4</v>
      </c>
      <c r="E330" s="44">
        <v>3</v>
      </c>
      <c r="F330" s="44">
        <v>3</v>
      </c>
      <c r="G330" s="47" t="s">
        <v>62</v>
      </c>
      <c r="H330" s="57" t="s">
        <v>35</v>
      </c>
      <c r="I330" s="57" t="s">
        <v>38</v>
      </c>
      <c r="J330" s="251" t="s">
        <v>2612</v>
      </c>
      <c r="K330" s="252" t="s">
        <v>2622</v>
      </c>
      <c r="L330" s="242" t="s">
        <v>2625</v>
      </c>
    </row>
    <row r="331" spans="1:12" ht="30">
      <c r="A331" s="44" t="str">
        <f t="shared" si="10"/>
        <v>6434</v>
      </c>
      <c r="B331" s="44" t="str">
        <f t="shared" si="11"/>
        <v>643</v>
      </c>
      <c r="C331" s="44">
        <v>6</v>
      </c>
      <c r="D331" s="44">
        <v>4</v>
      </c>
      <c r="E331" s="44">
        <v>3</v>
      </c>
      <c r="F331" s="44">
        <v>4</v>
      </c>
      <c r="G331" s="47" t="s">
        <v>62</v>
      </c>
      <c r="H331" s="57" t="s">
        <v>35</v>
      </c>
      <c r="I331" s="57" t="s">
        <v>39</v>
      </c>
      <c r="J331" s="251" t="s">
        <v>2612</v>
      </c>
      <c r="K331" s="252" t="s">
        <v>2622</v>
      </c>
      <c r="L331" s="242" t="s">
        <v>2626</v>
      </c>
    </row>
    <row r="332" spans="1:12" ht="30">
      <c r="A332" s="44" t="str">
        <f t="shared" si="10"/>
        <v>6435</v>
      </c>
      <c r="B332" s="44" t="str">
        <f t="shared" si="11"/>
        <v>643</v>
      </c>
      <c r="C332" s="44">
        <v>6</v>
      </c>
      <c r="D332" s="44">
        <v>4</v>
      </c>
      <c r="E332" s="44">
        <v>3</v>
      </c>
      <c r="F332" s="44">
        <v>5</v>
      </c>
      <c r="G332" s="47" t="s">
        <v>62</v>
      </c>
      <c r="H332" s="57" t="s">
        <v>35</v>
      </c>
      <c r="I332" s="57" t="s">
        <v>40</v>
      </c>
      <c r="J332" s="251" t="s">
        <v>2612</v>
      </c>
      <c r="K332" s="252" t="s">
        <v>2622</v>
      </c>
      <c r="L332" s="242"/>
    </row>
    <row r="333" spans="1:12">
      <c r="A333" s="44" t="str">
        <f t="shared" si="10"/>
        <v>6511</v>
      </c>
      <c r="B333" s="44" t="str">
        <f t="shared" si="11"/>
        <v>651</v>
      </c>
      <c r="C333" s="44">
        <v>6</v>
      </c>
      <c r="D333" s="44">
        <v>5</v>
      </c>
      <c r="E333" s="44">
        <v>1</v>
      </c>
      <c r="F333" s="44">
        <v>1</v>
      </c>
      <c r="G333" s="48" t="s">
        <v>53</v>
      </c>
      <c r="H333" s="57" t="s">
        <v>172</v>
      </c>
      <c r="I333" s="58" t="s">
        <v>560</v>
      </c>
      <c r="J333" s="251" t="s">
        <v>2627</v>
      </c>
      <c r="K333" s="252" t="s">
        <v>2628</v>
      </c>
      <c r="L333" s="242" t="s">
        <v>2629</v>
      </c>
    </row>
    <row r="334" spans="1:12">
      <c r="A334" s="44" t="str">
        <f t="shared" si="10"/>
        <v>6512</v>
      </c>
      <c r="B334" s="44" t="str">
        <f t="shared" si="11"/>
        <v>651</v>
      </c>
      <c r="C334" s="44">
        <v>6</v>
      </c>
      <c r="D334" s="44">
        <v>5</v>
      </c>
      <c r="E334" s="44">
        <v>1</v>
      </c>
      <c r="F334" s="44">
        <v>2</v>
      </c>
      <c r="G334" s="48" t="s">
        <v>53</v>
      </c>
      <c r="H334" s="57" t="s">
        <v>172</v>
      </c>
      <c r="I334" s="58" t="s">
        <v>561</v>
      </c>
      <c r="J334" s="251" t="s">
        <v>2627</v>
      </c>
      <c r="K334" s="252" t="s">
        <v>2628</v>
      </c>
      <c r="L334" s="242" t="s">
        <v>2630</v>
      </c>
    </row>
    <row r="335" spans="1:12">
      <c r="A335" s="44" t="str">
        <f t="shared" si="10"/>
        <v>6513</v>
      </c>
      <c r="B335" s="44" t="str">
        <f t="shared" si="11"/>
        <v>651</v>
      </c>
      <c r="C335" s="44">
        <v>6</v>
      </c>
      <c r="D335" s="44">
        <v>5</v>
      </c>
      <c r="E335" s="44">
        <v>1</v>
      </c>
      <c r="F335" s="44">
        <v>3</v>
      </c>
      <c r="G335" s="48" t="s">
        <v>53</v>
      </c>
      <c r="H335" s="57" t="s">
        <v>172</v>
      </c>
      <c r="I335" s="58" t="s">
        <v>463</v>
      </c>
      <c r="J335" s="251" t="s">
        <v>2627</v>
      </c>
      <c r="K335" s="252" t="s">
        <v>2628</v>
      </c>
      <c r="L335" s="242" t="s">
        <v>2631</v>
      </c>
    </row>
    <row r="336" spans="1:12">
      <c r="A336" s="44" t="str">
        <f t="shared" si="10"/>
        <v>6514</v>
      </c>
      <c r="B336" s="44" t="str">
        <f t="shared" si="11"/>
        <v>651</v>
      </c>
      <c r="C336" s="44">
        <v>6</v>
      </c>
      <c r="D336" s="44">
        <v>5</v>
      </c>
      <c r="E336" s="44">
        <v>1</v>
      </c>
      <c r="F336" s="44">
        <v>4</v>
      </c>
      <c r="G336" s="48" t="s">
        <v>53</v>
      </c>
      <c r="H336" s="57" t="s">
        <v>172</v>
      </c>
      <c r="I336" s="58" t="s">
        <v>464</v>
      </c>
      <c r="J336" s="251" t="s">
        <v>2627</v>
      </c>
      <c r="K336" s="252" t="s">
        <v>2628</v>
      </c>
      <c r="L336" s="242" t="s">
        <v>2632</v>
      </c>
    </row>
    <row r="337" spans="1:12" ht="30">
      <c r="A337" s="44" t="str">
        <f t="shared" si="10"/>
        <v>6521</v>
      </c>
      <c r="B337" s="44" t="str">
        <f t="shared" si="11"/>
        <v>652</v>
      </c>
      <c r="C337" s="44">
        <v>6</v>
      </c>
      <c r="D337" s="44">
        <v>5</v>
      </c>
      <c r="E337" s="44">
        <v>2</v>
      </c>
      <c r="F337" s="44">
        <v>1</v>
      </c>
      <c r="G337" s="48" t="s">
        <v>53</v>
      </c>
      <c r="H337" s="57" t="s">
        <v>862</v>
      </c>
      <c r="I337" s="58" t="s">
        <v>465</v>
      </c>
      <c r="J337" s="251" t="s">
        <v>2627</v>
      </c>
      <c r="K337" s="252" t="s">
        <v>2633</v>
      </c>
      <c r="L337" s="242" t="s">
        <v>2634</v>
      </c>
    </row>
    <row r="338" spans="1:12" ht="30">
      <c r="A338" s="44" t="str">
        <f t="shared" si="10"/>
        <v>6522</v>
      </c>
      <c r="B338" s="44" t="str">
        <f t="shared" si="11"/>
        <v>652</v>
      </c>
      <c r="C338" s="44">
        <v>6</v>
      </c>
      <c r="D338" s="44">
        <v>5</v>
      </c>
      <c r="E338" s="44">
        <v>2</v>
      </c>
      <c r="F338" s="44">
        <v>2</v>
      </c>
      <c r="G338" s="48" t="s">
        <v>53</v>
      </c>
      <c r="H338" s="57" t="s">
        <v>862</v>
      </c>
      <c r="I338" s="58" t="s">
        <v>466</v>
      </c>
      <c r="J338" s="251" t="s">
        <v>2627</v>
      </c>
      <c r="K338" s="252" t="s">
        <v>2633</v>
      </c>
      <c r="L338" s="242" t="s">
        <v>2635</v>
      </c>
    </row>
    <row r="339" spans="1:12" ht="30">
      <c r="A339" s="44" t="str">
        <f t="shared" si="10"/>
        <v>6523</v>
      </c>
      <c r="B339" s="44" t="str">
        <f t="shared" si="11"/>
        <v>652</v>
      </c>
      <c r="C339" s="44">
        <v>6</v>
      </c>
      <c r="D339" s="44">
        <v>5</v>
      </c>
      <c r="E339" s="44">
        <v>2</v>
      </c>
      <c r="F339" s="44">
        <v>3</v>
      </c>
      <c r="G339" s="48" t="s">
        <v>53</v>
      </c>
      <c r="H339" s="57" t="s">
        <v>862</v>
      </c>
      <c r="I339" s="58" t="s">
        <v>284</v>
      </c>
      <c r="J339" s="251" t="s">
        <v>2627</v>
      </c>
      <c r="K339" s="252" t="s">
        <v>2633</v>
      </c>
      <c r="L339" s="242" t="s">
        <v>2636</v>
      </c>
    </row>
    <row r="340" spans="1:12" ht="30">
      <c r="A340" s="44" t="str">
        <f t="shared" si="10"/>
        <v>6524</v>
      </c>
      <c r="B340" s="44" t="str">
        <f t="shared" si="11"/>
        <v>652</v>
      </c>
      <c r="C340" s="44">
        <v>6</v>
      </c>
      <c r="D340" s="44">
        <v>5</v>
      </c>
      <c r="E340" s="44">
        <v>2</v>
      </c>
      <c r="F340" s="44">
        <v>4</v>
      </c>
      <c r="G340" s="48" t="s">
        <v>53</v>
      </c>
      <c r="H340" s="57" t="s">
        <v>862</v>
      </c>
      <c r="I340" s="57" t="s">
        <v>285</v>
      </c>
      <c r="J340" s="251" t="s">
        <v>2627</v>
      </c>
      <c r="K340" s="252" t="s">
        <v>2633</v>
      </c>
      <c r="L340" s="242" t="s">
        <v>2637</v>
      </c>
    </row>
    <row r="341" spans="1:12" ht="16.5" customHeight="1">
      <c r="A341" s="44" t="str">
        <f t="shared" si="10"/>
        <v>6531</v>
      </c>
      <c r="B341" s="44" t="str">
        <f t="shared" si="11"/>
        <v>653</v>
      </c>
      <c r="C341" s="44">
        <v>6</v>
      </c>
      <c r="D341" s="44">
        <v>5</v>
      </c>
      <c r="E341" s="44">
        <v>3</v>
      </c>
      <c r="F341" s="44">
        <v>1</v>
      </c>
      <c r="G341" s="48" t="s">
        <v>53</v>
      </c>
      <c r="H341" s="57" t="s">
        <v>7</v>
      </c>
      <c r="I341" s="57" t="s">
        <v>284</v>
      </c>
      <c r="J341" s="251" t="s">
        <v>2627</v>
      </c>
      <c r="K341" s="252" t="s">
        <v>2638</v>
      </c>
      <c r="L341" s="242" t="s">
        <v>2639</v>
      </c>
    </row>
    <row r="342" spans="1:12" ht="30">
      <c r="A342" s="44" t="str">
        <f t="shared" si="10"/>
        <v>6532</v>
      </c>
      <c r="B342" s="44" t="str">
        <f t="shared" si="11"/>
        <v>653</v>
      </c>
      <c r="C342" s="44">
        <v>6</v>
      </c>
      <c r="D342" s="44">
        <v>5</v>
      </c>
      <c r="E342" s="44">
        <v>3</v>
      </c>
      <c r="F342" s="44">
        <v>2</v>
      </c>
      <c r="G342" s="48" t="s">
        <v>53</v>
      </c>
      <c r="H342" s="57" t="s">
        <v>7</v>
      </c>
      <c r="I342" s="57" t="s">
        <v>285</v>
      </c>
      <c r="J342" s="251" t="s">
        <v>2627</v>
      </c>
      <c r="K342" s="252" t="s">
        <v>2638</v>
      </c>
      <c r="L342" s="242" t="s">
        <v>2640</v>
      </c>
    </row>
    <row r="343" spans="1:12">
      <c r="A343" s="44" t="str">
        <f t="shared" si="10"/>
        <v>7111</v>
      </c>
      <c r="B343" s="44" t="str">
        <f t="shared" si="11"/>
        <v>711</v>
      </c>
      <c r="C343" s="44">
        <v>7</v>
      </c>
      <c r="D343" s="44">
        <v>1</v>
      </c>
      <c r="E343" s="44">
        <v>1</v>
      </c>
      <c r="F343" s="44">
        <v>1</v>
      </c>
      <c r="G343" s="48" t="s">
        <v>58</v>
      </c>
      <c r="H343" s="57" t="s">
        <v>59</v>
      </c>
      <c r="I343" s="57" t="s">
        <v>286</v>
      </c>
      <c r="J343" s="251" t="s">
        <v>2641</v>
      </c>
      <c r="K343" s="252" t="s">
        <v>2642</v>
      </c>
      <c r="L343" s="242" t="s">
        <v>2643</v>
      </c>
    </row>
    <row r="344" spans="1:12">
      <c r="A344" s="44" t="str">
        <f t="shared" si="10"/>
        <v>7112</v>
      </c>
      <c r="B344" s="44" t="str">
        <f t="shared" si="11"/>
        <v>711</v>
      </c>
      <c r="C344" s="44">
        <v>7</v>
      </c>
      <c r="D344" s="44">
        <v>1</v>
      </c>
      <c r="E344" s="44">
        <v>1</v>
      </c>
      <c r="F344" s="44">
        <v>2</v>
      </c>
      <c r="G344" s="48" t="s">
        <v>58</v>
      </c>
      <c r="H344" s="57" t="s">
        <v>59</v>
      </c>
      <c r="I344" s="57" t="s">
        <v>287</v>
      </c>
      <c r="J344" s="251" t="s">
        <v>2641</v>
      </c>
      <c r="K344" s="252" t="s">
        <v>2642</v>
      </c>
      <c r="L344" s="242" t="s">
        <v>2644</v>
      </c>
    </row>
    <row r="345" spans="1:12">
      <c r="A345" s="44" t="str">
        <f t="shared" si="10"/>
        <v>7113</v>
      </c>
      <c r="B345" s="44" t="str">
        <f t="shared" si="11"/>
        <v>711</v>
      </c>
      <c r="C345" s="44">
        <v>7</v>
      </c>
      <c r="D345" s="44">
        <v>1</v>
      </c>
      <c r="E345" s="44">
        <v>1</v>
      </c>
      <c r="F345" s="44">
        <v>3</v>
      </c>
      <c r="G345" s="48" t="s">
        <v>58</v>
      </c>
      <c r="H345" s="57" t="s">
        <v>59</v>
      </c>
      <c r="I345" s="57" t="s">
        <v>288</v>
      </c>
      <c r="J345" s="251" t="s">
        <v>2641</v>
      </c>
      <c r="K345" s="252" t="s">
        <v>2642</v>
      </c>
      <c r="L345" s="242" t="s">
        <v>2645</v>
      </c>
    </row>
    <row r="346" spans="1:12">
      <c r="A346" s="44" t="str">
        <f t="shared" si="10"/>
        <v>7114</v>
      </c>
      <c r="B346" s="44" t="str">
        <f t="shared" si="11"/>
        <v>711</v>
      </c>
      <c r="C346" s="44">
        <v>7</v>
      </c>
      <c r="D346" s="44">
        <v>1</v>
      </c>
      <c r="E346" s="44">
        <v>1</v>
      </c>
      <c r="F346" s="44">
        <v>4</v>
      </c>
      <c r="G346" s="48" t="s">
        <v>58</v>
      </c>
      <c r="H346" s="57" t="s">
        <v>59</v>
      </c>
      <c r="I346" s="57" t="s">
        <v>289</v>
      </c>
      <c r="J346" s="251" t="s">
        <v>2641</v>
      </c>
      <c r="K346" s="252" t="s">
        <v>2642</v>
      </c>
      <c r="L346" s="242" t="s">
        <v>2646</v>
      </c>
    </row>
    <row r="347" spans="1:12">
      <c r="A347" s="44" t="str">
        <f t="shared" si="10"/>
        <v>7115</v>
      </c>
      <c r="B347" s="44" t="str">
        <f t="shared" si="11"/>
        <v>711</v>
      </c>
      <c r="C347" s="44">
        <v>7</v>
      </c>
      <c r="D347" s="44">
        <v>1</v>
      </c>
      <c r="E347" s="44">
        <v>1</v>
      </c>
      <c r="F347" s="44">
        <v>5</v>
      </c>
      <c r="G347" s="48" t="s">
        <v>58</v>
      </c>
      <c r="H347" s="57" t="s">
        <v>59</v>
      </c>
      <c r="I347" s="57" t="s">
        <v>290</v>
      </c>
      <c r="J347" s="251" t="s">
        <v>2641</v>
      </c>
      <c r="K347" s="252" t="s">
        <v>2642</v>
      </c>
      <c r="L347" s="242" t="s">
        <v>2647</v>
      </c>
    </row>
    <row r="348" spans="1:12" ht="30">
      <c r="A348" s="44" t="str">
        <f t="shared" si="10"/>
        <v>7121</v>
      </c>
      <c r="B348" s="44" t="str">
        <f t="shared" si="11"/>
        <v>712</v>
      </c>
      <c r="C348" s="44">
        <v>7</v>
      </c>
      <c r="D348" s="44">
        <v>1</v>
      </c>
      <c r="E348" s="44">
        <v>2</v>
      </c>
      <c r="F348" s="44">
        <v>1</v>
      </c>
      <c r="G348" s="48" t="s">
        <v>58</v>
      </c>
      <c r="H348" s="57" t="s">
        <v>173</v>
      </c>
      <c r="I348" s="57" t="s">
        <v>322</v>
      </c>
      <c r="J348" s="251" t="s">
        <v>2641</v>
      </c>
      <c r="K348" s="252" t="s">
        <v>2648</v>
      </c>
      <c r="L348" s="242" t="s">
        <v>2649</v>
      </c>
    </row>
    <row r="349" spans="1:12" ht="30">
      <c r="A349" s="44" t="str">
        <f t="shared" si="10"/>
        <v>7122</v>
      </c>
      <c r="B349" s="44" t="str">
        <f t="shared" si="11"/>
        <v>712</v>
      </c>
      <c r="C349" s="44">
        <v>7</v>
      </c>
      <c r="D349" s="44">
        <v>1</v>
      </c>
      <c r="E349" s="44">
        <v>2</v>
      </c>
      <c r="F349" s="44">
        <v>2</v>
      </c>
      <c r="G349" s="48" t="s">
        <v>58</v>
      </c>
      <c r="H349" s="57" t="s">
        <v>173</v>
      </c>
      <c r="I349" s="57" t="s">
        <v>323</v>
      </c>
      <c r="J349" s="251" t="s">
        <v>2641</v>
      </c>
      <c r="K349" s="252" t="s">
        <v>2648</v>
      </c>
      <c r="L349" s="242" t="s">
        <v>2650</v>
      </c>
    </row>
    <row r="350" spans="1:12" ht="30">
      <c r="A350" s="44" t="str">
        <f t="shared" si="10"/>
        <v>7123</v>
      </c>
      <c r="B350" s="44" t="str">
        <f t="shared" si="11"/>
        <v>712</v>
      </c>
      <c r="C350" s="44">
        <v>7</v>
      </c>
      <c r="D350" s="44">
        <v>1</v>
      </c>
      <c r="E350" s="44">
        <v>2</v>
      </c>
      <c r="F350" s="44">
        <v>3</v>
      </c>
      <c r="G350" s="48" t="s">
        <v>58</v>
      </c>
      <c r="H350" s="57" t="s">
        <v>173</v>
      </c>
      <c r="I350" s="57" t="s">
        <v>324</v>
      </c>
      <c r="J350" s="251" t="s">
        <v>2641</v>
      </c>
      <c r="K350" s="252" t="s">
        <v>2648</v>
      </c>
      <c r="L350" s="242" t="s">
        <v>2651</v>
      </c>
    </row>
    <row r="351" spans="1:12" ht="30">
      <c r="A351" s="44" t="str">
        <f t="shared" si="10"/>
        <v>7124</v>
      </c>
      <c r="B351" s="44" t="str">
        <f t="shared" si="11"/>
        <v>712</v>
      </c>
      <c r="C351" s="44">
        <v>7</v>
      </c>
      <c r="D351" s="44">
        <v>1</v>
      </c>
      <c r="E351" s="44">
        <v>2</v>
      </c>
      <c r="F351" s="44">
        <v>4</v>
      </c>
      <c r="G351" s="48" t="s">
        <v>58</v>
      </c>
      <c r="H351" s="57" t="s">
        <v>173</v>
      </c>
      <c r="I351" s="57" t="s">
        <v>325</v>
      </c>
      <c r="J351" s="251" t="s">
        <v>2641</v>
      </c>
      <c r="K351" s="252" t="s">
        <v>2648</v>
      </c>
      <c r="L351" s="242" t="s">
        <v>2652</v>
      </c>
    </row>
    <row r="352" spans="1:12" ht="30">
      <c r="A352" s="44" t="str">
        <f t="shared" si="10"/>
        <v>7125</v>
      </c>
      <c r="B352" s="44" t="str">
        <f t="shared" si="11"/>
        <v>712</v>
      </c>
      <c r="C352" s="44">
        <v>7</v>
      </c>
      <c r="D352" s="44">
        <v>1</v>
      </c>
      <c r="E352" s="44">
        <v>2</v>
      </c>
      <c r="F352" s="44">
        <v>5</v>
      </c>
      <c r="G352" s="48" t="s">
        <v>58</v>
      </c>
      <c r="H352" s="57" t="s">
        <v>173</v>
      </c>
      <c r="I352" s="57" t="s">
        <v>326</v>
      </c>
      <c r="J352" s="251" t="s">
        <v>2641</v>
      </c>
      <c r="K352" s="252" t="s">
        <v>2648</v>
      </c>
      <c r="L352" s="242" t="s">
        <v>2653</v>
      </c>
    </row>
    <row r="353" spans="1:12" ht="30">
      <c r="A353" s="44" t="str">
        <f t="shared" si="10"/>
        <v>7126</v>
      </c>
      <c r="B353" s="44" t="str">
        <f t="shared" si="11"/>
        <v>712</v>
      </c>
      <c r="C353" s="44">
        <v>7</v>
      </c>
      <c r="D353" s="44">
        <v>1</v>
      </c>
      <c r="E353" s="44">
        <v>2</v>
      </c>
      <c r="F353" s="44">
        <v>6</v>
      </c>
      <c r="G353" s="48" t="s">
        <v>58</v>
      </c>
      <c r="H353" s="57" t="s">
        <v>173</v>
      </c>
      <c r="I353" s="57" t="s">
        <v>327</v>
      </c>
      <c r="J353" s="251" t="s">
        <v>2641</v>
      </c>
      <c r="K353" s="252" t="s">
        <v>2648</v>
      </c>
      <c r="L353" s="242" t="s">
        <v>2654</v>
      </c>
    </row>
    <row r="354" spans="1:12" ht="30">
      <c r="A354" s="44" t="str">
        <f t="shared" si="10"/>
        <v>7131</v>
      </c>
      <c r="B354" s="44" t="str">
        <f t="shared" si="11"/>
        <v>713</v>
      </c>
      <c r="C354" s="44">
        <v>7</v>
      </c>
      <c r="D354" s="44">
        <v>1</v>
      </c>
      <c r="E354" s="44">
        <v>3</v>
      </c>
      <c r="F354" s="44">
        <v>1</v>
      </c>
      <c r="G354" s="48" t="s">
        <v>58</v>
      </c>
      <c r="H354" s="57" t="s">
        <v>174</v>
      </c>
      <c r="I354" s="57" t="s">
        <v>863</v>
      </c>
      <c r="J354" s="251" t="s">
        <v>2641</v>
      </c>
      <c r="K354" s="252" t="s">
        <v>2655</v>
      </c>
      <c r="L354" s="242" t="s">
        <v>2656</v>
      </c>
    </row>
    <row r="355" spans="1:12" ht="30">
      <c r="A355" s="44" t="str">
        <f t="shared" si="10"/>
        <v>7132</v>
      </c>
      <c r="B355" s="44" t="str">
        <f t="shared" si="11"/>
        <v>713</v>
      </c>
      <c r="C355" s="44">
        <v>7</v>
      </c>
      <c r="D355" s="44">
        <v>1</v>
      </c>
      <c r="E355" s="44">
        <v>3</v>
      </c>
      <c r="F355" s="44">
        <v>2</v>
      </c>
      <c r="G355" s="48" t="s">
        <v>58</v>
      </c>
      <c r="H355" s="57" t="s">
        <v>174</v>
      </c>
      <c r="I355" s="57" t="s">
        <v>328</v>
      </c>
      <c r="J355" s="251" t="s">
        <v>2641</v>
      </c>
      <c r="K355" s="252" t="s">
        <v>2655</v>
      </c>
      <c r="L355" s="242" t="s">
        <v>2657</v>
      </c>
    </row>
    <row r="356" spans="1:12" ht="30">
      <c r="A356" s="44" t="str">
        <f t="shared" si="10"/>
        <v>7211</v>
      </c>
      <c r="B356" s="44" t="str">
        <f t="shared" si="11"/>
        <v>721</v>
      </c>
      <c r="C356" s="44">
        <v>7</v>
      </c>
      <c r="D356" s="44">
        <v>2</v>
      </c>
      <c r="E356" s="44">
        <v>1</v>
      </c>
      <c r="F356" s="44">
        <v>1</v>
      </c>
      <c r="G356" s="48" t="s">
        <v>71</v>
      </c>
      <c r="H356" s="57" t="s">
        <v>175</v>
      </c>
      <c r="I356" s="5" t="s">
        <v>445</v>
      </c>
      <c r="J356" s="251" t="s">
        <v>2658</v>
      </c>
      <c r="K356" s="252" t="s">
        <v>2659</v>
      </c>
      <c r="L356" s="242" t="s">
        <v>2660</v>
      </c>
    </row>
    <row r="357" spans="1:12" ht="30">
      <c r="A357" s="44" t="str">
        <f t="shared" si="10"/>
        <v>7212</v>
      </c>
      <c r="B357" s="44" t="str">
        <f t="shared" si="11"/>
        <v>721</v>
      </c>
      <c r="C357" s="44">
        <v>7</v>
      </c>
      <c r="D357" s="44">
        <v>2</v>
      </c>
      <c r="E357" s="44">
        <v>1</v>
      </c>
      <c r="F357" s="44">
        <v>2</v>
      </c>
      <c r="G357" s="48" t="s">
        <v>71</v>
      </c>
      <c r="H357" s="57" t="s">
        <v>175</v>
      </c>
      <c r="I357" s="5" t="s">
        <v>446</v>
      </c>
      <c r="J357" s="251" t="s">
        <v>2658</v>
      </c>
      <c r="K357" s="252" t="s">
        <v>2659</v>
      </c>
      <c r="L357" s="242" t="s">
        <v>2661</v>
      </c>
    </row>
    <row r="358" spans="1:12" ht="30">
      <c r="A358" s="44" t="str">
        <f t="shared" si="10"/>
        <v>7213</v>
      </c>
      <c r="B358" s="44" t="str">
        <f t="shared" si="11"/>
        <v>721</v>
      </c>
      <c r="C358" s="44">
        <v>7</v>
      </c>
      <c r="D358" s="44">
        <v>2</v>
      </c>
      <c r="E358" s="44">
        <v>1</v>
      </c>
      <c r="F358" s="44">
        <v>3</v>
      </c>
      <c r="G358" s="48" t="s">
        <v>71</v>
      </c>
      <c r="H358" s="57" t="s">
        <v>175</v>
      </c>
      <c r="I358" s="5" t="s">
        <v>447</v>
      </c>
      <c r="J358" s="251" t="s">
        <v>2658</v>
      </c>
      <c r="K358" s="252" t="s">
        <v>2659</v>
      </c>
      <c r="L358" s="242" t="s">
        <v>2662</v>
      </c>
    </row>
    <row r="359" spans="1:12" ht="30">
      <c r="A359" s="44" t="str">
        <f t="shared" si="10"/>
        <v>7214</v>
      </c>
      <c r="B359" s="44" t="str">
        <f t="shared" si="11"/>
        <v>721</v>
      </c>
      <c r="C359" s="44">
        <v>7</v>
      </c>
      <c r="D359" s="44">
        <v>2</v>
      </c>
      <c r="E359" s="44">
        <v>1</v>
      </c>
      <c r="F359" s="44">
        <v>4</v>
      </c>
      <c r="G359" s="48" t="s">
        <v>71</v>
      </c>
      <c r="H359" s="57" t="s">
        <v>175</v>
      </c>
      <c r="I359" s="5" t="s">
        <v>448</v>
      </c>
      <c r="J359" s="251" t="s">
        <v>2658</v>
      </c>
      <c r="K359" s="252" t="s">
        <v>2659</v>
      </c>
      <c r="L359" s="242" t="s">
        <v>2663</v>
      </c>
    </row>
    <row r="360" spans="1:12" ht="30">
      <c r="A360" s="44" t="str">
        <f t="shared" si="10"/>
        <v>7215</v>
      </c>
      <c r="B360" s="44" t="str">
        <f t="shared" si="11"/>
        <v>721</v>
      </c>
      <c r="C360" s="44">
        <v>7</v>
      </c>
      <c r="D360" s="44">
        <v>2</v>
      </c>
      <c r="E360" s="44">
        <v>1</v>
      </c>
      <c r="F360" s="44">
        <v>5</v>
      </c>
      <c r="G360" s="48" t="s">
        <v>71</v>
      </c>
      <c r="H360" s="57" t="s">
        <v>175</v>
      </c>
      <c r="I360" s="5" t="s">
        <v>449</v>
      </c>
      <c r="J360" s="251" t="s">
        <v>2658</v>
      </c>
      <c r="K360" s="252" t="s">
        <v>2659</v>
      </c>
      <c r="L360" s="242" t="s">
        <v>2664</v>
      </c>
    </row>
    <row r="361" spans="1:12" ht="30">
      <c r="A361" s="44" t="str">
        <f t="shared" si="10"/>
        <v>7216</v>
      </c>
      <c r="B361" s="44" t="str">
        <f t="shared" si="11"/>
        <v>721</v>
      </c>
      <c r="C361" s="44">
        <v>7</v>
      </c>
      <c r="D361" s="44">
        <v>2</v>
      </c>
      <c r="E361" s="44">
        <v>1</v>
      </c>
      <c r="F361" s="44">
        <v>6</v>
      </c>
      <c r="G361" s="48" t="s">
        <v>71</v>
      </c>
      <c r="H361" s="57" t="s">
        <v>175</v>
      </c>
      <c r="I361" s="5" t="s">
        <v>450</v>
      </c>
      <c r="J361" s="251" t="s">
        <v>2658</v>
      </c>
      <c r="K361" s="252" t="s">
        <v>2659</v>
      </c>
      <c r="L361" s="242" t="s">
        <v>2665</v>
      </c>
    </row>
    <row r="362" spans="1:12" ht="30">
      <c r="A362" s="44" t="str">
        <f t="shared" si="10"/>
        <v>7221</v>
      </c>
      <c r="B362" s="44" t="str">
        <f t="shared" si="11"/>
        <v>722</v>
      </c>
      <c r="C362" s="44">
        <v>7</v>
      </c>
      <c r="D362" s="44">
        <v>2</v>
      </c>
      <c r="E362" s="44">
        <v>2</v>
      </c>
      <c r="F362" s="44">
        <v>1</v>
      </c>
      <c r="G362" s="48" t="s">
        <v>71</v>
      </c>
      <c r="H362" s="57" t="s">
        <v>15</v>
      </c>
      <c r="I362" s="57" t="s">
        <v>291</v>
      </c>
      <c r="J362" s="251" t="s">
        <v>2658</v>
      </c>
      <c r="K362" s="252" t="s">
        <v>2666</v>
      </c>
      <c r="L362" s="242" t="s">
        <v>2667</v>
      </c>
    </row>
    <row r="363" spans="1:12" ht="30">
      <c r="A363" s="44" t="str">
        <f t="shared" si="10"/>
        <v>7222</v>
      </c>
      <c r="B363" s="44" t="str">
        <f t="shared" si="11"/>
        <v>722</v>
      </c>
      <c r="C363" s="44">
        <v>7</v>
      </c>
      <c r="D363" s="44">
        <v>2</v>
      </c>
      <c r="E363" s="44">
        <v>2</v>
      </c>
      <c r="F363" s="44">
        <v>2</v>
      </c>
      <c r="G363" s="48" t="s">
        <v>71</v>
      </c>
      <c r="H363" s="57" t="s">
        <v>15</v>
      </c>
      <c r="I363" s="57" t="s">
        <v>292</v>
      </c>
      <c r="J363" s="251" t="s">
        <v>2658</v>
      </c>
      <c r="K363" s="252" t="s">
        <v>2666</v>
      </c>
      <c r="L363" s="242" t="s">
        <v>2668</v>
      </c>
    </row>
    <row r="364" spans="1:12" ht="30">
      <c r="A364" s="44" t="str">
        <f t="shared" si="10"/>
        <v>7223</v>
      </c>
      <c r="B364" s="44" t="str">
        <f t="shared" si="11"/>
        <v>722</v>
      </c>
      <c r="C364" s="44">
        <v>7</v>
      </c>
      <c r="D364" s="44">
        <v>2</v>
      </c>
      <c r="E364" s="44">
        <v>2</v>
      </c>
      <c r="F364" s="44">
        <v>3</v>
      </c>
      <c r="G364" s="48" t="s">
        <v>71</v>
      </c>
      <c r="H364" s="57" t="s">
        <v>15</v>
      </c>
      <c r="I364" s="57" t="s">
        <v>293</v>
      </c>
      <c r="J364" s="251" t="s">
        <v>2658</v>
      </c>
      <c r="K364" s="252" t="s">
        <v>2666</v>
      </c>
      <c r="L364" s="242" t="s">
        <v>2669</v>
      </c>
    </row>
    <row r="365" spans="1:12" ht="30">
      <c r="A365" s="44" t="str">
        <f t="shared" si="10"/>
        <v>7224</v>
      </c>
      <c r="B365" s="44" t="str">
        <f t="shared" si="11"/>
        <v>722</v>
      </c>
      <c r="C365" s="44">
        <v>7</v>
      </c>
      <c r="D365" s="44">
        <v>2</v>
      </c>
      <c r="E365" s="44">
        <v>2</v>
      </c>
      <c r="F365" s="44">
        <v>4</v>
      </c>
      <c r="G365" s="48" t="s">
        <v>71</v>
      </c>
      <c r="H365" s="57" t="s">
        <v>15</v>
      </c>
      <c r="I365" s="57" t="s">
        <v>294</v>
      </c>
      <c r="J365" s="251" t="s">
        <v>2658</v>
      </c>
      <c r="K365" s="252" t="s">
        <v>2666</v>
      </c>
      <c r="L365" s="242" t="s">
        <v>2670</v>
      </c>
    </row>
    <row r="366" spans="1:12" ht="30">
      <c r="A366" s="44" t="str">
        <f t="shared" si="10"/>
        <v>7225</v>
      </c>
      <c r="B366" s="44" t="str">
        <f t="shared" si="11"/>
        <v>722</v>
      </c>
      <c r="C366" s="44">
        <v>7</v>
      </c>
      <c r="D366" s="44">
        <v>2</v>
      </c>
      <c r="E366" s="44">
        <v>2</v>
      </c>
      <c r="F366" s="44">
        <v>5</v>
      </c>
      <c r="G366" s="48" t="s">
        <v>71</v>
      </c>
      <c r="H366" s="57" t="s">
        <v>15</v>
      </c>
      <c r="I366" s="57" t="s">
        <v>295</v>
      </c>
      <c r="J366" s="251" t="s">
        <v>2658</v>
      </c>
      <c r="K366" s="252" t="s">
        <v>2666</v>
      </c>
      <c r="L366" s="242" t="s">
        <v>2671</v>
      </c>
    </row>
    <row r="367" spans="1:12" ht="30">
      <c r="A367" s="44" t="str">
        <f t="shared" si="10"/>
        <v>7226</v>
      </c>
      <c r="B367" s="44" t="str">
        <f t="shared" si="11"/>
        <v>722</v>
      </c>
      <c r="C367" s="44">
        <v>7</v>
      </c>
      <c r="D367" s="44">
        <v>2</v>
      </c>
      <c r="E367" s="44">
        <v>2</v>
      </c>
      <c r="F367" s="44">
        <v>6</v>
      </c>
      <c r="G367" s="48" t="s">
        <v>71</v>
      </c>
      <c r="H367" s="57" t="s">
        <v>15</v>
      </c>
      <c r="I367" s="57" t="s">
        <v>296</v>
      </c>
      <c r="J367" s="251" t="s">
        <v>2658</v>
      </c>
      <c r="K367" s="252" t="s">
        <v>2666</v>
      </c>
      <c r="L367" s="242" t="s">
        <v>2672</v>
      </c>
    </row>
    <row r="368" spans="1:12" ht="30">
      <c r="A368" s="44" t="str">
        <f t="shared" si="10"/>
        <v>7227</v>
      </c>
      <c r="B368" s="44" t="str">
        <f t="shared" si="11"/>
        <v>722</v>
      </c>
      <c r="C368" s="44">
        <v>7</v>
      </c>
      <c r="D368" s="44">
        <v>2</v>
      </c>
      <c r="E368" s="44">
        <v>2</v>
      </c>
      <c r="F368" s="44">
        <v>7</v>
      </c>
      <c r="G368" s="48" t="s">
        <v>71</v>
      </c>
      <c r="H368" s="57" t="s">
        <v>15</v>
      </c>
      <c r="I368" s="57" t="s">
        <v>297</v>
      </c>
      <c r="J368" s="251" t="s">
        <v>2658</v>
      </c>
      <c r="K368" s="252" t="s">
        <v>2666</v>
      </c>
      <c r="L368" s="242" t="s">
        <v>2673</v>
      </c>
    </row>
    <row r="369" spans="1:12" ht="30">
      <c r="A369" s="44" t="str">
        <f t="shared" si="10"/>
        <v>7228</v>
      </c>
      <c r="B369" s="44" t="str">
        <f t="shared" si="11"/>
        <v>722</v>
      </c>
      <c r="C369" s="44">
        <v>7</v>
      </c>
      <c r="D369" s="44">
        <v>2</v>
      </c>
      <c r="E369" s="44">
        <v>2</v>
      </c>
      <c r="F369" s="44">
        <v>8</v>
      </c>
      <c r="G369" s="48" t="s">
        <v>71</v>
      </c>
      <c r="H369" s="57" t="s">
        <v>15</v>
      </c>
      <c r="I369" s="57" t="s">
        <v>298</v>
      </c>
      <c r="J369" s="251" t="s">
        <v>2658</v>
      </c>
      <c r="K369" s="252" t="s">
        <v>2666</v>
      </c>
      <c r="L369" s="242" t="s">
        <v>2674</v>
      </c>
    </row>
    <row r="370" spans="1:12" ht="30">
      <c r="A370" s="44" t="str">
        <f t="shared" si="10"/>
        <v>7231</v>
      </c>
      <c r="B370" s="44" t="str">
        <f t="shared" si="11"/>
        <v>723</v>
      </c>
      <c r="C370" s="44">
        <v>7</v>
      </c>
      <c r="D370" s="44">
        <v>2</v>
      </c>
      <c r="E370" s="44">
        <v>3</v>
      </c>
      <c r="F370" s="44">
        <v>1</v>
      </c>
      <c r="G370" s="48" t="s">
        <v>71</v>
      </c>
      <c r="H370" s="57" t="s">
        <v>176</v>
      </c>
      <c r="I370" s="58" t="s">
        <v>451</v>
      </c>
      <c r="J370" s="251" t="s">
        <v>2658</v>
      </c>
      <c r="K370" s="252" t="s">
        <v>2675</v>
      </c>
      <c r="L370" s="242" t="s">
        <v>2676</v>
      </c>
    </row>
    <row r="371" spans="1:12" ht="30">
      <c r="A371" s="44" t="str">
        <f t="shared" si="10"/>
        <v>7232</v>
      </c>
      <c r="B371" s="44" t="str">
        <f t="shared" si="11"/>
        <v>723</v>
      </c>
      <c r="C371" s="44">
        <v>7</v>
      </c>
      <c r="D371" s="44">
        <v>2</v>
      </c>
      <c r="E371" s="44">
        <v>3</v>
      </c>
      <c r="F371" s="44">
        <v>2</v>
      </c>
      <c r="G371" s="48" t="s">
        <v>71</v>
      </c>
      <c r="H371" s="57" t="s">
        <v>176</v>
      </c>
      <c r="I371" s="58" t="s">
        <v>452</v>
      </c>
      <c r="J371" s="251" t="s">
        <v>2658</v>
      </c>
      <c r="K371" s="252" t="s">
        <v>2675</v>
      </c>
      <c r="L371" s="242" t="s">
        <v>2677</v>
      </c>
    </row>
    <row r="372" spans="1:12" ht="30">
      <c r="A372" s="44" t="str">
        <f t="shared" si="10"/>
        <v>7233</v>
      </c>
      <c r="B372" s="44" t="str">
        <f t="shared" si="11"/>
        <v>723</v>
      </c>
      <c r="C372" s="44">
        <v>7</v>
      </c>
      <c r="D372" s="44">
        <v>2</v>
      </c>
      <c r="E372" s="44">
        <v>3</v>
      </c>
      <c r="F372" s="44">
        <v>3</v>
      </c>
      <c r="G372" s="48" t="s">
        <v>71</v>
      </c>
      <c r="H372" s="57" t="s">
        <v>176</v>
      </c>
      <c r="I372" s="58" t="s">
        <v>453</v>
      </c>
      <c r="J372" s="251" t="s">
        <v>2658</v>
      </c>
      <c r="K372" s="252" t="s">
        <v>2675</v>
      </c>
      <c r="L372" s="242" t="s">
        <v>2678</v>
      </c>
    </row>
    <row r="373" spans="1:12" ht="30">
      <c r="A373" s="44" t="str">
        <f t="shared" si="10"/>
        <v>7234</v>
      </c>
      <c r="B373" s="44" t="str">
        <f t="shared" si="11"/>
        <v>723</v>
      </c>
      <c r="C373" s="44">
        <v>7</v>
      </c>
      <c r="D373" s="44">
        <v>2</v>
      </c>
      <c r="E373" s="44">
        <v>3</v>
      </c>
      <c r="F373" s="44">
        <v>4</v>
      </c>
      <c r="G373" s="48" t="s">
        <v>71</v>
      </c>
      <c r="H373" s="57" t="s">
        <v>176</v>
      </c>
      <c r="I373" s="58" t="s">
        <v>454</v>
      </c>
      <c r="J373" s="251" t="s">
        <v>2658</v>
      </c>
      <c r="K373" s="252" t="s">
        <v>2675</v>
      </c>
      <c r="L373" s="242" t="s">
        <v>2679</v>
      </c>
    </row>
    <row r="374" spans="1:12" ht="30">
      <c r="A374" s="44" t="str">
        <f t="shared" si="10"/>
        <v>7235</v>
      </c>
      <c r="B374" s="44" t="str">
        <f t="shared" si="11"/>
        <v>723</v>
      </c>
      <c r="C374" s="44">
        <v>7</v>
      </c>
      <c r="D374" s="44">
        <v>2</v>
      </c>
      <c r="E374" s="44">
        <v>3</v>
      </c>
      <c r="F374" s="44">
        <v>5</v>
      </c>
      <c r="G374" s="48" t="s">
        <v>71</v>
      </c>
      <c r="H374" s="57" t="s">
        <v>176</v>
      </c>
      <c r="I374" s="58" t="s">
        <v>455</v>
      </c>
      <c r="J374" s="251" t="s">
        <v>2658</v>
      </c>
      <c r="K374" s="252" t="s">
        <v>2675</v>
      </c>
      <c r="L374" s="242" t="s">
        <v>2680</v>
      </c>
    </row>
    <row r="375" spans="1:12" ht="30">
      <c r="A375" s="44" t="str">
        <f t="shared" si="10"/>
        <v>7311</v>
      </c>
      <c r="B375" s="44" t="str">
        <f t="shared" si="11"/>
        <v>731</v>
      </c>
      <c r="C375" s="44">
        <v>7</v>
      </c>
      <c r="D375" s="44">
        <v>3</v>
      </c>
      <c r="E375" s="44">
        <v>1</v>
      </c>
      <c r="F375" s="44">
        <v>1</v>
      </c>
      <c r="G375" s="48" t="s">
        <v>64</v>
      </c>
      <c r="H375" s="57" t="s">
        <v>177</v>
      </c>
      <c r="I375" s="58" t="s">
        <v>562</v>
      </c>
      <c r="J375" s="251" t="s">
        <v>2681</v>
      </c>
      <c r="K375" s="252" t="s">
        <v>2682</v>
      </c>
      <c r="L375" s="242" t="s">
        <v>2683</v>
      </c>
    </row>
    <row r="376" spans="1:12" ht="30">
      <c r="A376" s="44" t="str">
        <f t="shared" si="10"/>
        <v>7312</v>
      </c>
      <c r="B376" s="44" t="str">
        <f t="shared" si="11"/>
        <v>731</v>
      </c>
      <c r="C376" s="44">
        <v>7</v>
      </c>
      <c r="D376" s="44">
        <v>3</v>
      </c>
      <c r="E376" s="44">
        <v>1</v>
      </c>
      <c r="F376" s="44">
        <v>2</v>
      </c>
      <c r="G376" s="48" t="s">
        <v>64</v>
      </c>
      <c r="H376" s="57" t="s">
        <v>177</v>
      </c>
      <c r="I376" s="58" t="s">
        <v>456</v>
      </c>
      <c r="J376" s="251" t="s">
        <v>2681</v>
      </c>
      <c r="K376" s="252" t="s">
        <v>2682</v>
      </c>
      <c r="L376" s="242" t="s">
        <v>2684</v>
      </c>
    </row>
    <row r="377" spans="1:12" ht="30">
      <c r="A377" s="44" t="str">
        <f t="shared" si="10"/>
        <v>7313</v>
      </c>
      <c r="B377" s="44" t="str">
        <f t="shared" si="11"/>
        <v>731</v>
      </c>
      <c r="C377" s="44">
        <v>7</v>
      </c>
      <c r="D377" s="44">
        <v>3</v>
      </c>
      <c r="E377" s="44">
        <v>1</v>
      </c>
      <c r="F377" s="44">
        <v>3</v>
      </c>
      <c r="G377" s="48" t="s">
        <v>64</v>
      </c>
      <c r="H377" s="57" t="s">
        <v>177</v>
      </c>
      <c r="I377" s="58" t="s">
        <v>457</v>
      </c>
      <c r="J377" s="251" t="s">
        <v>2681</v>
      </c>
      <c r="K377" s="252" t="s">
        <v>2682</v>
      </c>
      <c r="L377" s="242" t="s">
        <v>2685</v>
      </c>
    </row>
    <row r="378" spans="1:12" ht="30">
      <c r="A378" s="44" t="str">
        <f t="shared" si="10"/>
        <v>7314</v>
      </c>
      <c r="B378" s="44" t="str">
        <f t="shared" si="11"/>
        <v>731</v>
      </c>
      <c r="C378" s="44">
        <v>7</v>
      </c>
      <c r="D378" s="44">
        <v>3</v>
      </c>
      <c r="E378" s="44">
        <v>1</v>
      </c>
      <c r="F378" s="44">
        <v>4</v>
      </c>
      <c r="G378" s="48" t="s">
        <v>64</v>
      </c>
      <c r="H378" s="57" t="s">
        <v>177</v>
      </c>
      <c r="I378" s="58" t="s">
        <v>458</v>
      </c>
      <c r="J378" s="251" t="s">
        <v>2681</v>
      </c>
      <c r="K378" s="252" t="s">
        <v>2682</v>
      </c>
      <c r="L378" s="242" t="s">
        <v>2686</v>
      </c>
    </row>
    <row r="379" spans="1:12" ht="30">
      <c r="A379" s="44" t="str">
        <f t="shared" si="10"/>
        <v>7321</v>
      </c>
      <c r="B379" s="44" t="str">
        <f t="shared" si="11"/>
        <v>732</v>
      </c>
      <c r="C379" s="44">
        <v>7</v>
      </c>
      <c r="D379" s="44">
        <v>3</v>
      </c>
      <c r="E379" s="44">
        <v>2</v>
      </c>
      <c r="F379" s="44">
        <v>1</v>
      </c>
      <c r="G379" s="48" t="s">
        <v>64</v>
      </c>
      <c r="H379" s="57" t="s">
        <v>11</v>
      </c>
      <c r="I379" s="57" t="s">
        <v>299</v>
      </c>
      <c r="J379" s="251" t="s">
        <v>2681</v>
      </c>
      <c r="K379" s="252" t="s">
        <v>2687</v>
      </c>
      <c r="L379" s="242" t="s">
        <v>2688</v>
      </c>
    </row>
    <row r="380" spans="1:12" ht="30">
      <c r="A380" s="44" t="str">
        <f t="shared" si="10"/>
        <v>7322</v>
      </c>
      <c r="B380" s="44" t="str">
        <f t="shared" si="11"/>
        <v>732</v>
      </c>
      <c r="C380" s="44">
        <v>7</v>
      </c>
      <c r="D380" s="44">
        <v>3</v>
      </c>
      <c r="E380" s="44">
        <v>2</v>
      </c>
      <c r="F380" s="44">
        <v>2</v>
      </c>
      <c r="G380" s="48" t="s">
        <v>64</v>
      </c>
      <c r="H380" s="57" t="s">
        <v>11</v>
      </c>
      <c r="I380" s="57" t="s">
        <v>300</v>
      </c>
      <c r="J380" s="251" t="s">
        <v>2681</v>
      </c>
      <c r="K380" s="252" t="s">
        <v>2687</v>
      </c>
      <c r="L380" s="242" t="s">
        <v>2689</v>
      </c>
    </row>
    <row r="381" spans="1:12" ht="30">
      <c r="A381" s="44" t="str">
        <f t="shared" si="10"/>
        <v>7323</v>
      </c>
      <c r="B381" s="44" t="str">
        <f t="shared" si="11"/>
        <v>732</v>
      </c>
      <c r="C381" s="44">
        <v>7</v>
      </c>
      <c r="D381" s="44">
        <v>3</v>
      </c>
      <c r="E381" s="44">
        <v>2</v>
      </c>
      <c r="F381" s="44">
        <v>3</v>
      </c>
      <c r="G381" s="48" t="s">
        <v>64</v>
      </c>
      <c r="H381" s="57" t="s">
        <v>11</v>
      </c>
      <c r="I381" s="57" t="s">
        <v>301</v>
      </c>
      <c r="J381" s="251" t="s">
        <v>2681</v>
      </c>
      <c r="K381" s="252" t="s">
        <v>2687</v>
      </c>
      <c r="L381" s="242" t="s">
        <v>2690</v>
      </c>
    </row>
    <row r="382" spans="1:12" ht="30">
      <c r="A382" s="44" t="str">
        <f t="shared" si="10"/>
        <v>7324</v>
      </c>
      <c r="B382" s="44" t="str">
        <f t="shared" si="11"/>
        <v>732</v>
      </c>
      <c r="C382" s="44">
        <v>7</v>
      </c>
      <c r="D382" s="44">
        <v>3</v>
      </c>
      <c r="E382" s="44">
        <v>2</v>
      </c>
      <c r="F382" s="44">
        <v>4</v>
      </c>
      <c r="G382" s="48" t="s">
        <v>64</v>
      </c>
      <c r="H382" s="57" t="s">
        <v>11</v>
      </c>
      <c r="I382" s="57" t="s">
        <v>302</v>
      </c>
      <c r="J382" s="251" t="s">
        <v>2681</v>
      </c>
      <c r="K382" s="252" t="s">
        <v>2687</v>
      </c>
      <c r="L382" s="242" t="s">
        <v>2691</v>
      </c>
    </row>
    <row r="383" spans="1:12" ht="30">
      <c r="A383" s="44" t="str">
        <f t="shared" si="10"/>
        <v>7325</v>
      </c>
      <c r="B383" s="44" t="str">
        <f t="shared" si="11"/>
        <v>732</v>
      </c>
      <c r="C383" s="44">
        <v>7</v>
      </c>
      <c r="D383" s="44">
        <v>3</v>
      </c>
      <c r="E383" s="44">
        <v>2</v>
      </c>
      <c r="F383" s="44">
        <v>5</v>
      </c>
      <c r="G383" s="48" t="s">
        <v>64</v>
      </c>
      <c r="H383" s="57" t="s">
        <v>11</v>
      </c>
      <c r="I383" s="57" t="s">
        <v>303</v>
      </c>
      <c r="J383" s="251" t="s">
        <v>2681</v>
      </c>
      <c r="K383" s="252" t="s">
        <v>2687</v>
      </c>
      <c r="L383" s="242" t="s">
        <v>2692</v>
      </c>
    </row>
    <row r="384" spans="1:12" ht="30">
      <c r="A384" s="44" t="str">
        <f t="shared" si="10"/>
        <v>7326</v>
      </c>
      <c r="B384" s="44" t="str">
        <f t="shared" si="11"/>
        <v>732</v>
      </c>
      <c r="C384" s="44">
        <v>7</v>
      </c>
      <c r="D384" s="44">
        <v>3</v>
      </c>
      <c r="E384" s="44">
        <v>2</v>
      </c>
      <c r="F384" s="44">
        <v>6</v>
      </c>
      <c r="G384" s="48" t="s">
        <v>64</v>
      </c>
      <c r="H384" s="57" t="s">
        <v>11</v>
      </c>
      <c r="I384" s="57" t="s">
        <v>304</v>
      </c>
      <c r="J384" s="251" t="s">
        <v>2681</v>
      </c>
      <c r="K384" s="252" t="s">
        <v>2687</v>
      </c>
      <c r="L384" s="242" t="s">
        <v>2693</v>
      </c>
    </row>
    <row r="385" spans="1:12" ht="30">
      <c r="A385" s="44" t="str">
        <f t="shared" si="10"/>
        <v>7327</v>
      </c>
      <c r="B385" s="44" t="str">
        <f t="shared" si="11"/>
        <v>732</v>
      </c>
      <c r="C385" s="44">
        <v>7</v>
      </c>
      <c r="D385" s="44">
        <v>3</v>
      </c>
      <c r="E385" s="44">
        <v>2</v>
      </c>
      <c r="F385" s="44">
        <v>7</v>
      </c>
      <c r="G385" s="48" t="s">
        <v>64</v>
      </c>
      <c r="H385" s="57" t="s">
        <v>11</v>
      </c>
      <c r="I385" s="57" t="s">
        <v>23</v>
      </c>
      <c r="J385" s="251" t="s">
        <v>2681</v>
      </c>
      <c r="K385" s="252" t="s">
        <v>2687</v>
      </c>
      <c r="L385" s="242" t="s">
        <v>2694</v>
      </c>
    </row>
    <row r="386" spans="1:12" ht="30">
      <c r="A386" s="44" t="str">
        <f t="shared" si="10"/>
        <v>7328</v>
      </c>
      <c r="B386" s="44" t="str">
        <f t="shared" si="11"/>
        <v>732</v>
      </c>
      <c r="C386" s="44">
        <v>7</v>
      </c>
      <c r="D386" s="44">
        <v>3</v>
      </c>
      <c r="E386" s="44">
        <v>2</v>
      </c>
      <c r="F386" s="44">
        <v>8</v>
      </c>
      <c r="G386" s="48" t="s">
        <v>64</v>
      </c>
      <c r="H386" s="57" t="s">
        <v>11</v>
      </c>
      <c r="I386" s="57" t="s">
        <v>305</v>
      </c>
      <c r="J386" s="251" t="s">
        <v>2681</v>
      </c>
      <c r="K386" s="252" t="s">
        <v>2687</v>
      </c>
      <c r="L386" s="242" t="s">
        <v>2695</v>
      </c>
    </row>
    <row r="387" spans="1:12" ht="30">
      <c r="A387" s="44" t="str">
        <f t="shared" si="10"/>
        <v>7331</v>
      </c>
      <c r="B387" s="44" t="str">
        <f t="shared" si="11"/>
        <v>733</v>
      </c>
      <c r="C387" s="44">
        <v>7</v>
      </c>
      <c r="D387" s="44">
        <v>3</v>
      </c>
      <c r="E387" s="44">
        <v>3</v>
      </c>
      <c r="F387" s="44">
        <v>1</v>
      </c>
      <c r="G387" s="48" t="s">
        <v>64</v>
      </c>
      <c r="H387" s="57" t="s">
        <v>178</v>
      </c>
      <c r="I387" s="58" t="s">
        <v>179</v>
      </c>
      <c r="J387" s="251" t="s">
        <v>2681</v>
      </c>
      <c r="K387" s="252" t="s">
        <v>2696</v>
      </c>
      <c r="L387" s="242" t="s">
        <v>2697</v>
      </c>
    </row>
    <row r="388" spans="1:12" ht="30">
      <c r="A388" s="44" t="str">
        <f t="shared" si="10"/>
        <v>7332</v>
      </c>
      <c r="B388" s="44" t="str">
        <f t="shared" si="11"/>
        <v>733</v>
      </c>
      <c r="C388" s="44">
        <v>7</v>
      </c>
      <c r="D388" s="44">
        <v>3</v>
      </c>
      <c r="E388" s="44">
        <v>3</v>
      </c>
      <c r="F388" s="44">
        <v>2</v>
      </c>
      <c r="G388" s="48" t="s">
        <v>64</v>
      </c>
      <c r="H388" s="57" t="s">
        <v>178</v>
      </c>
      <c r="I388" s="57" t="s">
        <v>306</v>
      </c>
      <c r="J388" s="251" t="s">
        <v>2681</v>
      </c>
      <c r="K388" s="252" t="s">
        <v>2696</v>
      </c>
      <c r="L388" s="242" t="s">
        <v>2698</v>
      </c>
    </row>
    <row r="389" spans="1:12">
      <c r="A389" s="44" t="str">
        <f t="shared" si="10"/>
        <v>7333</v>
      </c>
      <c r="B389" s="44" t="str">
        <f t="shared" si="11"/>
        <v>733</v>
      </c>
      <c r="C389" s="44">
        <v>7</v>
      </c>
      <c r="D389" s="44">
        <v>3</v>
      </c>
      <c r="E389" s="44">
        <v>3</v>
      </c>
      <c r="F389" s="44">
        <v>3</v>
      </c>
      <c r="G389" s="48" t="s">
        <v>64</v>
      </c>
      <c r="H389" s="57" t="s">
        <v>178</v>
      </c>
      <c r="I389" s="58" t="s">
        <v>180</v>
      </c>
      <c r="J389" s="251" t="s">
        <v>2681</v>
      </c>
      <c r="K389" s="252" t="s">
        <v>2696</v>
      </c>
      <c r="L389" s="242" t="s">
        <v>2699</v>
      </c>
    </row>
    <row r="390" spans="1:12">
      <c r="A390" s="44"/>
      <c r="B390" s="44"/>
      <c r="C390" s="44"/>
      <c r="D390" s="44"/>
      <c r="E390" s="44"/>
      <c r="F390" s="44"/>
      <c r="G390" s="49"/>
      <c r="H390" s="49"/>
      <c r="I390" s="49"/>
      <c r="K390" s="255" t="s">
        <v>2696</v>
      </c>
    </row>
    <row r="391" spans="1:12">
      <c r="A391" s="44"/>
      <c r="B391" s="44"/>
      <c r="C391" s="44"/>
      <c r="D391" s="44"/>
      <c r="E391" s="44"/>
      <c r="F391" s="44"/>
      <c r="G391" s="49"/>
      <c r="H391" s="49"/>
      <c r="I391" s="41"/>
    </row>
    <row r="392" spans="1:12">
      <c r="A392" s="44"/>
      <c r="B392" s="44"/>
      <c r="C392" s="44"/>
      <c r="D392" s="44"/>
      <c r="E392" s="44"/>
      <c r="F392" s="44"/>
      <c r="G392" s="49"/>
      <c r="H392" s="49"/>
      <c r="I392" s="57"/>
    </row>
    <row r="393" spans="1:12">
      <c r="A393" s="44"/>
      <c r="B393" s="44"/>
      <c r="C393" s="44"/>
      <c r="D393" s="44"/>
      <c r="E393" s="44"/>
      <c r="F393" s="44"/>
      <c r="G393" s="49"/>
      <c r="H393" s="49"/>
      <c r="I393" s="49"/>
    </row>
    <row r="394" spans="1:12">
      <c r="A394" s="44"/>
      <c r="B394" s="44"/>
      <c r="C394" s="44"/>
      <c r="D394" s="44"/>
      <c r="E394" s="44"/>
      <c r="F394" s="44"/>
      <c r="G394" s="49"/>
      <c r="H394" s="49"/>
      <c r="I394" s="49"/>
    </row>
    <row r="395" spans="1:12">
      <c r="A395" s="44"/>
      <c r="B395" s="44"/>
      <c r="C395" s="44"/>
      <c r="D395" s="44"/>
      <c r="E395" s="44"/>
      <c r="F395" s="44"/>
      <c r="G395" s="49"/>
      <c r="H395" s="49"/>
      <c r="I395" s="49"/>
    </row>
    <row r="396" spans="1:12">
      <c r="A396" s="44"/>
      <c r="B396" s="44"/>
      <c r="C396" s="44"/>
      <c r="D396" s="44"/>
      <c r="E396" s="44"/>
      <c r="F396" s="44"/>
      <c r="G396" s="49"/>
      <c r="H396" s="49"/>
      <c r="I396" s="49"/>
    </row>
    <row r="397" spans="1:12">
      <c r="A397" s="44"/>
      <c r="B397" s="44"/>
      <c r="C397" s="44"/>
      <c r="D397" s="44"/>
      <c r="E397" s="44"/>
      <c r="F397" s="44"/>
      <c r="G397" s="49"/>
      <c r="H397" s="49"/>
      <c r="I397" s="49"/>
    </row>
    <row r="398" spans="1:12">
      <c r="A398" s="44"/>
      <c r="B398" s="44"/>
      <c r="C398" s="44"/>
      <c r="D398" s="44"/>
      <c r="E398" s="44"/>
      <c r="F398" s="44"/>
      <c r="G398" s="49"/>
      <c r="H398" s="49"/>
      <c r="I398" s="49"/>
    </row>
    <row r="399" spans="1:12">
      <c r="A399" s="44"/>
      <c r="B399" s="44"/>
      <c r="C399" s="44"/>
      <c r="D399" s="44"/>
      <c r="E399" s="44"/>
      <c r="F399" s="44"/>
      <c r="G399" s="49"/>
      <c r="H399" s="49"/>
      <c r="I399" s="49"/>
    </row>
    <row r="400" spans="1:12">
      <c r="A400" s="44"/>
      <c r="B400" s="44"/>
      <c r="C400" s="44"/>
      <c r="D400" s="44"/>
      <c r="E400" s="44"/>
      <c r="F400" s="44"/>
      <c r="G400" s="49"/>
      <c r="H400" s="49"/>
      <c r="I400" s="49"/>
    </row>
    <row r="401" spans="1:9">
      <c r="A401" s="44"/>
      <c r="B401" s="44"/>
      <c r="C401" s="44"/>
      <c r="D401" s="44"/>
      <c r="E401" s="44"/>
      <c r="F401" s="44"/>
      <c r="G401" s="49"/>
      <c r="H401" s="49"/>
      <c r="I401" s="49"/>
    </row>
    <row r="402" spans="1:9">
      <c r="A402" s="44"/>
      <c r="B402" s="44"/>
      <c r="C402" s="44"/>
      <c r="D402" s="44"/>
      <c r="E402" s="44"/>
      <c r="F402" s="44"/>
      <c r="G402" s="49"/>
      <c r="H402" s="49"/>
      <c r="I402" s="49"/>
    </row>
    <row r="403" spans="1:9">
      <c r="A403" s="44"/>
      <c r="B403" s="44"/>
      <c r="C403" s="44"/>
      <c r="D403" s="44"/>
      <c r="E403" s="44"/>
      <c r="F403" s="44"/>
      <c r="G403" s="49"/>
      <c r="H403" s="49"/>
      <c r="I403" s="49"/>
    </row>
    <row r="404" spans="1:9">
      <c r="A404" s="44"/>
      <c r="B404" s="44"/>
      <c r="C404" s="44"/>
      <c r="D404" s="44"/>
      <c r="E404" s="44"/>
      <c r="F404" s="44"/>
      <c r="G404" s="49"/>
      <c r="H404" s="49"/>
      <c r="I404" s="49"/>
    </row>
    <row r="405" spans="1:9">
      <c r="A405" s="44"/>
      <c r="B405" s="44"/>
      <c r="C405" s="44"/>
      <c r="D405" s="44"/>
      <c r="E405" s="44"/>
      <c r="F405" s="44"/>
      <c r="G405" s="49"/>
      <c r="H405" s="49"/>
      <c r="I405" s="49"/>
    </row>
    <row r="406" spans="1:9">
      <c r="A406" s="44"/>
      <c r="B406" s="44"/>
      <c r="C406" s="44"/>
      <c r="D406" s="44"/>
      <c r="E406" s="44"/>
      <c r="F406" s="44"/>
      <c r="G406" s="49"/>
      <c r="H406" s="49"/>
      <c r="I406" s="49"/>
    </row>
    <row r="407" spans="1:9">
      <c r="A407" s="44"/>
      <c r="B407" s="44"/>
      <c r="C407" s="44"/>
      <c r="D407" s="44"/>
      <c r="E407" s="44"/>
      <c r="F407" s="44"/>
      <c r="G407" s="49"/>
      <c r="H407" s="49"/>
      <c r="I407" s="49"/>
    </row>
    <row r="408" spans="1:9">
      <c r="A408" s="44"/>
      <c r="B408" s="44"/>
      <c r="C408" s="44"/>
      <c r="D408" s="44"/>
      <c r="E408" s="44"/>
      <c r="F408" s="44"/>
      <c r="G408" s="49"/>
      <c r="H408" s="49"/>
      <c r="I408" s="49"/>
    </row>
    <row r="409" spans="1:9">
      <c r="A409" s="44"/>
      <c r="B409" s="44"/>
      <c r="C409" s="44"/>
      <c r="D409" s="44"/>
      <c r="E409" s="44"/>
      <c r="F409" s="44"/>
      <c r="G409" s="49"/>
      <c r="H409" s="49"/>
      <c r="I409" s="49"/>
    </row>
    <row r="410" spans="1:9">
      <c r="A410" s="44"/>
      <c r="B410" s="44"/>
      <c r="C410" s="44"/>
      <c r="D410" s="44"/>
      <c r="E410" s="44"/>
      <c r="F410" s="44"/>
      <c r="G410" s="49"/>
      <c r="H410" s="49"/>
      <c r="I410" s="49"/>
    </row>
    <row r="411" spans="1:9">
      <c r="A411" s="44"/>
      <c r="B411" s="44"/>
      <c r="C411" s="44"/>
      <c r="D411" s="44"/>
      <c r="E411" s="44"/>
      <c r="F411" s="44"/>
      <c r="G411" s="49"/>
      <c r="H411" s="49"/>
      <c r="I411" s="49"/>
    </row>
    <row r="412" spans="1:9">
      <c r="A412" s="44"/>
      <c r="B412" s="44"/>
      <c r="C412" s="44"/>
      <c r="D412" s="44"/>
      <c r="E412" s="44"/>
      <c r="F412" s="44"/>
      <c r="G412" s="49"/>
      <c r="H412" s="49"/>
      <c r="I412" s="49"/>
    </row>
    <row r="413" spans="1:9">
      <c r="A413" s="44"/>
      <c r="B413" s="44"/>
      <c r="C413" s="44"/>
      <c r="D413" s="44"/>
      <c r="E413" s="44"/>
      <c r="F413" s="44"/>
      <c r="G413" s="49"/>
      <c r="H413" s="49"/>
      <c r="I413" s="49"/>
    </row>
    <row r="414" spans="1:9">
      <c r="A414" s="44"/>
      <c r="B414" s="44"/>
      <c r="C414" s="44"/>
      <c r="D414" s="44"/>
      <c r="E414" s="44"/>
      <c r="F414" s="44"/>
      <c r="G414" s="49"/>
      <c r="H414" s="49"/>
      <c r="I414" s="49"/>
    </row>
    <row r="415" spans="1:9">
      <c r="A415" s="44"/>
      <c r="B415" s="44"/>
      <c r="C415" s="44"/>
      <c r="D415" s="44"/>
      <c r="E415" s="44"/>
      <c r="F415" s="44"/>
      <c r="G415" s="49"/>
      <c r="H415" s="49"/>
      <c r="I415" s="49"/>
    </row>
    <row r="416" spans="1:9">
      <c r="A416" s="44"/>
      <c r="B416" s="44"/>
      <c r="C416" s="44"/>
      <c r="D416" s="44"/>
      <c r="E416" s="44"/>
      <c r="F416" s="44"/>
      <c r="G416" s="49"/>
      <c r="H416" s="49"/>
      <c r="I416" s="49"/>
    </row>
    <row r="417" spans="1:9">
      <c r="A417" s="44"/>
      <c r="B417" s="44"/>
      <c r="C417" s="44"/>
      <c r="D417" s="44"/>
      <c r="E417" s="44"/>
      <c r="F417" s="44"/>
      <c r="G417" s="49"/>
      <c r="H417" s="49"/>
      <c r="I417" s="49"/>
    </row>
    <row r="418" spans="1:9">
      <c r="A418" s="44"/>
      <c r="B418" s="44"/>
      <c r="C418" s="44"/>
      <c r="D418" s="44"/>
      <c r="E418" s="44"/>
      <c r="F418" s="44"/>
      <c r="G418" s="49"/>
      <c r="H418" s="49"/>
      <c r="I418" s="49"/>
    </row>
    <row r="419" spans="1:9">
      <c r="A419" s="44"/>
      <c r="B419" s="44"/>
      <c r="C419" s="44"/>
      <c r="D419" s="44"/>
      <c r="E419" s="44"/>
      <c r="F419" s="44"/>
      <c r="G419" s="49"/>
      <c r="H419" s="49"/>
      <c r="I419" s="49"/>
    </row>
    <row r="420" spans="1:9">
      <c r="A420" s="44"/>
      <c r="B420" s="44"/>
      <c r="C420" s="44"/>
      <c r="D420" s="44"/>
      <c r="E420" s="44"/>
      <c r="F420" s="44"/>
      <c r="G420" s="49"/>
      <c r="H420" s="49"/>
      <c r="I420" s="49"/>
    </row>
    <row r="421" spans="1:9">
      <c r="A421" s="44"/>
      <c r="B421" s="44"/>
      <c r="C421" s="44"/>
      <c r="D421" s="44"/>
      <c r="E421" s="44"/>
      <c r="F421" s="44"/>
      <c r="G421" s="49"/>
      <c r="H421" s="49"/>
      <c r="I421" s="49"/>
    </row>
    <row r="422" spans="1:9">
      <c r="A422" s="44"/>
      <c r="B422" s="44"/>
      <c r="C422" s="44"/>
      <c r="D422" s="44"/>
      <c r="E422" s="44"/>
      <c r="F422" s="44"/>
      <c r="G422" s="49"/>
      <c r="H422" s="49"/>
      <c r="I422" s="49"/>
    </row>
    <row r="423" spans="1:9">
      <c r="A423" s="44"/>
      <c r="B423" s="44"/>
      <c r="C423" s="44"/>
      <c r="D423" s="44"/>
      <c r="E423" s="44"/>
      <c r="F423" s="44"/>
      <c r="G423" s="49"/>
      <c r="H423" s="49"/>
      <c r="I423" s="49"/>
    </row>
    <row r="424" spans="1:9">
      <c r="A424" s="44"/>
      <c r="B424" s="44"/>
      <c r="C424" s="44"/>
      <c r="D424" s="44"/>
      <c r="E424" s="44"/>
      <c r="F424" s="44"/>
      <c r="G424" s="49"/>
      <c r="H424" s="49"/>
      <c r="I424" s="49"/>
    </row>
    <row r="425" spans="1:9">
      <c r="A425" s="44"/>
      <c r="B425" s="44"/>
      <c r="C425" s="44"/>
      <c r="D425" s="44"/>
      <c r="E425" s="44"/>
      <c r="F425" s="44"/>
      <c r="G425" s="49"/>
      <c r="H425" s="49"/>
      <c r="I425" s="49"/>
    </row>
    <row r="426" spans="1:9">
      <c r="A426" s="44"/>
      <c r="B426" s="44"/>
      <c r="C426" s="44"/>
      <c r="D426" s="44"/>
      <c r="E426" s="44"/>
      <c r="F426" s="44"/>
      <c r="G426" s="49"/>
      <c r="H426" s="49"/>
      <c r="I426" s="49"/>
    </row>
    <row r="427" spans="1:9">
      <c r="A427" s="44"/>
      <c r="B427" s="44"/>
      <c r="C427" s="44"/>
      <c r="D427" s="44"/>
      <c r="E427" s="44"/>
      <c r="F427" s="44"/>
      <c r="G427" s="49"/>
      <c r="H427" s="49"/>
      <c r="I427" s="49"/>
    </row>
    <row r="428" spans="1:9">
      <c r="A428" s="44"/>
      <c r="B428" s="44"/>
      <c r="C428" s="44"/>
      <c r="D428" s="44"/>
      <c r="E428" s="44"/>
      <c r="F428" s="44"/>
      <c r="G428" s="49"/>
      <c r="H428" s="49"/>
      <c r="I428" s="49"/>
    </row>
    <row r="429" spans="1:9">
      <c r="A429" s="44"/>
      <c r="B429" s="44"/>
      <c r="C429" s="44"/>
      <c r="D429" s="44"/>
      <c r="E429" s="44"/>
      <c r="F429" s="44"/>
      <c r="G429" s="49"/>
      <c r="H429" s="49"/>
      <c r="I429" s="49"/>
    </row>
    <row r="430" spans="1:9">
      <c r="A430" s="44"/>
      <c r="B430" s="44"/>
      <c r="C430" s="44"/>
      <c r="D430" s="44"/>
      <c r="E430" s="44"/>
      <c r="F430" s="44"/>
      <c r="G430" s="49"/>
      <c r="H430" s="49"/>
      <c r="I430" s="49"/>
    </row>
    <row r="431" spans="1:9">
      <c r="A431" s="44"/>
      <c r="B431" s="44"/>
      <c r="C431" s="44"/>
      <c r="D431" s="44"/>
      <c r="E431" s="44"/>
      <c r="F431" s="44"/>
      <c r="G431" s="49"/>
      <c r="H431" s="49"/>
      <c r="I431" s="49"/>
    </row>
    <row r="432" spans="1:9">
      <c r="A432" s="44"/>
      <c r="B432" s="44"/>
      <c r="C432" s="44"/>
      <c r="D432" s="44"/>
      <c r="E432" s="44"/>
      <c r="F432" s="44"/>
      <c r="G432" s="49"/>
      <c r="H432" s="49"/>
      <c r="I432" s="49"/>
    </row>
    <row r="433" spans="1:9">
      <c r="A433" s="44"/>
      <c r="B433" s="44"/>
      <c r="C433" s="44"/>
      <c r="D433" s="44"/>
      <c r="E433" s="44"/>
      <c r="F433" s="44"/>
      <c r="G433" s="49"/>
      <c r="H433" s="49"/>
      <c r="I433" s="49"/>
    </row>
    <row r="434" spans="1:9">
      <c r="A434" s="44"/>
      <c r="B434" s="44"/>
      <c r="C434" s="44"/>
      <c r="D434" s="44"/>
      <c r="E434" s="44"/>
      <c r="F434" s="44"/>
      <c r="G434" s="49"/>
      <c r="H434" s="49"/>
      <c r="I434" s="49"/>
    </row>
    <row r="435" spans="1:9">
      <c r="A435" s="44"/>
      <c r="B435" s="44"/>
      <c r="C435" s="44"/>
      <c r="D435" s="44"/>
      <c r="E435" s="44"/>
      <c r="F435" s="44"/>
      <c r="G435" s="49"/>
      <c r="H435" s="49"/>
      <c r="I435" s="49"/>
    </row>
    <row r="436" spans="1:9">
      <c r="A436" s="44"/>
      <c r="B436" s="44"/>
      <c r="C436" s="44"/>
      <c r="D436" s="44"/>
      <c r="E436" s="44"/>
      <c r="F436" s="44"/>
      <c r="G436" s="49"/>
      <c r="H436" s="49"/>
      <c r="I436" s="49"/>
    </row>
    <row r="437" spans="1:9">
      <c r="A437" s="44"/>
      <c r="B437" s="44"/>
      <c r="C437" s="44"/>
      <c r="D437" s="44"/>
      <c r="E437" s="44"/>
      <c r="F437" s="44"/>
      <c r="G437" s="49"/>
      <c r="H437" s="49"/>
      <c r="I437" s="49"/>
    </row>
    <row r="438" spans="1:9">
      <c r="A438" s="44"/>
      <c r="B438" s="44"/>
      <c r="C438" s="44"/>
      <c r="D438" s="44"/>
      <c r="E438" s="44"/>
      <c r="F438" s="44"/>
      <c r="G438" s="49"/>
      <c r="H438" s="49"/>
      <c r="I438" s="49"/>
    </row>
    <row r="439" spans="1:9">
      <c r="A439" s="44"/>
      <c r="B439" s="44"/>
      <c r="C439" s="44"/>
      <c r="D439" s="44"/>
      <c r="E439" s="44"/>
      <c r="F439" s="44"/>
      <c r="G439" s="49"/>
      <c r="H439" s="49"/>
      <c r="I439" s="49"/>
    </row>
    <row r="440" spans="1:9">
      <c r="A440" s="44"/>
      <c r="B440" s="44"/>
      <c r="C440" s="44"/>
      <c r="D440" s="44"/>
      <c r="E440" s="44"/>
      <c r="F440" s="44"/>
      <c r="G440" s="49"/>
      <c r="H440" s="49"/>
      <c r="I440" s="49"/>
    </row>
    <row r="441" spans="1:9">
      <c r="A441" s="44"/>
      <c r="B441" s="44"/>
      <c r="C441" s="44"/>
      <c r="D441" s="44"/>
      <c r="E441" s="44"/>
      <c r="F441" s="44"/>
      <c r="G441" s="49"/>
      <c r="H441" s="49"/>
      <c r="I441" s="49"/>
    </row>
    <row r="442" spans="1:9">
      <c r="A442" s="44"/>
      <c r="B442" s="44"/>
      <c r="C442" s="44"/>
      <c r="D442" s="44"/>
      <c r="E442" s="44"/>
      <c r="F442" s="44"/>
      <c r="G442" s="49"/>
      <c r="H442" s="49"/>
      <c r="I442" s="49"/>
    </row>
    <row r="443" spans="1:9">
      <c r="A443" s="44"/>
      <c r="B443" s="44"/>
      <c r="C443" s="44"/>
      <c r="D443" s="44"/>
      <c r="E443" s="44"/>
      <c r="F443" s="44"/>
      <c r="G443" s="49"/>
      <c r="H443" s="49"/>
      <c r="I443" s="49"/>
    </row>
    <row r="444" spans="1:9">
      <c r="A444" s="44"/>
      <c r="B444" s="44"/>
      <c r="C444" s="44"/>
      <c r="D444" s="44"/>
      <c r="E444" s="44"/>
      <c r="F444" s="44"/>
      <c r="G444" s="49"/>
      <c r="H444" s="49"/>
      <c r="I444" s="49"/>
    </row>
    <row r="445" spans="1:9">
      <c r="A445" s="44"/>
      <c r="B445" s="44"/>
      <c r="C445" s="44"/>
      <c r="D445" s="44"/>
      <c r="E445" s="44"/>
      <c r="F445" s="44"/>
      <c r="G445" s="49"/>
      <c r="H445" s="49"/>
      <c r="I445" s="49"/>
    </row>
    <row r="446" spans="1:9">
      <c r="A446" s="44"/>
      <c r="B446" s="44"/>
      <c r="C446" s="44"/>
      <c r="D446" s="44"/>
      <c r="E446" s="44"/>
      <c r="F446" s="44"/>
      <c r="G446" s="49"/>
      <c r="H446" s="49"/>
      <c r="I446" s="49"/>
    </row>
    <row r="447" spans="1:9">
      <c r="A447" s="44"/>
      <c r="B447" s="44"/>
      <c r="C447" s="44"/>
      <c r="D447" s="44"/>
      <c r="E447" s="44"/>
      <c r="F447" s="44"/>
      <c r="G447" s="49"/>
      <c r="H447" s="49"/>
      <c r="I447" s="49"/>
    </row>
    <row r="448" spans="1:9">
      <c r="A448" s="44"/>
      <c r="B448" s="44"/>
      <c r="C448" s="44"/>
      <c r="D448" s="44"/>
      <c r="E448" s="44"/>
      <c r="F448" s="44"/>
      <c r="G448" s="49"/>
      <c r="H448" s="49"/>
      <c r="I448" s="49"/>
    </row>
    <row r="449" spans="1:9">
      <c r="A449" s="44"/>
      <c r="B449" s="44"/>
      <c r="C449" s="44"/>
      <c r="D449" s="44"/>
      <c r="E449" s="44"/>
      <c r="F449" s="44"/>
      <c r="G449" s="49"/>
      <c r="H449" s="49"/>
      <c r="I449" s="49"/>
    </row>
    <row r="450" spans="1:9">
      <c r="A450" s="44"/>
      <c r="B450" s="44"/>
      <c r="C450" s="44"/>
      <c r="D450" s="44"/>
      <c r="E450" s="44"/>
      <c r="F450" s="44"/>
      <c r="G450" s="49"/>
      <c r="H450" s="49"/>
      <c r="I450" s="49"/>
    </row>
    <row r="451" spans="1:9">
      <c r="A451" s="44"/>
      <c r="B451" s="44"/>
      <c r="C451" s="44"/>
      <c r="D451" s="44"/>
      <c r="E451" s="44"/>
      <c r="F451" s="44"/>
      <c r="G451" s="49"/>
      <c r="H451" s="49"/>
      <c r="I451" s="49"/>
    </row>
    <row r="452" spans="1:9">
      <c r="A452" s="44"/>
      <c r="B452" s="44"/>
      <c r="C452" s="44"/>
      <c r="D452" s="44"/>
      <c r="E452" s="44"/>
      <c r="F452" s="44"/>
      <c r="G452" s="49"/>
      <c r="H452" s="49"/>
      <c r="I452" s="49"/>
    </row>
    <row r="453" spans="1:9">
      <c r="A453" s="44"/>
      <c r="B453" s="44"/>
      <c r="C453" s="44"/>
      <c r="D453" s="44"/>
      <c r="E453" s="44"/>
      <c r="F453" s="44"/>
      <c r="G453" s="49"/>
      <c r="H453" s="49"/>
      <c r="I453" s="49"/>
    </row>
    <row r="454" spans="1:9">
      <c r="A454" s="44"/>
      <c r="B454" s="44"/>
      <c r="C454" s="44"/>
      <c r="D454" s="44"/>
      <c r="E454" s="44"/>
      <c r="F454" s="44"/>
      <c r="G454" s="49"/>
      <c r="H454" s="49"/>
      <c r="I454" s="49"/>
    </row>
    <row r="455" spans="1:9">
      <c r="A455" s="44"/>
      <c r="B455" s="44"/>
      <c r="C455" s="44"/>
      <c r="D455" s="44"/>
      <c r="E455" s="44"/>
      <c r="F455" s="44"/>
      <c r="G455" s="49"/>
      <c r="H455" s="49"/>
      <c r="I455" s="49"/>
    </row>
    <row r="456" spans="1:9">
      <c r="A456" s="44"/>
      <c r="B456" s="44"/>
      <c r="C456" s="44"/>
      <c r="D456" s="44"/>
      <c r="E456" s="44"/>
      <c r="F456" s="44"/>
      <c r="G456" s="49"/>
      <c r="H456" s="49"/>
      <c r="I456" s="49"/>
    </row>
    <row r="457" spans="1:9">
      <c r="A457" s="44"/>
      <c r="B457" s="44"/>
      <c r="C457" s="44"/>
      <c r="D457" s="44"/>
      <c r="E457" s="44"/>
      <c r="F457" s="44"/>
      <c r="G457" s="49"/>
      <c r="H457" s="49"/>
      <c r="I457" s="49"/>
    </row>
    <row r="458" spans="1:9">
      <c r="A458" s="44"/>
      <c r="B458" s="44"/>
      <c r="C458" s="44"/>
      <c r="D458" s="44"/>
      <c r="E458" s="44"/>
      <c r="F458" s="44"/>
      <c r="G458" s="49"/>
      <c r="H458" s="49"/>
      <c r="I458" s="49"/>
    </row>
    <row r="459" spans="1:9">
      <c r="A459" s="44"/>
      <c r="B459" s="44"/>
      <c r="C459" s="44"/>
      <c r="D459" s="44"/>
      <c r="E459" s="44"/>
      <c r="F459" s="44"/>
      <c r="G459" s="49"/>
      <c r="H459" s="49"/>
      <c r="I459" s="49"/>
    </row>
    <row r="460" spans="1:9">
      <c r="A460" s="44"/>
      <c r="B460" s="44"/>
      <c r="C460" s="44"/>
      <c r="D460" s="44"/>
      <c r="E460" s="44"/>
      <c r="F460" s="44"/>
      <c r="G460" s="49"/>
      <c r="H460" s="49"/>
      <c r="I460" s="49"/>
    </row>
    <row r="461" spans="1:9">
      <c r="A461" s="44"/>
      <c r="B461" s="44"/>
      <c r="C461" s="44"/>
      <c r="D461" s="44"/>
      <c r="E461" s="44"/>
      <c r="F461" s="44"/>
      <c r="G461" s="49"/>
      <c r="H461" s="49"/>
      <c r="I461" s="49"/>
    </row>
    <row r="462" spans="1:9">
      <c r="A462" s="44"/>
      <c r="B462" s="44"/>
      <c r="C462" s="44"/>
      <c r="D462" s="44"/>
      <c r="E462" s="44"/>
      <c r="F462" s="44"/>
      <c r="G462" s="49"/>
      <c r="H462" s="49"/>
      <c r="I462" s="49"/>
    </row>
    <row r="463" spans="1:9">
      <c r="A463" s="44"/>
      <c r="B463" s="44"/>
      <c r="C463" s="44"/>
      <c r="D463" s="44"/>
      <c r="E463" s="44"/>
      <c r="F463" s="44"/>
      <c r="G463" s="49"/>
      <c r="H463" s="49"/>
      <c r="I463" s="49"/>
    </row>
    <row r="464" spans="1:9">
      <c r="A464" s="44"/>
      <c r="B464" s="44"/>
      <c r="C464" s="44"/>
      <c r="D464" s="44"/>
      <c r="E464" s="44"/>
      <c r="F464" s="44"/>
      <c r="G464" s="49"/>
      <c r="H464" s="49"/>
      <c r="I464" s="49"/>
    </row>
    <row r="465" spans="1:9">
      <c r="A465" s="44"/>
      <c r="B465" s="44"/>
      <c r="C465" s="44"/>
      <c r="D465" s="44"/>
      <c r="E465" s="44"/>
      <c r="F465" s="44"/>
      <c r="G465" s="49"/>
      <c r="H465" s="49"/>
      <c r="I465" s="49"/>
    </row>
    <row r="466" spans="1:9">
      <c r="A466" s="44"/>
      <c r="B466" s="44"/>
      <c r="C466" s="44"/>
      <c r="D466" s="44"/>
      <c r="E466" s="44"/>
      <c r="F466" s="44"/>
      <c r="G466" s="49"/>
      <c r="H466" s="49"/>
      <c r="I466" s="49"/>
    </row>
    <row r="467" spans="1:9">
      <c r="A467" s="44"/>
      <c r="B467" s="44"/>
      <c r="C467" s="44"/>
      <c r="D467" s="44"/>
      <c r="E467" s="44"/>
      <c r="F467" s="44"/>
      <c r="G467" s="49"/>
      <c r="H467" s="49"/>
      <c r="I467" s="49"/>
    </row>
    <row r="468" spans="1:9">
      <c r="A468" s="44"/>
      <c r="B468" s="44"/>
      <c r="C468" s="44"/>
      <c r="D468" s="44"/>
      <c r="E468" s="44"/>
      <c r="F468" s="44"/>
      <c r="G468" s="49"/>
      <c r="H468" s="49"/>
      <c r="I468" s="49"/>
    </row>
    <row r="469" spans="1:9">
      <c r="A469" s="44"/>
      <c r="B469" s="44"/>
      <c r="C469" s="44"/>
      <c r="D469" s="44"/>
      <c r="E469" s="44"/>
      <c r="F469" s="44"/>
      <c r="G469" s="49"/>
      <c r="H469" s="49"/>
      <c r="I469" s="49"/>
    </row>
    <row r="470" spans="1:9">
      <c r="A470" s="44"/>
      <c r="B470" s="44"/>
      <c r="C470" s="44"/>
      <c r="D470" s="44"/>
      <c r="E470" s="44"/>
      <c r="F470" s="44"/>
      <c r="G470" s="49"/>
      <c r="H470" s="49"/>
      <c r="I470" s="49"/>
    </row>
    <row r="471" spans="1:9">
      <c r="A471" s="44"/>
      <c r="B471" s="44"/>
      <c r="C471" s="44"/>
      <c r="D471" s="44"/>
      <c r="E471" s="44"/>
      <c r="F471" s="44"/>
      <c r="G471" s="49"/>
      <c r="H471" s="49"/>
      <c r="I471" s="49"/>
    </row>
    <row r="472" spans="1:9">
      <c r="A472" s="44"/>
      <c r="B472" s="44"/>
      <c r="C472" s="44"/>
      <c r="D472" s="44"/>
      <c r="E472" s="44"/>
      <c r="F472" s="44"/>
      <c r="G472" s="49"/>
      <c r="H472" s="49"/>
      <c r="I472" s="49"/>
    </row>
    <row r="473" spans="1:9">
      <c r="A473" s="44"/>
      <c r="B473" s="44"/>
      <c r="C473" s="44"/>
      <c r="D473" s="44"/>
      <c r="E473" s="44"/>
      <c r="F473" s="44"/>
      <c r="G473" s="49"/>
      <c r="H473" s="49"/>
      <c r="I473" s="49"/>
    </row>
    <row r="474" spans="1:9">
      <c r="A474" s="44"/>
      <c r="B474" s="44"/>
      <c r="C474" s="44"/>
      <c r="D474" s="44"/>
      <c r="E474" s="44"/>
      <c r="F474" s="44"/>
      <c r="G474" s="49"/>
      <c r="H474" s="49"/>
      <c r="I474" s="49"/>
    </row>
    <row r="475" spans="1:9">
      <c r="A475" s="44"/>
      <c r="B475" s="44"/>
      <c r="C475" s="44"/>
      <c r="D475" s="44"/>
      <c r="E475" s="44"/>
      <c r="F475" s="44"/>
      <c r="G475" s="49"/>
      <c r="H475" s="49"/>
      <c r="I475" s="49"/>
    </row>
    <row r="476" spans="1:9">
      <c r="A476" s="44"/>
      <c r="B476" s="44"/>
      <c r="C476" s="44"/>
      <c r="D476" s="44"/>
      <c r="E476" s="44"/>
      <c r="F476" s="44"/>
      <c r="G476" s="49"/>
      <c r="H476" s="49"/>
      <c r="I476" s="49"/>
    </row>
    <row r="477" spans="1:9">
      <c r="A477" s="44"/>
      <c r="B477" s="44"/>
      <c r="C477" s="44"/>
      <c r="D477" s="44"/>
      <c r="E477" s="44"/>
      <c r="F477" s="44"/>
      <c r="G477" s="49"/>
      <c r="H477" s="49"/>
      <c r="I477" s="49"/>
    </row>
    <row r="478" spans="1:9">
      <c r="A478" s="44"/>
      <c r="B478" s="44"/>
      <c r="C478" s="44"/>
      <c r="D478" s="44"/>
      <c r="E478" s="44"/>
      <c r="F478" s="44"/>
      <c r="G478" s="49"/>
      <c r="H478" s="49"/>
      <c r="I478" s="49"/>
    </row>
    <row r="479" spans="1:9">
      <c r="A479" s="44"/>
      <c r="B479" s="44"/>
      <c r="C479" s="44"/>
      <c r="D479" s="44"/>
      <c r="E479" s="44"/>
      <c r="F479" s="44"/>
      <c r="G479" s="49"/>
      <c r="H479" s="49"/>
      <c r="I479" s="49"/>
    </row>
    <row r="480" spans="1:9">
      <c r="A480" s="44"/>
      <c r="B480" s="44"/>
      <c r="C480" s="44"/>
      <c r="D480" s="44"/>
      <c r="E480" s="44"/>
      <c r="F480" s="44"/>
      <c r="G480" s="49"/>
      <c r="H480" s="49"/>
      <c r="I480" s="49"/>
    </row>
    <row r="481" spans="1:9">
      <c r="A481" s="44"/>
      <c r="B481" s="44"/>
      <c r="C481" s="44"/>
      <c r="D481" s="44"/>
      <c r="E481" s="44"/>
      <c r="F481" s="44"/>
      <c r="G481" s="49"/>
      <c r="H481" s="49"/>
      <c r="I481" s="49"/>
    </row>
    <row r="482" spans="1:9">
      <c r="A482" s="44"/>
      <c r="B482" s="44"/>
      <c r="C482" s="44"/>
      <c r="D482" s="44"/>
      <c r="E482" s="44"/>
      <c r="F482" s="44"/>
      <c r="G482" s="49"/>
      <c r="H482" s="49"/>
      <c r="I482" s="49"/>
    </row>
    <row r="483" spans="1:9">
      <c r="A483" s="44"/>
      <c r="B483" s="44"/>
      <c r="C483" s="44"/>
      <c r="D483" s="44"/>
      <c r="E483" s="44"/>
      <c r="F483" s="44"/>
      <c r="G483" s="49"/>
      <c r="H483" s="49"/>
      <c r="I483" s="49"/>
    </row>
    <row r="484" spans="1:9">
      <c r="A484" s="44"/>
      <c r="B484" s="44"/>
      <c r="C484" s="44"/>
      <c r="D484" s="44"/>
      <c r="E484" s="44"/>
      <c r="F484" s="44"/>
      <c r="G484" s="49"/>
      <c r="H484" s="49"/>
      <c r="I484" s="49"/>
    </row>
    <row r="485" spans="1:9">
      <c r="A485" s="44"/>
      <c r="B485" s="44"/>
      <c r="C485" s="44"/>
      <c r="D485" s="44"/>
      <c r="E485" s="44"/>
      <c r="F485" s="44"/>
      <c r="G485" s="49"/>
      <c r="H485" s="49"/>
      <c r="I485" s="49"/>
    </row>
    <row r="486" spans="1:9">
      <c r="A486" s="44"/>
      <c r="B486" s="44"/>
      <c r="C486" s="44"/>
      <c r="D486" s="44"/>
      <c r="E486" s="44"/>
      <c r="F486" s="44"/>
      <c r="G486" s="49"/>
      <c r="H486" s="49"/>
      <c r="I486" s="49"/>
    </row>
    <row r="487" spans="1:9">
      <c r="A487" s="44"/>
      <c r="B487" s="44"/>
      <c r="C487" s="44"/>
      <c r="D487" s="44"/>
      <c r="E487" s="44"/>
      <c r="F487" s="44"/>
      <c r="G487" s="49"/>
      <c r="H487" s="49"/>
      <c r="I487" s="49"/>
    </row>
    <row r="488" spans="1:9">
      <c r="A488" s="44"/>
      <c r="B488" s="44"/>
      <c r="C488" s="44"/>
      <c r="D488" s="44"/>
      <c r="E488" s="44"/>
      <c r="F488" s="44"/>
      <c r="G488" s="49"/>
      <c r="H488" s="49"/>
      <c r="I488" s="49"/>
    </row>
    <row r="489" spans="1:9">
      <c r="A489" s="44"/>
      <c r="B489" s="44"/>
      <c r="C489" s="44"/>
      <c r="D489" s="44"/>
      <c r="E489" s="44"/>
      <c r="F489" s="44"/>
      <c r="G489" s="49"/>
      <c r="H489" s="49"/>
      <c r="I489" s="49"/>
    </row>
    <row r="490" spans="1:9">
      <c r="A490" s="44"/>
      <c r="B490" s="44"/>
      <c r="C490" s="44"/>
      <c r="D490" s="44"/>
      <c r="E490" s="44"/>
      <c r="F490" s="44"/>
      <c r="G490" s="49"/>
      <c r="H490" s="49"/>
      <c r="I490" s="49"/>
    </row>
    <row r="491" spans="1:9">
      <c r="A491" s="44"/>
      <c r="B491" s="44"/>
      <c r="C491" s="44"/>
      <c r="D491" s="44"/>
      <c r="E491" s="44"/>
      <c r="F491" s="44"/>
      <c r="G491" s="49"/>
      <c r="H491" s="49"/>
      <c r="I491" s="49"/>
    </row>
    <row r="492" spans="1:9">
      <c r="A492" s="44"/>
      <c r="B492" s="44"/>
      <c r="C492" s="44"/>
      <c r="D492" s="44"/>
      <c r="E492" s="44"/>
      <c r="F492" s="44"/>
      <c r="G492" s="49"/>
      <c r="H492" s="49"/>
      <c r="I492" s="49"/>
    </row>
    <row r="493" spans="1:9">
      <c r="A493" s="44"/>
      <c r="B493" s="44"/>
      <c r="C493" s="44"/>
      <c r="D493" s="44"/>
      <c r="E493" s="44"/>
      <c r="F493" s="44"/>
      <c r="G493" s="49"/>
      <c r="H493" s="49"/>
      <c r="I493" s="49"/>
    </row>
    <row r="494" spans="1:9">
      <c r="A494" s="44"/>
      <c r="B494" s="44"/>
      <c r="C494" s="44"/>
      <c r="D494" s="44"/>
      <c r="E494" s="44"/>
      <c r="F494" s="44"/>
      <c r="G494" s="49"/>
      <c r="H494" s="49"/>
      <c r="I494" s="49"/>
    </row>
    <row r="495" spans="1:9">
      <c r="A495" s="44"/>
      <c r="B495" s="44"/>
      <c r="C495" s="44"/>
      <c r="D495" s="44"/>
      <c r="E495" s="44"/>
      <c r="F495" s="44"/>
      <c r="G495" s="49"/>
      <c r="H495" s="49"/>
      <c r="I495" s="49"/>
    </row>
    <row r="496" spans="1:9">
      <c r="A496" s="44"/>
      <c r="B496" s="44"/>
      <c r="C496" s="44"/>
      <c r="D496" s="44"/>
      <c r="E496" s="44"/>
      <c r="F496" s="44"/>
      <c r="G496" s="49"/>
      <c r="H496" s="49"/>
      <c r="I496" s="49"/>
    </row>
    <row r="497" spans="1:9">
      <c r="A497" s="44"/>
      <c r="B497" s="44"/>
      <c r="C497" s="44"/>
      <c r="D497" s="44"/>
      <c r="E497" s="44"/>
      <c r="F497" s="44"/>
      <c r="G497" s="49"/>
      <c r="H497" s="49"/>
      <c r="I497" s="49"/>
    </row>
    <row r="498" spans="1:9">
      <c r="A498" s="44"/>
      <c r="B498" s="44"/>
      <c r="C498" s="44"/>
      <c r="D498" s="44"/>
      <c r="E498" s="44"/>
      <c r="F498" s="44"/>
      <c r="G498" s="49"/>
      <c r="H498" s="49"/>
      <c r="I498" s="49"/>
    </row>
    <row r="499" spans="1:9">
      <c r="A499" s="44"/>
      <c r="B499" s="44"/>
      <c r="C499" s="44"/>
      <c r="D499" s="44"/>
      <c r="E499" s="44"/>
      <c r="F499" s="44"/>
      <c r="G499" s="49"/>
      <c r="H499" s="49"/>
      <c r="I499" s="49"/>
    </row>
    <row r="500" spans="1:9">
      <c r="A500" s="44"/>
      <c r="B500" s="44"/>
      <c r="C500" s="44"/>
      <c r="D500" s="44"/>
      <c r="E500" s="44"/>
      <c r="F500" s="44"/>
      <c r="G500" s="49"/>
      <c r="H500" s="49"/>
      <c r="I500" s="49"/>
    </row>
    <row r="501" spans="1:9">
      <c r="A501" s="44"/>
      <c r="B501" s="44"/>
      <c r="C501" s="44"/>
      <c r="D501" s="44"/>
      <c r="E501" s="44"/>
      <c r="F501" s="44"/>
      <c r="G501" s="49"/>
      <c r="H501" s="49"/>
      <c r="I501" s="49"/>
    </row>
    <row r="502" spans="1:9">
      <c r="A502" s="44"/>
      <c r="B502" s="44"/>
      <c r="C502" s="44"/>
      <c r="D502" s="44"/>
      <c r="E502" s="44"/>
      <c r="F502" s="44"/>
      <c r="G502" s="49"/>
      <c r="H502" s="49"/>
      <c r="I502" s="49"/>
    </row>
    <row r="503" spans="1:9">
      <c r="A503" s="44"/>
      <c r="B503" s="44"/>
      <c r="C503" s="44"/>
      <c r="D503" s="44"/>
      <c r="E503" s="44"/>
      <c r="F503" s="44"/>
      <c r="G503" s="49"/>
      <c r="H503" s="49"/>
      <c r="I503" s="49"/>
    </row>
    <row r="504" spans="1:9">
      <c r="A504" s="44"/>
      <c r="B504" s="44"/>
      <c r="C504" s="44"/>
      <c r="D504" s="44"/>
      <c r="E504" s="44"/>
      <c r="F504" s="44"/>
      <c r="G504" s="49"/>
      <c r="H504" s="49"/>
      <c r="I504" s="49"/>
    </row>
    <row r="505" spans="1:9">
      <c r="A505" s="44"/>
      <c r="B505" s="44"/>
      <c r="C505" s="44"/>
      <c r="D505" s="44"/>
      <c r="E505" s="44"/>
      <c r="F505" s="44"/>
      <c r="G505" s="49"/>
      <c r="H505" s="49"/>
      <c r="I505" s="49"/>
    </row>
    <row r="506" spans="1:9">
      <c r="A506" s="44"/>
      <c r="B506" s="44"/>
      <c r="C506" s="44"/>
      <c r="D506" s="44"/>
      <c r="E506" s="44"/>
      <c r="F506" s="44"/>
      <c r="G506" s="49"/>
      <c r="H506" s="49"/>
      <c r="I506" s="49"/>
    </row>
    <row r="507" spans="1:9">
      <c r="A507" s="44"/>
      <c r="B507" s="44"/>
      <c r="C507" s="44"/>
      <c r="D507" s="44"/>
      <c r="E507" s="44"/>
      <c r="F507" s="44"/>
      <c r="G507" s="49"/>
      <c r="H507" s="49"/>
      <c r="I507" s="49"/>
    </row>
    <row r="508" spans="1:9">
      <c r="A508" s="44"/>
      <c r="B508" s="44"/>
      <c r="C508" s="44"/>
      <c r="D508" s="44"/>
      <c r="E508" s="44"/>
      <c r="F508" s="44"/>
      <c r="G508" s="49"/>
      <c r="H508" s="49"/>
      <c r="I508" s="49"/>
    </row>
    <row r="509" spans="1:9">
      <c r="A509" s="44"/>
      <c r="B509" s="44"/>
      <c r="C509" s="44"/>
      <c r="D509" s="44"/>
      <c r="E509" s="44"/>
      <c r="F509" s="44"/>
      <c r="G509" s="49"/>
      <c r="H509" s="49"/>
      <c r="I509" s="49"/>
    </row>
    <row r="510" spans="1:9">
      <c r="A510" s="44"/>
      <c r="B510" s="44"/>
      <c r="C510" s="44"/>
      <c r="D510" s="44"/>
      <c r="E510" s="44"/>
      <c r="F510" s="44"/>
      <c r="G510" s="49"/>
      <c r="H510" s="49"/>
      <c r="I510" s="49"/>
    </row>
    <row r="511" spans="1:9">
      <c r="A511" s="44"/>
      <c r="B511" s="44"/>
      <c r="C511" s="44"/>
      <c r="D511" s="44"/>
      <c r="E511" s="44"/>
      <c r="F511" s="44"/>
      <c r="G511" s="49"/>
      <c r="H511" s="49"/>
      <c r="I511" s="49"/>
    </row>
    <row r="512" spans="1:9">
      <c r="A512" s="44"/>
      <c r="B512" s="44"/>
      <c r="C512" s="44"/>
      <c r="D512" s="44"/>
      <c r="E512" s="44"/>
      <c r="F512" s="44"/>
      <c r="G512" s="49"/>
      <c r="H512" s="49"/>
      <c r="I512" s="49"/>
    </row>
    <row r="513" spans="1:9">
      <c r="A513" s="44"/>
      <c r="B513" s="44"/>
      <c r="C513" s="44"/>
      <c r="D513" s="44"/>
      <c r="E513" s="44"/>
      <c r="F513" s="44"/>
      <c r="G513" s="49"/>
      <c r="H513" s="49"/>
      <c r="I513" s="49"/>
    </row>
    <row r="514" spans="1:9">
      <c r="A514" s="44"/>
      <c r="B514" s="44"/>
      <c r="C514" s="44"/>
      <c r="D514" s="44"/>
      <c r="E514" s="44"/>
      <c r="F514" s="44"/>
      <c r="G514" s="49"/>
      <c r="H514" s="49"/>
      <c r="I514" s="49"/>
    </row>
    <row r="515" spans="1:9">
      <c r="A515" s="44"/>
      <c r="B515" s="44"/>
      <c r="C515" s="44"/>
      <c r="D515" s="44"/>
      <c r="E515" s="44"/>
      <c r="F515" s="44"/>
      <c r="G515" s="49"/>
      <c r="H515" s="49"/>
      <c r="I515" s="49"/>
    </row>
    <row r="516" spans="1:9">
      <c r="A516" s="44"/>
      <c r="B516" s="44"/>
      <c r="C516" s="44"/>
      <c r="D516" s="44"/>
      <c r="E516" s="44"/>
      <c r="F516" s="44"/>
      <c r="G516" s="49"/>
      <c r="H516" s="49"/>
      <c r="I516" s="49"/>
    </row>
    <row r="517" spans="1:9">
      <c r="A517" s="44"/>
      <c r="B517" s="44"/>
      <c r="C517" s="44"/>
      <c r="D517" s="44"/>
      <c r="E517" s="44"/>
      <c r="F517" s="44"/>
      <c r="G517" s="49"/>
      <c r="H517" s="49"/>
      <c r="I517" s="49"/>
    </row>
    <row r="518" spans="1:9">
      <c r="A518" s="44"/>
      <c r="B518" s="44"/>
      <c r="C518" s="44"/>
      <c r="D518" s="44"/>
      <c r="E518" s="44"/>
      <c r="F518" s="44"/>
      <c r="G518" s="49"/>
      <c r="H518" s="49"/>
      <c r="I518" s="49"/>
    </row>
    <row r="519" spans="1:9">
      <c r="A519" s="44"/>
      <c r="B519" s="44"/>
      <c r="C519" s="44"/>
      <c r="D519" s="44"/>
      <c r="E519" s="44"/>
      <c r="F519" s="44"/>
      <c r="G519" s="49"/>
      <c r="H519" s="49"/>
      <c r="I519" s="49"/>
    </row>
    <row r="520" spans="1:9">
      <c r="A520" s="44"/>
      <c r="B520" s="44"/>
      <c r="C520" s="44"/>
      <c r="D520" s="44"/>
      <c r="E520" s="44"/>
      <c r="F520" s="44"/>
      <c r="G520" s="49"/>
      <c r="H520" s="49"/>
      <c r="I520" s="49"/>
    </row>
    <row r="521" spans="1:9">
      <c r="A521" s="44"/>
      <c r="B521" s="44"/>
      <c r="C521" s="44"/>
      <c r="D521" s="44"/>
      <c r="E521" s="44"/>
      <c r="F521" s="44"/>
      <c r="G521" s="49"/>
      <c r="H521" s="49"/>
      <c r="I521" s="49"/>
    </row>
    <row r="522" spans="1:9">
      <c r="A522" s="44"/>
      <c r="B522" s="44"/>
      <c r="C522" s="44"/>
      <c r="D522" s="44"/>
      <c r="E522" s="44"/>
      <c r="F522" s="44"/>
      <c r="G522" s="49"/>
      <c r="H522" s="49"/>
      <c r="I522" s="49"/>
    </row>
    <row r="523" spans="1:9">
      <c r="A523" s="44"/>
      <c r="B523" s="44"/>
      <c r="C523" s="44"/>
      <c r="D523" s="44"/>
      <c r="E523" s="44"/>
      <c r="F523" s="44"/>
      <c r="G523" s="49"/>
      <c r="H523" s="49"/>
      <c r="I523" s="49"/>
    </row>
    <row r="524" spans="1:9">
      <c r="A524" s="44"/>
      <c r="B524" s="44"/>
      <c r="C524" s="44"/>
      <c r="D524" s="44"/>
      <c r="E524" s="44"/>
      <c r="F524" s="44"/>
      <c r="G524" s="49"/>
      <c r="H524" s="49"/>
      <c r="I524" s="49"/>
    </row>
    <row r="525" spans="1:9">
      <c r="A525" s="44"/>
      <c r="B525" s="44"/>
      <c r="C525" s="44"/>
      <c r="D525" s="44"/>
      <c r="E525" s="44"/>
      <c r="F525" s="44"/>
      <c r="G525" s="49"/>
      <c r="H525" s="49"/>
      <c r="I525" s="49"/>
    </row>
    <row r="526" spans="1:9">
      <c r="A526" s="44"/>
      <c r="B526" s="44"/>
      <c r="C526" s="44"/>
      <c r="D526" s="44"/>
      <c r="E526" s="44"/>
      <c r="F526" s="44"/>
      <c r="G526" s="49"/>
      <c r="H526" s="49"/>
      <c r="I526" s="49"/>
    </row>
    <row r="527" spans="1:9">
      <c r="A527" s="44"/>
      <c r="B527" s="44"/>
      <c r="C527" s="44"/>
      <c r="D527" s="44"/>
      <c r="E527" s="44"/>
      <c r="F527" s="44"/>
      <c r="G527" s="49"/>
      <c r="H527" s="49"/>
      <c r="I527" s="49"/>
    </row>
    <row r="528" spans="1:9">
      <c r="A528" s="44"/>
      <c r="B528" s="44"/>
      <c r="C528" s="44"/>
      <c r="D528" s="44"/>
      <c r="E528" s="44"/>
      <c r="F528" s="44"/>
      <c r="G528" s="49"/>
      <c r="H528" s="49"/>
      <c r="I528" s="49"/>
    </row>
    <row r="529" spans="1:9">
      <c r="A529" s="44"/>
      <c r="B529" s="44"/>
      <c r="C529" s="44"/>
      <c r="D529" s="44"/>
      <c r="E529" s="44"/>
      <c r="F529" s="44"/>
      <c r="G529" s="49"/>
      <c r="H529" s="49"/>
      <c r="I529" s="49"/>
    </row>
    <row r="530" spans="1:9">
      <c r="A530" s="44"/>
      <c r="B530" s="44"/>
      <c r="C530" s="44"/>
      <c r="D530" s="44"/>
      <c r="E530" s="44"/>
      <c r="F530" s="44"/>
      <c r="G530" s="49"/>
      <c r="H530" s="49"/>
      <c r="I530" s="49"/>
    </row>
    <row r="531" spans="1:9">
      <c r="A531" s="44"/>
      <c r="B531" s="44"/>
      <c r="C531" s="44"/>
      <c r="D531" s="44"/>
      <c r="E531" s="44"/>
      <c r="F531" s="44"/>
      <c r="G531" s="49"/>
      <c r="H531" s="49"/>
      <c r="I531" s="49"/>
    </row>
    <row r="532" spans="1:9">
      <c r="A532" s="44"/>
      <c r="B532" s="44"/>
      <c r="C532" s="44"/>
      <c r="D532" s="44"/>
      <c r="E532" s="44"/>
      <c r="F532" s="44"/>
      <c r="G532" s="49"/>
      <c r="H532" s="49"/>
      <c r="I532" s="49"/>
    </row>
    <row r="533" spans="1:9">
      <c r="A533" s="44"/>
      <c r="B533" s="44"/>
      <c r="C533" s="44"/>
      <c r="D533" s="44"/>
      <c r="E533" s="44"/>
      <c r="F533" s="44"/>
      <c r="G533" s="49"/>
      <c r="H533" s="49"/>
      <c r="I533" s="49"/>
    </row>
    <row r="534" spans="1:9">
      <c r="A534" s="44"/>
      <c r="B534" s="44"/>
      <c r="C534" s="44"/>
      <c r="D534" s="44"/>
      <c r="E534" s="44"/>
      <c r="F534" s="44"/>
      <c r="G534" s="49"/>
      <c r="H534" s="49"/>
      <c r="I534" s="49"/>
    </row>
    <row r="535" spans="1:9">
      <c r="A535" s="44"/>
      <c r="B535" s="44"/>
      <c r="C535" s="44"/>
      <c r="D535" s="44"/>
      <c r="E535" s="44"/>
      <c r="F535" s="44"/>
      <c r="G535" s="49"/>
      <c r="H535" s="49"/>
      <c r="I535" s="49"/>
    </row>
    <row r="536" spans="1:9">
      <c r="A536" s="44"/>
      <c r="B536" s="44"/>
      <c r="C536" s="44"/>
      <c r="D536" s="44"/>
      <c r="E536" s="44"/>
      <c r="F536" s="44"/>
      <c r="G536" s="49"/>
      <c r="H536" s="49"/>
      <c r="I536" s="49"/>
    </row>
    <row r="537" spans="1:9">
      <c r="A537" s="44"/>
      <c r="B537" s="44"/>
      <c r="C537" s="44"/>
      <c r="D537" s="44"/>
      <c r="E537" s="44"/>
      <c r="F537" s="44"/>
      <c r="G537" s="49"/>
      <c r="H537" s="49"/>
      <c r="I537" s="49"/>
    </row>
    <row r="538" spans="1:9">
      <c r="A538" s="44"/>
      <c r="B538" s="44"/>
      <c r="C538" s="44"/>
      <c r="D538" s="44"/>
      <c r="E538" s="44"/>
      <c r="F538" s="44"/>
      <c r="G538" s="49"/>
      <c r="H538" s="49"/>
      <c r="I538" s="49"/>
    </row>
    <row r="539" spans="1:9">
      <c r="A539" s="44"/>
      <c r="B539" s="44"/>
      <c r="C539" s="44"/>
      <c r="D539" s="44"/>
      <c r="E539" s="44"/>
      <c r="F539" s="44"/>
      <c r="G539" s="49"/>
      <c r="H539" s="49"/>
      <c r="I539" s="49"/>
    </row>
    <row r="540" spans="1:9">
      <c r="A540" s="44"/>
      <c r="B540" s="44"/>
      <c r="C540" s="44"/>
      <c r="D540" s="44"/>
      <c r="E540" s="44"/>
      <c r="F540" s="44"/>
      <c r="G540" s="49"/>
      <c r="H540" s="49"/>
      <c r="I540" s="49"/>
    </row>
    <row r="541" spans="1:9">
      <c r="A541" s="44"/>
      <c r="B541" s="44"/>
      <c r="C541" s="44"/>
      <c r="D541" s="44"/>
      <c r="E541" s="44"/>
      <c r="F541" s="44"/>
      <c r="G541" s="49"/>
      <c r="H541" s="49"/>
      <c r="I541" s="49"/>
    </row>
    <row r="542" spans="1:9">
      <c r="A542" s="44"/>
      <c r="B542" s="44"/>
      <c r="C542" s="44"/>
      <c r="D542" s="44"/>
      <c r="E542" s="44"/>
      <c r="F542" s="44"/>
      <c r="G542" s="49"/>
      <c r="H542" s="49"/>
      <c r="I542" s="49"/>
    </row>
    <row r="543" spans="1:9">
      <c r="A543" s="44"/>
      <c r="B543" s="44"/>
      <c r="C543" s="44"/>
      <c r="D543" s="44"/>
      <c r="E543" s="44"/>
      <c r="F543" s="44"/>
      <c r="G543" s="49"/>
      <c r="H543" s="49"/>
      <c r="I543" s="49"/>
    </row>
    <row r="544" spans="1:9">
      <c r="A544" s="44"/>
      <c r="B544" s="44"/>
      <c r="C544" s="44"/>
      <c r="D544" s="44"/>
      <c r="E544" s="44"/>
      <c r="F544" s="44"/>
      <c r="G544" s="49"/>
      <c r="H544" s="49"/>
      <c r="I544" s="49"/>
    </row>
    <row r="545" spans="1:9">
      <c r="A545" s="44"/>
      <c r="B545" s="44"/>
      <c r="C545" s="44"/>
      <c r="D545" s="44"/>
      <c r="E545" s="44"/>
      <c r="F545" s="44"/>
      <c r="G545" s="49"/>
      <c r="H545" s="49"/>
      <c r="I545" s="49"/>
    </row>
    <row r="546" spans="1:9">
      <c r="A546" s="44"/>
      <c r="B546" s="44"/>
      <c r="C546" s="44"/>
      <c r="D546" s="44"/>
      <c r="E546" s="44"/>
      <c r="F546" s="44"/>
      <c r="G546" s="49"/>
      <c r="H546" s="49"/>
      <c r="I546" s="49"/>
    </row>
    <row r="547" spans="1:9">
      <c r="A547" s="44"/>
      <c r="B547" s="44"/>
      <c r="C547" s="44"/>
      <c r="D547" s="44"/>
      <c r="E547" s="44"/>
      <c r="F547" s="44"/>
      <c r="G547" s="49"/>
      <c r="H547" s="49"/>
      <c r="I547" s="49"/>
    </row>
    <row r="548" spans="1:9">
      <c r="A548" s="44"/>
      <c r="B548" s="44"/>
      <c r="C548" s="44"/>
      <c r="D548" s="44"/>
      <c r="E548" s="44"/>
      <c r="F548" s="44"/>
      <c r="G548" s="49"/>
      <c r="H548" s="49"/>
      <c r="I548" s="49"/>
    </row>
    <row r="549" spans="1:9">
      <c r="A549" s="44"/>
      <c r="B549" s="44"/>
      <c r="C549" s="44"/>
      <c r="D549" s="44"/>
      <c r="E549" s="44"/>
      <c r="F549" s="44"/>
      <c r="G549" s="49"/>
      <c r="H549" s="49"/>
      <c r="I549" s="49"/>
    </row>
    <row r="550" spans="1:9">
      <c r="A550" s="44"/>
      <c r="B550" s="44"/>
      <c r="C550" s="44"/>
      <c r="D550" s="44"/>
      <c r="E550" s="44"/>
      <c r="F550" s="44"/>
      <c r="G550" s="49"/>
      <c r="H550" s="49"/>
      <c r="I550" s="49"/>
    </row>
    <row r="551" spans="1:9">
      <c r="A551" s="44"/>
      <c r="B551" s="44"/>
      <c r="C551" s="44"/>
      <c r="D551" s="44"/>
      <c r="E551" s="44"/>
      <c r="F551" s="44"/>
      <c r="G551" s="49"/>
      <c r="H551" s="49"/>
      <c r="I551" s="49"/>
    </row>
    <row r="552" spans="1:9">
      <c r="A552" s="44"/>
      <c r="B552" s="44"/>
      <c r="C552" s="44"/>
      <c r="D552" s="44"/>
      <c r="E552" s="44"/>
      <c r="F552" s="44"/>
      <c r="G552" s="49"/>
      <c r="H552" s="49"/>
      <c r="I552" s="49"/>
    </row>
    <row r="553" spans="1:9">
      <c r="A553" s="44"/>
      <c r="B553" s="44"/>
      <c r="C553" s="44"/>
      <c r="D553" s="44"/>
      <c r="E553" s="44"/>
      <c r="F553" s="44"/>
      <c r="G553" s="49"/>
      <c r="H553" s="49"/>
      <c r="I553" s="49"/>
    </row>
    <row r="554" spans="1:9">
      <c r="A554" s="44"/>
      <c r="B554" s="44"/>
      <c r="C554" s="44"/>
      <c r="D554" s="44"/>
      <c r="E554" s="44"/>
      <c r="F554" s="44"/>
      <c r="G554" s="49"/>
      <c r="H554" s="49"/>
      <c r="I554" s="49"/>
    </row>
    <row r="555" spans="1:9">
      <c r="A555" s="44"/>
      <c r="B555" s="44"/>
      <c r="C555" s="44"/>
      <c r="D555" s="44"/>
      <c r="E555" s="44"/>
      <c r="F555" s="44"/>
      <c r="G555" s="49"/>
      <c r="H555" s="49"/>
      <c r="I555" s="49"/>
    </row>
    <row r="556" spans="1:9">
      <c r="A556" s="44"/>
      <c r="B556" s="44"/>
      <c r="C556" s="44"/>
      <c r="D556" s="44"/>
      <c r="E556" s="44"/>
      <c r="F556" s="44"/>
      <c r="G556" s="49"/>
      <c r="H556" s="49"/>
      <c r="I556" s="49"/>
    </row>
    <row r="557" spans="1:9">
      <c r="A557" s="44"/>
      <c r="B557" s="44"/>
      <c r="C557" s="44"/>
      <c r="D557" s="44"/>
      <c r="E557" s="44"/>
      <c r="F557" s="44"/>
      <c r="G557" s="49"/>
      <c r="H557" s="49"/>
      <c r="I557" s="49"/>
    </row>
    <row r="558" spans="1:9">
      <c r="A558" s="44"/>
      <c r="B558" s="44"/>
      <c r="C558" s="44"/>
      <c r="D558" s="44"/>
      <c r="E558" s="44"/>
      <c r="F558" s="44"/>
      <c r="G558" s="49"/>
      <c r="H558" s="49"/>
      <c r="I558" s="49"/>
    </row>
    <row r="559" spans="1:9">
      <c r="A559" s="44"/>
      <c r="B559" s="44"/>
      <c r="C559" s="44"/>
      <c r="D559" s="44"/>
      <c r="E559" s="44"/>
      <c r="F559" s="44"/>
      <c r="G559" s="49"/>
      <c r="H559" s="49"/>
      <c r="I559" s="49"/>
    </row>
    <row r="560" spans="1:9">
      <c r="A560" s="44"/>
      <c r="B560" s="44"/>
      <c r="C560" s="44"/>
      <c r="D560" s="44"/>
      <c r="E560" s="44"/>
      <c r="F560" s="44"/>
      <c r="G560" s="49"/>
      <c r="H560" s="49"/>
      <c r="I560" s="49"/>
    </row>
    <row r="561" spans="1:9">
      <c r="A561" s="44"/>
      <c r="B561" s="44"/>
      <c r="C561" s="44"/>
      <c r="D561" s="44"/>
      <c r="E561" s="44"/>
      <c r="F561" s="44"/>
      <c r="G561" s="49"/>
      <c r="H561" s="49"/>
      <c r="I561" s="49"/>
    </row>
    <row r="562" spans="1:9">
      <c r="A562" s="44"/>
      <c r="B562" s="44"/>
      <c r="C562" s="44"/>
      <c r="D562" s="44"/>
      <c r="E562" s="44"/>
      <c r="F562" s="44"/>
      <c r="G562" s="49"/>
      <c r="H562" s="49"/>
      <c r="I562" s="49"/>
    </row>
    <row r="563" spans="1:9">
      <c r="A563" s="44"/>
      <c r="B563" s="44"/>
      <c r="C563" s="44"/>
      <c r="D563" s="44"/>
      <c r="E563" s="44"/>
      <c r="F563" s="44"/>
      <c r="G563" s="49"/>
      <c r="H563" s="49"/>
      <c r="I563" s="49"/>
    </row>
    <row r="564" spans="1:9">
      <c r="A564" s="44"/>
      <c r="B564" s="44"/>
      <c r="C564" s="44"/>
      <c r="D564" s="44"/>
      <c r="E564" s="44"/>
      <c r="F564" s="44"/>
      <c r="G564" s="49"/>
      <c r="H564" s="49"/>
      <c r="I564" s="49"/>
    </row>
    <row r="565" spans="1:9">
      <c r="A565" s="44"/>
      <c r="B565" s="44"/>
      <c r="C565" s="44"/>
      <c r="D565" s="44"/>
      <c r="E565" s="44"/>
      <c r="F565" s="44"/>
      <c r="G565" s="49"/>
      <c r="H565" s="49"/>
      <c r="I565" s="49"/>
    </row>
    <row r="566" spans="1:9">
      <c r="A566" s="44"/>
      <c r="B566" s="44"/>
      <c r="C566" s="44"/>
      <c r="D566" s="44"/>
      <c r="E566" s="44"/>
      <c r="F566" s="44"/>
      <c r="G566" s="49"/>
      <c r="H566" s="49"/>
      <c r="I566" s="49"/>
    </row>
    <row r="567" spans="1:9">
      <c r="A567" s="44"/>
      <c r="B567" s="44"/>
      <c r="C567" s="44"/>
      <c r="D567" s="44"/>
      <c r="E567" s="44"/>
      <c r="F567" s="44"/>
      <c r="G567" s="49"/>
      <c r="H567" s="49"/>
      <c r="I567" s="49"/>
    </row>
    <row r="568" spans="1:9">
      <c r="A568" s="44"/>
      <c r="B568" s="44"/>
      <c r="C568" s="44"/>
      <c r="D568" s="44"/>
      <c r="E568" s="44"/>
      <c r="F568" s="44"/>
      <c r="G568" s="49"/>
      <c r="H568" s="49"/>
      <c r="I568" s="49"/>
    </row>
    <row r="569" spans="1:9">
      <c r="A569" s="44"/>
      <c r="B569" s="44"/>
      <c r="C569" s="44"/>
      <c r="D569" s="44"/>
      <c r="E569" s="44"/>
      <c r="F569" s="44"/>
      <c r="G569" s="49"/>
      <c r="H569" s="49"/>
      <c r="I569" s="49"/>
    </row>
    <row r="570" spans="1:9">
      <c r="A570" s="44"/>
      <c r="B570" s="44"/>
      <c r="C570" s="44"/>
      <c r="D570" s="44"/>
      <c r="E570" s="44"/>
      <c r="F570" s="44"/>
      <c r="G570" s="49"/>
      <c r="H570" s="49"/>
      <c r="I570" s="49"/>
    </row>
    <row r="571" spans="1:9">
      <c r="A571" s="44"/>
      <c r="B571" s="44"/>
      <c r="C571" s="44"/>
      <c r="D571" s="44"/>
      <c r="E571" s="44"/>
      <c r="F571" s="44"/>
      <c r="G571" s="49"/>
      <c r="H571" s="49"/>
      <c r="I571" s="49"/>
    </row>
    <row r="572" spans="1:9">
      <c r="A572" s="44"/>
      <c r="B572" s="44"/>
      <c r="C572" s="44"/>
      <c r="D572" s="44"/>
      <c r="E572" s="44"/>
      <c r="F572" s="44"/>
      <c r="G572" s="49"/>
      <c r="H572" s="49"/>
      <c r="I572" s="49"/>
    </row>
    <row r="573" spans="1:9">
      <c r="A573" s="44"/>
      <c r="B573" s="44"/>
      <c r="C573" s="44"/>
      <c r="D573" s="44"/>
      <c r="E573" s="44"/>
      <c r="F573" s="44"/>
      <c r="G573" s="49"/>
      <c r="H573" s="49"/>
      <c r="I573" s="49"/>
    </row>
    <row r="574" spans="1:9">
      <c r="A574" s="44"/>
      <c r="B574" s="44"/>
      <c r="C574" s="44"/>
      <c r="D574" s="44"/>
      <c r="E574" s="44"/>
      <c r="F574" s="44"/>
      <c r="G574" s="49"/>
      <c r="H574" s="49"/>
      <c r="I574" s="49"/>
    </row>
    <row r="575" spans="1:9">
      <c r="A575" s="44"/>
      <c r="B575" s="44"/>
      <c r="C575" s="44"/>
      <c r="D575" s="44"/>
      <c r="E575" s="44"/>
      <c r="F575" s="44"/>
      <c r="G575" s="49"/>
      <c r="H575" s="49"/>
      <c r="I575" s="49"/>
    </row>
    <row r="576" spans="1:9">
      <c r="A576" s="44"/>
      <c r="B576" s="44"/>
      <c r="C576" s="44"/>
      <c r="D576" s="44"/>
      <c r="E576" s="44"/>
      <c r="F576" s="44"/>
      <c r="G576" s="49"/>
      <c r="H576" s="49"/>
      <c r="I576" s="49"/>
    </row>
    <row r="577" spans="1:9">
      <c r="A577" s="44"/>
      <c r="B577" s="44"/>
      <c r="C577" s="44"/>
      <c r="D577" s="44"/>
      <c r="E577" s="44"/>
      <c r="F577" s="44"/>
      <c r="G577" s="49"/>
      <c r="H577" s="49"/>
      <c r="I577" s="49"/>
    </row>
    <row r="578" spans="1:9">
      <c r="A578" s="44"/>
      <c r="B578" s="44"/>
      <c r="C578" s="44"/>
      <c r="D578" s="44"/>
      <c r="E578" s="44"/>
      <c r="F578" s="44"/>
      <c r="G578" s="49"/>
      <c r="H578" s="49"/>
      <c r="I578" s="49"/>
    </row>
    <row r="579" spans="1:9">
      <c r="A579" s="44"/>
      <c r="B579" s="44"/>
      <c r="C579" s="44"/>
      <c r="D579" s="44"/>
      <c r="E579" s="44"/>
      <c r="F579" s="44"/>
      <c r="G579" s="49"/>
      <c r="H579" s="49"/>
      <c r="I579" s="49"/>
    </row>
    <row r="580" spans="1:9">
      <c r="A580" s="44"/>
      <c r="B580" s="44"/>
      <c r="C580" s="44"/>
      <c r="D580" s="44"/>
      <c r="E580" s="44"/>
      <c r="F580" s="44"/>
      <c r="G580" s="49"/>
      <c r="H580" s="49"/>
      <c r="I580" s="49"/>
    </row>
    <row r="581" spans="1:9">
      <c r="A581" s="44"/>
      <c r="B581" s="44"/>
      <c r="C581" s="44"/>
      <c r="D581" s="44"/>
      <c r="E581" s="44"/>
      <c r="F581" s="44"/>
      <c r="G581" s="49"/>
      <c r="H581" s="49"/>
      <c r="I581" s="49"/>
    </row>
    <row r="582" spans="1:9">
      <c r="A582" s="44"/>
      <c r="B582" s="44"/>
      <c r="C582" s="44"/>
      <c r="D582" s="44"/>
      <c r="E582" s="44"/>
      <c r="F582" s="44"/>
      <c r="G582" s="49"/>
      <c r="H582" s="49"/>
      <c r="I582" s="49"/>
    </row>
    <row r="583" spans="1:9">
      <c r="A583" s="44"/>
      <c r="B583" s="44"/>
      <c r="C583" s="44"/>
      <c r="D583" s="44"/>
      <c r="E583" s="44"/>
      <c r="F583" s="44"/>
      <c r="G583" s="49"/>
      <c r="H583" s="49"/>
      <c r="I583" s="49"/>
    </row>
    <row r="584" spans="1:9">
      <c r="A584" s="44"/>
      <c r="B584" s="44"/>
      <c r="C584" s="44"/>
      <c r="D584" s="44"/>
      <c r="E584" s="44"/>
      <c r="F584" s="44"/>
      <c r="G584" s="49"/>
      <c r="H584" s="49"/>
      <c r="I584" s="49"/>
    </row>
    <row r="585" spans="1:9">
      <c r="A585" s="44"/>
      <c r="B585" s="44"/>
      <c r="C585" s="44"/>
      <c r="D585" s="44"/>
      <c r="E585" s="44"/>
      <c r="F585" s="44"/>
      <c r="G585" s="49"/>
      <c r="H585" s="49"/>
      <c r="I585" s="49"/>
    </row>
    <row r="586" spans="1:9">
      <c r="A586" s="44"/>
      <c r="B586" s="44"/>
      <c r="C586" s="44"/>
      <c r="D586" s="44"/>
      <c r="E586" s="44"/>
      <c r="F586" s="44"/>
      <c r="G586" s="49"/>
      <c r="H586" s="49"/>
      <c r="I586" s="49"/>
    </row>
    <row r="587" spans="1:9">
      <c r="A587" s="44"/>
      <c r="B587" s="44"/>
      <c r="C587" s="44"/>
      <c r="D587" s="44"/>
      <c r="E587" s="44"/>
      <c r="F587" s="44"/>
      <c r="G587" s="49"/>
      <c r="H587" s="49"/>
      <c r="I587" s="49"/>
    </row>
    <row r="588" spans="1:9">
      <c r="A588" s="44"/>
      <c r="B588" s="44"/>
      <c r="C588" s="44"/>
      <c r="D588" s="44"/>
      <c r="E588" s="44"/>
      <c r="F588" s="44"/>
      <c r="G588" s="49"/>
      <c r="H588" s="49"/>
      <c r="I588" s="49"/>
    </row>
    <row r="589" spans="1:9">
      <c r="A589" s="44"/>
      <c r="B589" s="44"/>
      <c r="C589" s="44"/>
      <c r="D589" s="44"/>
      <c r="E589" s="44"/>
      <c r="F589" s="44"/>
      <c r="G589" s="49"/>
      <c r="H589" s="49"/>
      <c r="I589" s="49"/>
    </row>
    <row r="590" spans="1:9">
      <c r="A590" s="44"/>
      <c r="B590" s="44"/>
      <c r="C590" s="44"/>
      <c r="D590" s="44"/>
      <c r="E590" s="44"/>
      <c r="F590" s="44"/>
      <c r="G590" s="49"/>
      <c r="H590" s="49"/>
      <c r="I590" s="49"/>
    </row>
    <row r="591" spans="1:9">
      <c r="A591" s="44"/>
      <c r="B591" s="44"/>
      <c r="C591" s="44"/>
      <c r="D591" s="44"/>
      <c r="E591" s="44"/>
      <c r="F591" s="44"/>
      <c r="G591" s="49"/>
      <c r="H591" s="49"/>
      <c r="I591" s="49"/>
    </row>
    <row r="592" spans="1:9">
      <c r="A592" s="44"/>
      <c r="B592" s="44"/>
      <c r="C592" s="44"/>
      <c r="D592" s="44"/>
      <c r="E592" s="44"/>
      <c r="F592" s="44"/>
      <c r="G592" s="49"/>
      <c r="H592" s="49"/>
      <c r="I592" s="49"/>
    </row>
    <row r="593" spans="1:9">
      <c r="A593" s="44"/>
      <c r="B593" s="44"/>
      <c r="C593" s="44"/>
      <c r="D593" s="44"/>
      <c r="E593" s="44"/>
      <c r="F593" s="44"/>
      <c r="G593" s="49"/>
      <c r="H593" s="49"/>
      <c r="I593" s="49"/>
    </row>
    <row r="594" spans="1:9">
      <c r="A594" s="44"/>
      <c r="B594" s="44"/>
      <c r="C594" s="44"/>
      <c r="D594" s="44"/>
      <c r="E594" s="44"/>
      <c r="F594" s="44"/>
      <c r="G594" s="49"/>
      <c r="H594" s="49"/>
      <c r="I594" s="49"/>
    </row>
    <row r="595" spans="1:9">
      <c r="A595" s="44"/>
      <c r="B595" s="44"/>
      <c r="C595" s="44"/>
      <c r="D595" s="44"/>
      <c r="E595" s="44"/>
      <c r="F595" s="44"/>
      <c r="G595" s="49"/>
      <c r="H595" s="49"/>
      <c r="I595" s="49"/>
    </row>
    <row r="596" spans="1:9">
      <c r="A596" s="44"/>
      <c r="B596" s="44"/>
      <c r="C596" s="44"/>
      <c r="D596" s="44"/>
      <c r="E596" s="44"/>
      <c r="F596" s="44"/>
      <c r="G596" s="49"/>
      <c r="H596" s="49"/>
      <c r="I596" s="49"/>
    </row>
    <row r="597" spans="1:9">
      <c r="A597" s="44"/>
      <c r="B597" s="44"/>
      <c r="C597" s="44"/>
      <c r="D597" s="44"/>
      <c r="E597" s="44"/>
      <c r="F597" s="44"/>
      <c r="G597" s="49"/>
      <c r="H597" s="49"/>
      <c r="I597" s="49"/>
    </row>
    <row r="598" spans="1:9">
      <c r="A598" s="44"/>
      <c r="B598" s="44"/>
      <c r="C598" s="44"/>
      <c r="D598" s="44"/>
      <c r="E598" s="44"/>
      <c r="F598" s="44"/>
      <c r="G598" s="49"/>
      <c r="H598" s="49"/>
      <c r="I598" s="49"/>
    </row>
    <row r="599" spans="1:9">
      <c r="A599" s="44"/>
      <c r="B599" s="44"/>
      <c r="C599" s="44"/>
      <c r="D599" s="44"/>
      <c r="E599" s="44"/>
      <c r="F599" s="44"/>
      <c r="G599" s="49"/>
      <c r="H599" s="49"/>
      <c r="I599" s="49"/>
    </row>
    <row r="600" spans="1:9">
      <c r="A600" s="44"/>
      <c r="B600" s="44"/>
      <c r="C600" s="44"/>
      <c r="D600" s="44"/>
      <c r="E600" s="44"/>
      <c r="F600" s="44"/>
      <c r="G600" s="49"/>
      <c r="H600" s="49"/>
      <c r="I600" s="49"/>
    </row>
    <row r="601" spans="1:9">
      <c r="A601" s="44"/>
      <c r="B601" s="44"/>
      <c r="C601" s="44"/>
      <c r="D601" s="44"/>
      <c r="E601" s="44"/>
      <c r="F601" s="44"/>
      <c r="G601" s="49"/>
      <c r="H601" s="49"/>
      <c r="I601" s="49"/>
    </row>
    <row r="602" spans="1:9">
      <c r="A602" s="44"/>
      <c r="B602" s="44"/>
      <c r="C602" s="44"/>
      <c r="D602" s="44"/>
      <c r="E602" s="44"/>
      <c r="F602" s="44"/>
      <c r="G602" s="49"/>
      <c r="H602" s="49"/>
      <c r="I602" s="49"/>
    </row>
    <row r="603" spans="1:9">
      <c r="A603" s="44"/>
      <c r="B603" s="44"/>
      <c r="C603" s="44"/>
      <c r="D603" s="44"/>
      <c r="E603" s="44"/>
      <c r="F603" s="44"/>
      <c r="G603" s="49"/>
      <c r="H603" s="49"/>
      <c r="I603" s="49"/>
    </row>
    <row r="604" spans="1:9">
      <c r="A604" s="44"/>
      <c r="B604" s="44"/>
      <c r="C604" s="44"/>
      <c r="D604" s="44"/>
      <c r="E604" s="44"/>
      <c r="F604" s="44"/>
      <c r="G604" s="49"/>
      <c r="H604" s="49"/>
      <c r="I604" s="49"/>
    </row>
    <row r="605" spans="1:9">
      <c r="A605" s="44"/>
      <c r="B605" s="44"/>
      <c r="C605" s="44"/>
      <c r="D605" s="44"/>
      <c r="E605" s="44"/>
      <c r="F605" s="44"/>
      <c r="G605" s="49"/>
      <c r="H605" s="49"/>
      <c r="I605" s="49"/>
    </row>
    <row r="606" spans="1:9">
      <c r="A606" s="44"/>
      <c r="B606" s="44"/>
      <c r="C606" s="44"/>
      <c r="D606" s="44"/>
      <c r="E606" s="44"/>
      <c r="F606" s="44"/>
      <c r="G606" s="49"/>
      <c r="H606" s="49"/>
      <c r="I606" s="49"/>
    </row>
    <row r="607" spans="1:9">
      <c r="A607" s="44"/>
      <c r="B607" s="44"/>
      <c r="C607" s="44"/>
      <c r="D607" s="44"/>
      <c r="E607" s="44"/>
      <c r="F607" s="44"/>
      <c r="G607" s="49"/>
      <c r="H607" s="49"/>
      <c r="I607" s="49"/>
    </row>
    <row r="608" spans="1:9">
      <c r="A608" s="44"/>
      <c r="B608" s="44"/>
      <c r="C608" s="44"/>
      <c r="D608" s="44"/>
      <c r="E608" s="44"/>
      <c r="F608" s="44"/>
      <c r="G608" s="49"/>
      <c r="H608" s="49"/>
      <c r="I608" s="49"/>
    </row>
    <row r="609" spans="1:9">
      <c r="A609" s="44"/>
      <c r="B609" s="44"/>
      <c r="C609" s="44"/>
      <c r="D609" s="44"/>
      <c r="E609" s="44"/>
      <c r="F609" s="44"/>
      <c r="G609" s="49"/>
      <c r="H609" s="49"/>
      <c r="I609" s="49"/>
    </row>
    <row r="610" spans="1:9">
      <c r="A610" s="44"/>
      <c r="B610" s="44"/>
      <c r="C610" s="44"/>
      <c r="D610" s="44"/>
      <c r="E610" s="44"/>
      <c r="F610" s="44"/>
      <c r="G610" s="49"/>
      <c r="H610" s="49"/>
      <c r="I610" s="49"/>
    </row>
    <row r="611" spans="1:9">
      <c r="A611" s="44"/>
      <c r="B611" s="44"/>
      <c r="C611" s="44"/>
      <c r="D611" s="44"/>
      <c r="E611" s="44"/>
      <c r="F611" s="44"/>
      <c r="G611" s="49"/>
      <c r="H611" s="49"/>
      <c r="I611" s="49"/>
    </row>
    <row r="612" spans="1:9">
      <c r="A612" s="44"/>
      <c r="B612" s="44"/>
      <c r="C612" s="44"/>
      <c r="D612" s="44"/>
      <c r="E612" s="44"/>
      <c r="F612" s="44"/>
      <c r="G612" s="49"/>
      <c r="H612" s="49"/>
      <c r="I612" s="49"/>
    </row>
    <row r="613" spans="1:9">
      <c r="A613" s="44"/>
      <c r="B613" s="44"/>
      <c r="C613" s="44"/>
      <c r="D613" s="44"/>
      <c r="E613" s="44"/>
      <c r="F613" s="44"/>
      <c r="G613" s="49"/>
      <c r="H613" s="49"/>
      <c r="I613" s="49"/>
    </row>
    <row r="614" spans="1:9">
      <c r="A614" s="44"/>
      <c r="B614" s="44"/>
      <c r="C614" s="44"/>
      <c r="D614" s="44"/>
      <c r="E614" s="44"/>
      <c r="F614" s="44"/>
      <c r="G614" s="49"/>
      <c r="H614" s="49"/>
      <c r="I614" s="49"/>
    </row>
    <row r="615" spans="1:9">
      <c r="A615" s="44"/>
      <c r="B615" s="44"/>
      <c r="C615" s="44"/>
      <c r="D615" s="44"/>
      <c r="E615" s="44"/>
      <c r="F615" s="44"/>
      <c r="G615" s="49"/>
      <c r="H615" s="49"/>
      <c r="I615" s="49"/>
    </row>
    <row r="616" spans="1:9">
      <c r="A616" s="44"/>
      <c r="B616" s="44"/>
      <c r="C616" s="44"/>
      <c r="D616" s="44"/>
      <c r="E616" s="44"/>
      <c r="F616" s="44"/>
      <c r="G616" s="49"/>
      <c r="H616" s="49"/>
      <c r="I616" s="49"/>
    </row>
    <row r="617" spans="1:9">
      <c r="A617" s="44"/>
      <c r="B617" s="44"/>
      <c r="C617" s="44"/>
      <c r="D617" s="44"/>
      <c r="E617" s="44"/>
      <c r="F617" s="44"/>
      <c r="G617" s="49"/>
      <c r="H617" s="49"/>
      <c r="I617" s="49"/>
    </row>
    <row r="618" spans="1:9">
      <c r="A618" s="44"/>
      <c r="B618" s="44"/>
      <c r="C618" s="44"/>
      <c r="D618" s="44"/>
      <c r="E618" s="44"/>
      <c r="F618" s="44"/>
      <c r="G618" s="49"/>
      <c r="H618" s="49"/>
      <c r="I618" s="49"/>
    </row>
    <row r="619" spans="1:9">
      <c r="A619" s="44"/>
      <c r="B619" s="44"/>
      <c r="C619" s="44"/>
      <c r="D619" s="44"/>
      <c r="E619" s="44"/>
      <c r="F619" s="44"/>
      <c r="G619" s="49"/>
      <c r="H619" s="49"/>
      <c r="I619" s="49"/>
    </row>
    <row r="620" spans="1:9">
      <c r="A620" s="44"/>
      <c r="B620" s="44"/>
      <c r="C620" s="44"/>
      <c r="D620" s="44"/>
      <c r="E620" s="44"/>
      <c r="F620" s="44"/>
      <c r="G620" s="49"/>
      <c r="H620" s="49"/>
      <c r="I620" s="49"/>
    </row>
    <row r="621" spans="1:9">
      <c r="A621" s="44"/>
      <c r="B621" s="44"/>
      <c r="C621" s="44"/>
      <c r="D621" s="44"/>
      <c r="E621" s="44"/>
      <c r="F621" s="44"/>
      <c r="G621" s="49"/>
      <c r="H621" s="49"/>
      <c r="I621" s="49"/>
    </row>
    <row r="622" spans="1:9">
      <c r="A622" s="44"/>
      <c r="B622" s="44"/>
      <c r="C622" s="44"/>
      <c r="D622" s="44"/>
      <c r="E622" s="44"/>
      <c r="F622" s="44"/>
      <c r="G622" s="49"/>
      <c r="H622" s="49"/>
      <c r="I622" s="49"/>
    </row>
    <row r="623" spans="1:9">
      <c r="A623" s="44"/>
      <c r="B623" s="44"/>
      <c r="C623" s="44"/>
      <c r="D623" s="44"/>
      <c r="E623" s="44"/>
      <c r="F623" s="44"/>
      <c r="G623" s="49"/>
      <c r="H623" s="49"/>
      <c r="I623" s="49"/>
    </row>
    <row r="624" spans="1:9">
      <c r="A624" s="44"/>
      <c r="B624" s="44"/>
      <c r="C624" s="44"/>
      <c r="D624" s="44"/>
      <c r="E624" s="44"/>
      <c r="F624" s="44"/>
      <c r="G624" s="49"/>
      <c r="H624" s="49"/>
      <c r="I624" s="49"/>
    </row>
    <row r="625" spans="1:9">
      <c r="A625" s="44"/>
      <c r="B625" s="44"/>
      <c r="C625" s="44"/>
      <c r="D625" s="44"/>
      <c r="E625" s="44"/>
      <c r="F625" s="44"/>
      <c r="G625" s="49"/>
      <c r="H625" s="49"/>
      <c r="I625" s="49"/>
    </row>
    <row r="626" spans="1:9">
      <c r="A626" s="44"/>
      <c r="B626" s="44"/>
      <c r="C626" s="44"/>
      <c r="D626" s="44"/>
      <c r="E626" s="44"/>
      <c r="F626" s="44"/>
      <c r="G626" s="49"/>
      <c r="H626" s="49"/>
      <c r="I626" s="49"/>
    </row>
    <row r="627" spans="1:9">
      <c r="A627" s="44"/>
      <c r="B627" s="44"/>
      <c r="C627" s="44"/>
      <c r="D627" s="44"/>
      <c r="E627" s="44"/>
      <c r="F627" s="44"/>
      <c r="G627" s="49"/>
      <c r="H627" s="49"/>
      <c r="I627" s="49"/>
    </row>
    <row r="628" spans="1:9">
      <c r="A628" s="44"/>
      <c r="B628" s="44"/>
      <c r="C628" s="44"/>
      <c r="D628" s="44"/>
      <c r="E628" s="44"/>
      <c r="F628" s="44"/>
      <c r="G628" s="49"/>
      <c r="H628" s="49"/>
      <c r="I628" s="49"/>
    </row>
    <row r="629" spans="1:9">
      <c r="A629" s="44"/>
      <c r="B629" s="44"/>
      <c r="C629" s="44"/>
      <c r="D629" s="44"/>
      <c r="E629" s="44"/>
      <c r="F629" s="44"/>
      <c r="G629" s="49"/>
      <c r="H629" s="49"/>
      <c r="I629" s="49"/>
    </row>
    <row r="630" spans="1:9">
      <c r="A630" s="44"/>
      <c r="B630" s="44"/>
      <c r="C630" s="44"/>
      <c r="D630" s="44"/>
      <c r="E630" s="44"/>
      <c r="F630" s="44"/>
      <c r="G630" s="49"/>
      <c r="H630" s="49"/>
      <c r="I630" s="49"/>
    </row>
    <row r="631" spans="1:9">
      <c r="A631" s="44"/>
      <c r="B631" s="44"/>
      <c r="C631" s="44"/>
      <c r="D631" s="44"/>
      <c r="E631" s="44"/>
      <c r="F631" s="44"/>
      <c r="G631" s="49"/>
      <c r="H631" s="49"/>
      <c r="I631" s="49"/>
    </row>
    <row r="632" spans="1:9">
      <c r="A632" s="44"/>
      <c r="B632" s="44"/>
      <c r="C632" s="44"/>
      <c r="D632" s="44"/>
      <c r="E632" s="44"/>
      <c r="F632" s="44"/>
      <c r="G632" s="49"/>
      <c r="H632" s="49"/>
      <c r="I632" s="49"/>
    </row>
    <row r="633" spans="1:9">
      <c r="A633" s="44"/>
      <c r="B633" s="44"/>
      <c r="C633" s="44"/>
      <c r="D633" s="44"/>
      <c r="E633" s="44"/>
      <c r="F633" s="44"/>
      <c r="G633" s="49"/>
      <c r="H633" s="49"/>
      <c r="I633" s="49"/>
    </row>
    <row r="634" spans="1:9">
      <c r="A634" s="44"/>
      <c r="B634" s="44"/>
      <c r="C634" s="44"/>
      <c r="D634" s="44"/>
      <c r="E634" s="44"/>
      <c r="F634" s="44"/>
      <c r="G634" s="49"/>
      <c r="H634" s="49"/>
      <c r="I634" s="49"/>
    </row>
    <row r="635" spans="1:9">
      <c r="A635" s="44"/>
      <c r="B635" s="44"/>
      <c r="C635" s="44"/>
      <c r="D635" s="44"/>
      <c r="E635" s="44"/>
      <c r="F635" s="44"/>
      <c r="G635" s="49"/>
      <c r="H635" s="49"/>
      <c r="I635" s="49"/>
    </row>
    <row r="636" spans="1:9">
      <c r="A636" s="44"/>
      <c r="B636" s="44"/>
      <c r="C636" s="44"/>
      <c r="D636" s="44"/>
      <c r="E636" s="44"/>
      <c r="F636" s="44"/>
      <c r="G636" s="49"/>
      <c r="H636" s="49"/>
      <c r="I636" s="49"/>
    </row>
    <row r="637" spans="1:9">
      <c r="A637" s="44"/>
      <c r="B637" s="44"/>
      <c r="C637" s="44"/>
      <c r="D637" s="44"/>
      <c r="E637" s="44"/>
      <c r="F637" s="44"/>
      <c r="G637" s="49"/>
      <c r="H637" s="49"/>
      <c r="I637" s="49"/>
    </row>
    <row r="638" spans="1:9">
      <c r="A638" s="44"/>
      <c r="B638" s="44"/>
      <c r="C638" s="44"/>
      <c r="D638" s="44"/>
      <c r="E638" s="44"/>
      <c r="F638" s="44"/>
      <c r="G638" s="49"/>
      <c r="H638" s="49"/>
      <c r="I638" s="49"/>
    </row>
    <row r="639" spans="1:9">
      <c r="A639" s="44"/>
      <c r="B639" s="44"/>
      <c r="C639" s="44"/>
      <c r="D639" s="44"/>
      <c r="E639" s="44"/>
      <c r="F639" s="44"/>
      <c r="G639" s="49"/>
      <c r="H639" s="49"/>
      <c r="I639" s="49"/>
    </row>
    <row r="640" spans="1:9">
      <c r="A640" s="44"/>
      <c r="B640" s="44"/>
      <c r="C640" s="44"/>
      <c r="D640" s="44"/>
      <c r="E640" s="44"/>
      <c r="F640" s="44"/>
      <c r="G640" s="49"/>
      <c r="H640" s="49"/>
      <c r="I640" s="49"/>
    </row>
    <row r="641" spans="1:9">
      <c r="A641" s="44"/>
      <c r="B641" s="44"/>
      <c r="C641" s="44"/>
      <c r="D641" s="44"/>
      <c r="E641" s="44"/>
      <c r="F641" s="44"/>
      <c r="G641" s="49"/>
      <c r="H641" s="49"/>
      <c r="I641" s="49"/>
    </row>
    <row r="642" spans="1:9">
      <c r="A642" s="44"/>
      <c r="B642" s="44"/>
      <c r="C642" s="44"/>
      <c r="D642" s="44"/>
      <c r="E642" s="44"/>
      <c r="F642" s="44"/>
      <c r="G642" s="49"/>
      <c r="H642" s="49"/>
      <c r="I642" s="49"/>
    </row>
    <row r="643" spans="1:9">
      <c r="A643" s="44"/>
      <c r="B643" s="44"/>
      <c r="C643" s="44"/>
      <c r="D643" s="44"/>
      <c r="E643" s="44"/>
      <c r="F643" s="44"/>
      <c r="G643" s="49"/>
      <c r="H643" s="49"/>
      <c r="I643" s="49"/>
    </row>
    <row r="644" spans="1:9">
      <c r="A644" s="44"/>
      <c r="B644" s="44"/>
      <c r="C644" s="44"/>
      <c r="D644" s="44"/>
      <c r="E644" s="44"/>
      <c r="F644" s="44"/>
      <c r="G644" s="49"/>
      <c r="H644" s="49"/>
      <c r="I644" s="49"/>
    </row>
    <row r="645" spans="1:9">
      <c r="A645" s="44"/>
      <c r="B645" s="44"/>
      <c r="C645" s="44"/>
      <c r="D645" s="44"/>
      <c r="E645" s="44"/>
      <c r="F645" s="44"/>
      <c r="G645" s="49"/>
      <c r="H645" s="49"/>
      <c r="I645" s="49"/>
    </row>
    <row r="646" spans="1:9">
      <c r="A646" s="44"/>
      <c r="B646" s="44"/>
      <c r="C646" s="44"/>
      <c r="D646" s="44"/>
      <c r="E646" s="44"/>
      <c r="F646" s="44"/>
      <c r="G646" s="49"/>
      <c r="H646" s="49"/>
      <c r="I646" s="49"/>
    </row>
    <row r="647" spans="1:9">
      <c r="A647" s="44"/>
      <c r="B647" s="44"/>
      <c r="C647" s="44"/>
      <c r="D647" s="44"/>
      <c r="E647" s="44"/>
      <c r="F647" s="44"/>
      <c r="G647" s="49"/>
      <c r="H647" s="49"/>
      <c r="I647" s="49"/>
    </row>
    <row r="648" spans="1:9">
      <c r="A648" s="44"/>
      <c r="B648" s="44"/>
      <c r="C648" s="44"/>
      <c r="D648" s="44"/>
      <c r="E648" s="44"/>
      <c r="F648" s="44"/>
      <c r="G648" s="49"/>
      <c r="H648" s="49"/>
      <c r="I648" s="49"/>
    </row>
    <row r="649" spans="1:9">
      <c r="A649" s="44"/>
      <c r="B649" s="44"/>
      <c r="C649" s="44"/>
      <c r="D649" s="44"/>
      <c r="E649" s="44"/>
      <c r="F649" s="44"/>
      <c r="G649" s="49"/>
      <c r="H649" s="49"/>
      <c r="I649" s="49"/>
    </row>
    <row r="650" spans="1:9">
      <c r="A650" s="44"/>
      <c r="B650" s="44"/>
      <c r="C650" s="44"/>
      <c r="D650" s="44"/>
      <c r="E650" s="44"/>
      <c r="F650" s="44"/>
      <c r="G650" s="49"/>
      <c r="H650" s="49"/>
      <c r="I650" s="49"/>
    </row>
    <row r="651" spans="1:9">
      <c r="A651" s="44"/>
      <c r="B651" s="44"/>
      <c r="C651" s="44"/>
      <c r="D651" s="44"/>
      <c r="E651" s="44"/>
      <c r="F651" s="44"/>
      <c r="G651" s="49"/>
      <c r="H651" s="49"/>
      <c r="I651" s="49"/>
    </row>
    <row r="652" spans="1:9">
      <c r="A652" s="44"/>
      <c r="B652" s="44"/>
      <c r="C652" s="44"/>
      <c r="D652" s="44"/>
      <c r="E652" s="44"/>
      <c r="F652" s="44"/>
      <c r="G652" s="49"/>
      <c r="H652" s="49"/>
      <c r="I652" s="49"/>
    </row>
    <row r="653" spans="1:9">
      <c r="A653" s="44"/>
      <c r="B653" s="44"/>
      <c r="C653" s="44"/>
      <c r="D653" s="44"/>
      <c r="E653" s="44"/>
      <c r="F653" s="44"/>
      <c r="G653" s="49"/>
      <c r="H653" s="49"/>
      <c r="I653" s="49"/>
    </row>
    <row r="654" spans="1:9">
      <c r="A654" s="44"/>
      <c r="B654" s="44"/>
      <c r="C654" s="44"/>
      <c r="D654" s="44"/>
      <c r="E654" s="44"/>
      <c r="F654" s="44"/>
      <c r="G654" s="49"/>
      <c r="H654" s="49"/>
      <c r="I654" s="49"/>
    </row>
    <row r="655" spans="1:9">
      <c r="A655" s="44"/>
      <c r="B655" s="44"/>
      <c r="C655" s="44"/>
      <c r="D655" s="44"/>
      <c r="E655" s="44"/>
      <c r="F655" s="44"/>
      <c r="G655" s="49"/>
      <c r="H655" s="49"/>
      <c r="I655" s="49"/>
    </row>
    <row r="656" spans="1:9">
      <c r="A656" s="44"/>
      <c r="B656" s="44"/>
      <c r="C656" s="44"/>
      <c r="D656" s="44"/>
      <c r="E656" s="44"/>
      <c r="F656" s="44"/>
      <c r="G656" s="49"/>
      <c r="H656" s="49"/>
      <c r="I656" s="49"/>
    </row>
    <row r="657" spans="1:9">
      <c r="A657" s="44"/>
      <c r="B657" s="44"/>
      <c r="C657" s="44"/>
      <c r="D657" s="44"/>
      <c r="E657" s="44"/>
      <c r="F657" s="44"/>
      <c r="G657" s="49"/>
      <c r="H657" s="49"/>
      <c r="I657" s="49"/>
    </row>
    <row r="658" spans="1:9">
      <c r="A658" s="44"/>
      <c r="B658" s="44"/>
      <c r="C658" s="44"/>
      <c r="D658" s="44"/>
      <c r="E658" s="44"/>
      <c r="F658" s="44"/>
      <c r="G658" s="49"/>
      <c r="H658" s="49"/>
      <c r="I658" s="49"/>
    </row>
    <row r="659" spans="1:9">
      <c r="A659" s="44"/>
      <c r="B659" s="44"/>
      <c r="C659" s="44"/>
      <c r="D659" s="44"/>
      <c r="E659" s="44"/>
      <c r="F659" s="44"/>
      <c r="G659" s="49"/>
      <c r="H659" s="49"/>
      <c r="I659" s="49"/>
    </row>
    <row r="660" spans="1:9">
      <c r="A660" s="44"/>
      <c r="B660" s="44"/>
      <c r="C660" s="44"/>
      <c r="D660" s="44"/>
      <c r="E660" s="44"/>
      <c r="F660" s="44"/>
      <c r="G660" s="49"/>
      <c r="H660" s="49"/>
      <c r="I660" s="49"/>
    </row>
    <row r="661" spans="1:9">
      <c r="A661" s="44"/>
      <c r="B661" s="44"/>
      <c r="C661" s="44"/>
      <c r="D661" s="44"/>
      <c r="E661" s="44"/>
      <c r="F661" s="44"/>
      <c r="G661" s="49"/>
      <c r="H661" s="49"/>
      <c r="I661" s="49"/>
    </row>
    <row r="662" spans="1:9">
      <c r="A662" s="44"/>
      <c r="B662" s="44"/>
      <c r="C662" s="44"/>
      <c r="D662" s="44"/>
      <c r="E662" s="44"/>
      <c r="F662" s="44"/>
      <c r="G662" s="49"/>
      <c r="H662" s="49"/>
      <c r="I662" s="49"/>
    </row>
    <row r="663" spans="1:9">
      <c r="A663" s="44"/>
      <c r="B663" s="44"/>
      <c r="C663" s="44"/>
      <c r="D663" s="44"/>
      <c r="E663" s="44"/>
      <c r="F663" s="44"/>
      <c r="G663" s="49"/>
      <c r="H663" s="49"/>
      <c r="I663" s="49"/>
    </row>
    <row r="664" spans="1:9">
      <c r="A664" s="44"/>
      <c r="B664" s="44"/>
      <c r="C664" s="44"/>
      <c r="D664" s="44"/>
      <c r="E664" s="44"/>
      <c r="F664" s="44"/>
      <c r="G664" s="49"/>
      <c r="H664" s="49"/>
      <c r="I664" s="49"/>
    </row>
    <row r="665" spans="1:9">
      <c r="A665" s="44"/>
      <c r="B665" s="44"/>
      <c r="C665" s="44"/>
      <c r="D665" s="44"/>
      <c r="E665" s="44"/>
      <c r="F665" s="44"/>
      <c r="G665" s="49"/>
      <c r="H665" s="49"/>
      <c r="I665" s="49"/>
    </row>
    <row r="666" spans="1:9">
      <c r="A666" s="44"/>
      <c r="B666" s="44"/>
      <c r="C666" s="44"/>
      <c r="D666" s="44"/>
      <c r="E666" s="44"/>
      <c r="F666" s="44"/>
      <c r="G666" s="49"/>
      <c r="H666" s="49"/>
      <c r="I666" s="49"/>
    </row>
    <row r="667" spans="1:9">
      <c r="A667" s="44"/>
      <c r="B667" s="44"/>
      <c r="C667" s="44"/>
      <c r="D667" s="44"/>
      <c r="E667" s="44"/>
      <c r="F667" s="44"/>
      <c r="G667" s="49"/>
      <c r="H667" s="49"/>
      <c r="I667" s="49"/>
    </row>
    <row r="668" spans="1:9">
      <c r="A668" s="44"/>
      <c r="B668" s="44"/>
      <c r="C668" s="44"/>
      <c r="D668" s="44"/>
      <c r="E668" s="44"/>
      <c r="F668" s="44"/>
      <c r="G668" s="49"/>
      <c r="H668" s="49"/>
      <c r="I668" s="49"/>
    </row>
    <row r="669" spans="1:9">
      <c r="A669" s="44"/>
      <c r="B669" s="44"/>
      <c r="C669" s="44"/>
      <c r="D669" s="44"/>
      <c r="E669" s="44"/>
      <c r="F669" s="44"/>
      <c r="G669" s="49"/>
      <c r="H669" s="49"/>
      <c r="I669" s="49"/>
    </row>
    <row r="670" spans="1:9">
      <c r="A670" s="44"/>
      <c r="B670" s="44"/>
      <c r="C670" s="44"/>
      <c r="D670" s="44"/>
      <c r="E670" s="44"/>
      <c r="F670" s="44"/>
      <c r="G670" s="49"/>
      <c r="H670" s="49"/>
      <c r="I670" s="49"/>
    </row>
    <row r="671" spans="1:9">
      <c r="A671" s="44"/>
      <c r="B671" s="44"/>
      <c r="C671" s="44"/>
      <c r="D671" s="44"/>
      <c r="E671" s="44"/>
      <c r="F671" s="44"/>
      <c r="G671" s="49"/>
      <c r="H671" s="49"/>
      <c r="I671" s="49"/>
    </row>
    <row r="672" spans="1:9">
      <c r="A672" s="44"/>
      <c r="B672" s="44"/>
      <c r="C672" s="44"/>
      <c r="D672" s="44"/>
      <c r="E672" s="44"/>
      <c r="F672" s="44"/>
      <c r="G672" s="49"/>
      <c r="H672" s="49"/>
      <c r="I672" s="49"/>
    </row>
    <row r="673" spans="1:9">
      <c r="A673" s="44"/>
      <c r="B673" s="44"/>
      <c r="C673" s="44"/>
      <c r="D673" s="44"/>
      <c r="E673" s="44"/>
      <c r="F673" s="44"/>
      <c r="G673" s="49"/>
      <c r="H673" s="49"/>
      <c r="I673" s="49"/>
    </row>
    <row r="674" spans="1:9">
      <c r="A674" s="44"/>
      <c r="B674" s="44"/>
      <c r="C674" s="44"/>
      <c r="D674" s="44"/>
      <c r="E674" s="44"/>
      <c r="F674" s="44"/>
      <c r="G674" s="49"/>
      <c r="H674" s="49"/>
      <c r="I674" s="49"/>
    </row>
    <row r="675" spans="1:9">
      <c r="A675" s="44"/>
      <c r="B675" s="44"/>
      <c r="C675" s="44"/>
      <c r="D675" s="44"/>
      <c r="E675" s="44"/>
      <c r="F675" s="44"/>
      <c r="G675" s="49"/>
      <c r="H675" s="49"/>
      <c r="I675" s="49"/>
    </row>
    <row r="676" spans="1:9">
      <c r="A676" s="44"/>
      <c r="B676" s="44"/>
      <c r="C676" s="44"/>
      <c r="D676" s="44"/>
      <c r="E676" s="44"/>
      <c r="F676" s="44"/>
      <c r="G676" s="49"/>
      <c r="H676" s="49"/>
      <c r="I676" s="49"/>
    </row>
    <row r="677" spans="1:9">
      <c r="A677" s="44"/>
      <c r="B677" s="44"/>
      <c r="C677" s="44"/>
      <c r="D677" s="44"/>
      <c r="E677" s="44"/>
      <c r="F677" s="44"/>
      <c r="G677" s="49"/>
      <c r="H677" s="49"/>
      <c r="I677" s="49"/>
    </row>
    <row r="678" spans="1:9">
      <c r="A678" s="44"/>
      <c r="B678" s="44"/>
      <c r="C678" s="44"/>
      <c r="D678" s="44"/>
      <c r="E678" s="44"/>
      <c r="F678" s="44"/>
      <c r="G678" s="49"/>
      <c r="H678" s="49"/>
      <c r="I678" s="49"/>
    </row>
    <row r="679" spans="1:9">
      <c r="A679" s="44"/>
      <c r="B679" s="44"/>
      <c r="C679" s="44"/>
      <c r="D679" s="44"/>
      <c r="E679" s="44"/>
      <c r="F679" s="44"/>
      <c r="G679" s="49"/>
      <c r="H679" s="49"/>
      <c r="I679" s="49"/>
    </row>
    <row r="680" spans="1:9">
      <c r="A680" s="44"/>
      <c r="B680" s="44"/>
      <c r="C680" s="44"/>
      <c r="D680" s="44"/>
      <c r="E680" s="44"/>
      <c r="F680" s="44"/>
      <c r="G680" s="49"/>
      <c r="H680" s="49"/>
      <c r="I680" s="49"/>
    </row>
    <row r="681" spans="1:9">
      <c r="A681" s="44"/>
      <c r="B681" s="44"/>
      <c r="C681" s="44"/>
      <c r="D681" s="44"/>
      <c r="E681" s="44"/>
      <c r="F681" s="44"/>
      <c r="G681" s="49"/>
      <c r="H681" s="49"/>
      <c r="I681" s="49"/>
    </row>
    <row r="682" spans="1:9">
      <c r="A682" s="44"/>
      <c r="B682" s="44"/>
      <c r="C682" s="44"/>
      <c r="D682" s="44"/>
      <c r="E682" s="44"/>
      <c r="F682" s="44"/>
      <c r="G682" s="49"/>
      <c r="H682" s="49"/>
      <c r="I682" s="49"/>
    </row>
    <row r="683" spans="1:9">
      <c r="A683" s="44"/>
      <c r="B683" s="44"/>
      <c r="C683" s="44"/>
      <c r="D683" s="44"/>
      <c r="E683" s="44"/>
      <c r="F683" s="44"/>
      <c r="G683" s="49"/>
      <c r="H683" s="49"/>
      <c r="I683" s="49"/>
    </row>
    <row r="684" spans="1:9">
      <c r="A684" s="44"/>
      <c r="B684" s="44"/>
      <c r="C684" s="44"/>
      <c r="D684" s="44"/>
      <c r="E684" s="44"/>
      <c r="F684" s="44"/>
      <c r="G684" s="49"/>
      <c r="H684" s="49"/>
      <c r="I684" s="49"/>
    </row>
    <row r="685" spans="1:9">
      <c r="A685" s="44"/>
      <c r="B685" s="44"/>
      <c r="C685" s="44"/>
      <c r="D685" s="44"/>
      <c r="E685" s="44"/>
      <c r="F685" s="44"/>
      <c r="G685" s="49"/>
      <c r="H685" s="49"/>
      <c r="I685" s="49"/>
    </row>
    <row r="686" spans="1:9">
      <c r="A686" s="44"/>
      <c r="B686" s="44"/>
      <c r="C686" s="44"/>
      <c r="D686" s="44"/>
      <c r="E686" s="44"/>
      <c r="F686" s="44"/>
      <c r="G686" s="49"/>
      <c r="H686" s="49"/>
      <c r="I686" s="49"/>
    </row>
    <row r="687" spans="1:9">
      <c r="A687" s="44"/>
      <c r="B687" s="44"/>
      <c r="C687" s="44"/>
      <c r="D687" s="44"/>
      <c r="E687" s="44"/>
      <c r="F687" s="44"/>
      <c r="G687" s="49"/>
      <c r="H687" s="49"/>
      <c r="I687" s="49"/>
    </row>
    <row r="688" spans="1:9">
      <c r="A688" s="44"/>
      <c r="B688" s="44"/>
      <c r="C688" s="44"/>
      <c r="D688" s="44"/>
      <c r="E688" s="44"/>
      <c r="F688" s="44"/>
      <c r="G688" s="49"/>
      <c r="H688" s="49"/>
      <c r="I688" s="49"/>
    </row>
    <row r="689" spans="1:9">
      <c r="A689" s="44"/>
      <c r="B689" s="44"/>
      <c r="C689" s="44"/>
      <c r="D689" s="44"/>
      <c r="E689" s="44"/>
      <c r="F689" s="44"/>
      <c r="G689" s="49"/>
      <c r="H689" s="49"/>
      <c r="I689" s="49"/>
    </row>
    <row r="690" spans="1:9">
      <c r="A690" s="44"/>
      <c r="B690" s="44"/>
      <c r="C690" s="44"/>
      <c r="D690" s="44"/>
      <c r="E690" s="44"/>
      <c r="F690" s="44"/>
      <c r="G690" s="49"/>
      <c r="H690" s="49"/>
      <c r="I690" s="49"/>
    </row>
    <row r="691" spans="1:9">
      <c r="A691" s="44"/>
      <c r="B691" s="44"/>
      <c r="C691" s="44"/>
      <c r="D691" s="44"/>
      <c r="E691" s="44"/>
      <c r="F691" s="44"/>
      <c r="G691" s="49"/>
      <c r="H691" s="49"/>
      <c r="I691" s="49"/>
    </row>
    <row r="692" spans="1:9">
      <c r="A692" s="44"/>
      <c r="B692" s="44"/>
      <c r="C692" s="44"/>
      <c r="D692" s="44"/>
      <c r="E692" s="44"/>
      <c r="F692" s="44"/>
      <c r="G692" s="49"/>
      <c r="H692" s="49"/>
      <c r="I692" s="49"/>
    </row>
    <row r="693" spans="1:9">
      <c r="A693" s="44"/>
      <c r="B693" s="44"/>
      <c r="C693" s="44"/>
      <c r="D693" s="44"/>
      <c r="E693" s="44"/>
      <c r="F693" s="44"/>
      <c r="G693" s="49"/>
      <c r="H693" s="49"/>
      <c r="I693" s="49"/>
    </row>
    <row r="694" spans="1:9">
      <c r="A694" s="44"/>
      <c r="B694" s="44"/>
      <c r="C694" s="44"/>
      <c r="D694" s="44"/>
      <c r="E694" s="44"/>
      <c r="F694" s="44"/>
      <c r="G694" s="49"/>
      <c r="H694" s="49"/>
      <c r="I694" s="49"/>
    </row>
    <row r="695" spans="1:9">
      <c r="A695" s="44"/>
      <c r="B695" s="44"/>
      <c r="C695" s="44"/>
      <c r="D695" s="44"/>
      <c r="E695" s="44"/>
      <c r="F695" s="44"/>
      <c r="G695" s="49"/>
      <c r="H695" s="49"/>
      <c r="I695" s="49"/>
    </row>
    <row r="696" spans="1:9">
      <c r="A696" s="44"/>
      <c r="B696" s="44"/>
      <c r="C696" s="44"/>
      <c r="D696" s="44"/>
      <c r="E696" s="44"/>
      <c r="F696" s="44"/>
      <c r="G696" s="49"/>
      <c r="H696" s="49"/>
      <c r="I696" s="49"/>
    </row>
    <row r="697" spans="1:9">
      <c r="A697" s="44"/>
      <c r="B697" s="44"/>
      <c r="C697" s="44"/>
      <c r="D697" s="44"/>
      <c r="E697" s="44"/>
      <c r="F697" s="44"/>
      <c r="G697" s="49"/>
      <c r="H697" s="49"/>
      <c r="I697" s="49"/>
    </row>
    <row r="698" spans="1:9">
      <c r="A698" s="44"/>
      <c r="B698" s="44"/>
      <c r="C698" s="44"/>
      <c r="D698" s="44"/>
      <c r="E698" s="44"/>
      <c r="F698" s="44"/>
      <c r="G698" s="49"/>
      <c r="H698" s="49"/>
      <c r="I698" s="49"/>
    </row>
    <row r="699" spans="1:9">
      <c r="A699" s="44"/>
      <c r="B699" s="44"/>
      <c r="C699" s="44"/>
      <c r="D699" s="44"/>
      <c r="E699" s="44"/>
      <c r="F699" s="44"/>
      <c r="G699" s="49"/>
      <c r="H699" s="49"/>
      <c r="I699" s="49"/>
    </row>
    <row r="700" spans="1:9">
      <c r="A700" s="44"/>
      <c r="B700" s="44"/>
      <c r="C700" s="44"/>
      <c r="D700" s="44"/>
      <c r="E700" s="44"/>
      <c r="F700" s="44"/>
      <c r="G700" s="49"/>
      <c r="H700" s="49"/>
      <c r="I700" s="49"/>
    </row>
    <row r="701" spans="1:9">
      <c r="A701" s="44"/>
      <c r="B701" s="44"/>
      <c r="C701" s="44"/>
      <c r="D701" s="44"/>
      <c r="E701" s="44"/>
      <c r="F701" s="44"/>
      <c r="G701" s="49"/>
      <c r="H701" s="49"/>
      <c r="I701" s="49"/>
    </row>
    <row r="702" spans="1:9">
      <c r="A702" s="44"/>
      <c r="B702" s="44"/>
      <c r="C702" s="44"/>
      <c r="D702" s="44"/>
      <c r="E702" s="44"/>
      <c r="F702" s="44"/>
      <c r="G702" s="49"/>
      <c r="H702" s="49"/>
      <c r="I702" s="49"/>
    </row>
    <row r="703" spans="1:9">
      <c r="A703" s="44"/>
      <c r="B703" s="44"/>
      <c r="C703" s="44"/>
      <c r="D703" s="44"/>
      <c r="E703" s="44"/>
      <c r="F703" s="44"/>
      <c r="G703" s="49"/>
      <c r="H703" s="49"/>
      <c r="I703" s="49"/>
    </row>
    <row r="704" spans="1:9">
      <c r="A704" s="44"/>
      <c r="B704" s="44"/>
      <c r="C704" s="44"/>
      <c r="D704" s="44"/>
      <c r="E704" s="44"/>
      <c r="F704" s="44"/>
      <c r="G704" s="49"/>
      <c r="H704" s="49"/>
      <c r="I704" s="49"/>
    </row>
    <row r="705" spans="1:9">
      <c r="A705" s="44"/>
      <c r="B705" s="44"/>
      <c r="C705" s="44"/>
      <c r="D705" s="44"/>
      <c r="E705" s="44"/>
      <c r="F705" s="44"/>
      <c r="G705" s="49"/>
      <c r="H705" s="49"/>
      <c r="I705" s="49"/>
    </row>
    <row r="706" spans="1:9">
      <c r="A706" s="44"/>
      <c r="B706" s="44"/>
      <c r="C706" s="44"/>
      <c r="D706" s="44"/>
      <c r="E706" s="44"/>
      <c r="F706" s="44"/>
      <c r="G706" s="49"/>
      <c r="H706" s="49"/>
      <c r="I706" s="49"/>
    </row>
    <row r="707" spans="1:9">
      <c r="A707" s="44"/>
      <c r="B707" s="44"/>
      <c r="C707" s="44"/>
      <c r="D707" s="44"/>
      <c r="E707" s="44"/>
      <c r="F707" s="44"/>
      <c r="G707" s="49"/>
      <c r="H707" s="49"/>
      <c r="I707" s="49"/>
    </row>
    <row r="708" spans="1:9">
      <c r="A708" s="44"/>
      <c r="B708" s="44"/>
      <c r="C708" s="44"/>
      <c r="D708" s="44"/>
      <c r="E708" s="44"/>
      <c r="F708" s="44"/>
      <c r="G708" s="49"/>
      <c r="H708" s="49"/>
      <c r="I708" s="49"/>
    </row>
    <row r="709" spans="1:9">
      <c r="A709" s="44"/>
      <c r="B709" s="44"/>
      <c r="C709" s="44"/>
      <c r="D709" s="44"/>
      <c r="E709" s="44"/>
      <c r="F709" s="44"/>
      <c r="G709" s="49"/>
      <c r="H709" s="49"/>
      <c r="I709" s="49"/>
    </row>
    <row r="710" spans="1:9">
      <c r="A710" s="44"/>
      <c r="B710" s="44"/>
      <c r="C710" s="44"/>
      <c r="D710" s="44"/>
      <c r="E710" s="44"/>
      <c r="F710" s="44"/>
      <c r="G710" s="49"/>
      <c r="H710" s="49"/>
      <c r="I710" s="49"/>
    </row>
    <row r="711" spans="1:9">
      <c r="A711" s="44"/>
      <c r="B711" s="44"/>
      <c r="C711" s="44"/>
      <c r="D711" s="44"/>
      <c r="E711" s="44"/>
      <c r="F711" s="44"/>
      <c r="G711" s="49"/>
      <c r="H711" s="49"/>
      <c r="I711" s="49"/>
    </row>
    <row r="712" spans="1:9">
      <c r="A712" s="44"/>
      <c r="B712" s="44"/>
      <c r="C712" s="44"/>
      <c r="D712" s="44"/>
      <c r="E712" s="44"/>
      <c r="F712" s="44"/>
      <c r="G712" s="49"/>
      <c r="H712" s="49"/>
      <c r="I712" s="49"/>
    </row>
    <row r="713" spans="1:9">
      <c r="A713" s="44"/>
      <c r="B713" s="44"/>
      <c r="C713" s="44"/>
      <c r="D713" s="44"/>
      <c r="E713" s="44"/>
      <c r="F713" s="44"/>
      <c r="G713" s="49"/>
      <c r="H713" s="49"/>
      <c r="I713" s="49"/>
    </row>
    <row r="714" spans="1:9">
      <c r="A714" s="44"/>
      <c r="B714" s="44"/>
      <c r="C714" s="44"/>
      <c r="D714" s="44"/>
      <c r="E714" s="44"/>
      <c r="F714" s="44"/>
      <c r="G714" s="49"/>
      <c r="H714" s="49"/>
      <c r="I714" s="49"/>
    </row>
    <row r="715" spans="1:9">
      <c r="A715" s="44"/>
      <c r="B715" s="44"/>
      <c r="C715" s="44"/>
      <c r="D715" s="44"/>
      <c r="E715" s="44"/>
      <c r="F715" s="44"/>
      <c r="G715" s="49"/>
      <c r="H715" s="49"/>
      <c r="I715" s="49"/>
    </row>
    <row r="716" spans="1:9">
      <c r="A716" s="44"/>
      <c r="B716" s="44"/>
      <c r="C716" s="44"/>
      <c r="D716" s="44"/>
      <c r="E716" s="44"/>
      <c r="F716" s="44"/>
      <c r="G716" s="49"/>
      <c r="H716" s="49"/>
      <c r="I716" s="49"/>
    </row>
    <row r="717" spans="1:9">
      <c r="A717" s="44"/>
      <c r="B717" s="44"/>
      <c r="C717" s="44"/>
      <c r="D717" s="44"/>
      <c r="E717" s="44"/>
      <c r="F717" s="44"/>
      <c r="G717" s="49"/>
      <c r="H717" s="49"/>
      <c r="I717" s="49"/>
    </row>
    <row r="718" spans="1:9">
      <c r="A718" s="44"/>
      <c r="B718" s="44"/>
      <c r="C718" s="44"/>
      <c r="D718" s="44"/>
      <c r="E718" s="44"/>
      <c r="F718" s="44"/>
      <c r="G718" s="49"/>
      <c r="H718" s="49"/>
      <c r="I718" s="49"/>
    </row>
    <row r="719" spans="1:9">
      <c r="A719" s="44"/>
      <c r="B719" s="44"/>
      <c r="C719" s="44"/>
      <c r="D719" s="44"/>
      <c r="E719" s="44"/>
      <c r="F719" s="44"/>
      <c r="G719" s="49"/>
      <c r="H719" s="49"/>
      <c r="I719" s="49"/>
    </row>
    <row r="720" spans="1:9">
      <c r="A720" s="44"/>
      <c r="B720" s="44"/>
      <c r="C720" s="44"/>
      <c r="D720" s="44"/>
      <c r="E720" s="44"/>
      <c r="F720" s="44"/>
      <c r="G720" s="49"/>
      <c r="H720" s="49"/>
      <c r="I720" s="49"/>
    </row>
  </sheetData>
  <sheetProtection formatCells="0" formatColumns="0" formatRows="0" insertColumns="0" insertRows="0" insertHyperlinks="0" deleteRows="0"/>
  <autoFilter ref="A1:I386" xr:uid="{E1A2414B-24A5-45FF-898C-8B133BFB9680}"/>
  <sortState xmlns:xlrd2="http://schemas.microsoft.com/office/spreadsheetml/2017/richdata2" ref="C2:I386">
    <sortCondition ref="C2:C386"/>
    <sortCondition ref="D2:D386"/>
    <sortCondition ref="E2:E386"/>
    <sortCondition ref="F2:F386"/>
  </sortState>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D2269FDE83038418931FBE7C9F923D2" ma:contentTypeVersion="10" ma:contentTypeDescription="Een nieuw document maken." ma:contentTypeScope="" ma:versionID="ad9077226a7c1d0ca09096c880c671cf">
  <xsd:schema xmlns:xsd="http://www.w3.org/2001/XMLSchema" xmlns:xs="http://www.w3.org/2001/XMLSchema" xmlns:p="http://schemas.microsoft.com/office/2006/metadata/properties" xmlns:ns2="05caa00e-a849-4e26-9226-d30829972a3b" xmlns:ns3="bd93d256-75a0-42c7-a58e-1ec1eb0e8527" targetNamespace="http://schemas.microsoft.com/office/2006/metadata/properties" ma:root="true" ma:fieldsID="2621b30f2d7c116175b28dc3231f8f53" ns2:_="" ns3:_="">
    <xsd:import namespace="05caa00e-a849-4e26-9226-d30829972a3b"/>
    <xsd:import namespace="bd93d256-75a0-42c7-a58e-1ec1eb0e8527"/>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caa00e-a849-4e26-9226-d30829972a3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Location" ma:index="12" nillable="true" ma:displayName="MediaServiceLocation" ma:descrip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d93d256-75a0-42c7-a58e-1ec1eb0e8527" elementFormDefault="qualified">
    <xsd:import namespace="http://schemas.microsoft.com/office/2006/documentManagement/types"/>
    <xsd:import namespace="http://schemas.microsoft.com/office/infopath/2007/PartnerControls"/>
    <xsd:element name="SharedWithUsers" ma:index="14"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BF986E-98FF-4FC8-B119-CDA40D2C02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caa00e-a849-4e26-9226-d30829972a3b"/>
    <ds:schemaRef ds:uri="bd93d256-75a0-42c7-a58e-1ec1eb0e852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6BE81B3-29A6-4084-8230-4D0E6E6EB88D}">
  <ds:schemaRefs>
    <ds:schemaRef ds:uri="http://purl.org/dc/terms/"/>
    <ds:schemaRef ds:uri="http://schemas.microsoft.com/office/infopath/2007/PartnerControls"/>
    <ds:schemaRef ds:uri="bd93d256-75a0-42c7-a58e-1ec1eb0e8527"/>
    <ds:schemaRef ds:uri="http://schemas.microsoft.com/office/2006/documentManagement/types"/>
    <ds:schemaRef ds:uri="05caa00e-a849-4e26-9226-d30829972a3b"/>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7670E04C-FA30-481A-B884-0B24A571698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FGTemplate</vt:lpstr>
      <vt:lpstr>Verantwoordelijkheden </vt:lpstr>
      <vt:lpstr>Competentie matrix </vt:lpstr>
      <vt:lpstr>Functietitels</vt:lpstr>
      <vt:lpstr>Waarden </vt:lpstr>
      <vt:lpstr>Kennis &amp; Ervaring</vt:lpstr>
      <vt:lpstr>ResultaatGerichte Acties RGA </vt:lpstr>
      <vt:lpstr>Language</vt:lpstr>
      <vt:lpstr>FBTemplate</vt:lpstr>
      <vt:lpstr>Competenties Profile Builder </vt:lpstr>
      <vt:lpstr>'Competenties Profile Builder '!_GoBack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Ariadne</dc:creator>
  <cp:lastModifiedBy>Zeger Vander Eyken</cp:lastModifiedBy>
  <cp:lastPrinted>2018-11-25T17:30:29Z</cp:lastPrinted>
  <dcterms:created xsi:type="dcterms:W3CDTF">2018-02-09T11:14:18Z</dcterms:created>
  <dcterms:modified xsi:type="dcterms:W3CDTF">2018-12-16T19:47:39Z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0x010100FD2269FDE83038418931FBE7C9F923D2</vt:lpwstr>
  </property>
</Properties>
</file>
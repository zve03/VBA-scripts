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MeetstaatBook" defaultThemeVersion="166925"/>
  <mc:AlternateContent xmlns:mc="http://schemas.openxmlformats.org/markup-compatibility/2006">
    <mc:Choice Requires="x15">
      <x15ac:absPath xmlns:x15ac="http://schemas.microsoft.com/office/spreadsheetml/2010/11/ac" url="D:\Users\Zeger\Desktop\to sort\"/>
    </mc:Choice>
  </mc:AlternateContent>
  <xr:revisionPtr revIDLastSave="0" documentId="13_ncr:1_{27EDAA3B-8628-4B95-9AE7-5606D9F389B3}" xr6:coauthVersionLast="40" xr6:coauthVersionMax="40" xr10:uidLastSave="{00000000-0000-0000-0000-000000000000}"/>
  <bookViews>
    <workbookView xWindow="0" yWindow="0" windowWidth="22995" windowHeight="9030" firstSheet="1" activeTab="9" xr2:uid="{3E74894D-9281-44C1-8ADD-73EF0EB0F506}"/>
  </bookViews>
  <sheets>
    <sheet name="Meetstaat" sheetId="1" r:id="rId1"/>
    <sheet name="Factuurtemplate" sheetId="18" r:id="rId2"/>
    <sheet name="FactuurDetailTemp" sheetId="21" r:id="rId3"/>
    <sheet name="Factuurrvb" sheetId="17" r:id="rId4"/>
    <sheet name="Revenue" sheetId="15" r:id="rId5"/>
    <sheet name="BI" sheetId="13" r:id="rId6"/>
    <sheet name="Tarievensheet" sheetId="4" r:id="rId7"/>
    <sheet name="Projectsheet" sheetId="8" r:id="rId8"/>
    <sheet name="Contactsheet" sheetId="7" r:id="rId9"/>
    <sheet name="Datasheet" sheetId="5" r:id="rId10"/>
    <sheet name="Voortgang " sheetId="12" r:id="rId11"/>
    <sheet name="Berekening Bruto marge " sheetId="11" r:id="rId12"/>
  </sheets>
  <functionGroups builtInGroupCount="19"/>
  <definedNames>
    <definedName name="_xlnm._FilterDatabase" localSheetId="8" hidden="1">Contactsheet!$A$1:$X$22</definedName>
    <definedName name="_xlnm._FilterDatabase" localSheetId="0" hidden="1">Meetstaat!$A$3:$S$397</definedName>
    <definedName name="_xlnm._FilterDatabase" localSheetId="10" hidden="1">'Voortgang '!$A$1:$G$1</definedName>
    <definedName name="LijstBedrijven">Tarievensheet!$A$2:$A$1048576</definedName>
    <definedName name="ListStatus">Datasheet!$A$3:$A$5</definedName>
    <definedName name="_xlnm.Print_Area" localSheetId="3">Factuurrvb!$A$1:$F$45</definedName>
    <definedName name="_xlnm.Print_Area" localSheetId="1">Factuurtemplate!$A$1:$F$45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8" l="1"/>
  <c r="E43" i="18" s="1"/>
  <c r="E44" i="18" l="1"/>
  <c r="E45" i="18" s="1"/>
  <c r="E41" i="17" l="1"/>
  <c r="E43" i="17" s="1"/>
  <c r="E44" i="17" l="1"/>
  <c r="E45" i="17" s="1"/>
  <c r="A25" i="12" l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" i="12"/>
  <c r="Q388" i="1" l="1"/>
  <c r="Q385" i="1"/>
  <c r="Q376" i="1" l="1"/>
  <c r="Q383" i="1"/>
  <c r="Q382" i="1"/>
  <c r="Y365" i="1" l="1"/>
  <c r="X365" i="1"/>
  <c r="W365" i="1"/>
  <c r="U365" i="1"/>
  <c r="Y337" i="1"/>
  <c r="X337" i="1"/>
  <c r="W337" i="1"/>
  <c r="U337" i="1"/>
  <c r="Y328" i="1"/>
  <c r="X328" i="1"/>
  <c r="W328" i="1"/>
  <c r="U328" i="1"/>
  <c r="Y325" i="1"/>
  <c r="X325" i="1"/>
  <c r="W325" i="1"/>
  <c r="U325" i="1"/>
  <c r="Y320" i="1"/>
  <c r="X320" i="1"/>
  <c r="W320" i="1"/>
  <c r="U320" i="1"/>
  <c r="Y319" i="1"/>
  <c r="X319" i="1"/>
  <c r="W319" i="1"/>
  <c r="U319" i="1"/>
  <c r="Y359" i="1"/>
  <c r="X359" i="1"/>
  <c r="W359" i="1"/>
  <c r="U359" i="1"/>
  <c r="Y354" i="1"/>
  <c r="X354" i="1"/>
  <c r="W354" i="1"/>
  <c r="U354" i="1"/>
  <c r="Y346" i="1"/>
  <c r="X346" i="1"/>
  <c r="W346" i="1"/>
  <c r="U346" i="1"/>
  <c r="Y293" i="1"/>
  <c r="X293" i="1"/>
  <c r="W293" i="1"/>
  <c r="U293" i="1"/>
  <c r="Y292" i="1"/>
  <c r="X292" i="1"/>
  <c r="W292" i="1"/>
  <c r="U292" i="1"/>
  <c r="Y285" i="1"/>
  <c r="X285" i="1"/>
  <c r="W285" i="1"/>
  <c r="U285" i="1"/>
  <c r="Y278" i="1"/>
  <c r="X278" i="1"/>
  <c r="W278" i="1"/>
  <c r="U278" i="1"/>
  <c r="Y339" i="1"/>
  <c r="X339" i="1"/>
  <c r="W339" i="1"/>
  <c r="U339" i="1"/>
  <c r="Y336" i="1"/>
  <c r="X336" i="1"/>
  <c r="W336" i="1"/>
  <c r="U336" i="1"/>
  <c r="Y312" i="1"/>
  <c r="X312" i="1"/>
  <c r="W312" i="1"/>
  <c r="U312" i="1"/>
  <c r="Y310" i="1"/>
  <c r="X310" i="1"/>
  <c r="W310" i="1"/>
  <c r="U310" i="1"/>
  <c r="Y351" i="1"/>
  <c r="X351" i="1"/>
  <c r="W351" i="1"/>
  <c r="U351" i="1"/>
  <c r="Y344" i="1"/>
  <c r="X344" i="1"/>
  <c r="W344" i="1"/>
  <c r="U344" i="1"/>
  <c r="Y334" i="1"/>
  <c r="X334" i="1"/>
  <c r="W334" i="1"/>
  <c r="U334" i="1"/>
  <c r="Y350" i="1"/>
  <c r="X350" i="1"/>
  <c r="W350" i="1"/>
  <c r="U350" i="1"/>
  <c r="Y348" i="1"/>
  <c r="X348" i="1"/>
  <c r="W348" i="1"/>
  <c r="U348" i="1"/>
  <c r="Y272" i="1"/>
  <c r="X272" i="1"/>
  <c r="W272" i="1"/>
  <c r="U272" i="1"/>
  <c r="Y269" i="1"/>
  <c r="X269" i="1"/>
  <c r="W269" i="1"/>
  <c r="U269" i="1"/>
  <c r="Y374" i="1"/>
  <c r="X374" i="1"/>
  <c r="W374" i="1"/>
  <c r="U374" i="1"/>
  <c r="Y367" i="1"/>
  <c r="X367" i="1"/>
  <c r="W367" i="1"/>
  <c r="U367" i="1"/>
  <c r="Y363" i="1"/>
  <c r="X363" i="1"/>
  <c r="W363" i="1"/>
  <c r="U363" i="1"/>
  <c r="Y361" i="1"/>
  <c r="X361" i="1"/>
  <c r="W361" i="1"/>
  <c r="U361" i="1"/>
  <c r="Y358" i="1"/>
  <c r="X358" i="1"/>
  <c r="W358" i="1"/>
  <c r="U358" i="1"/>
  <c r="Y357" i="1"/>
  <c r="X357" i="1"/>
  <c r="W357" i="1"/>
  <c r="U357" i="1"/>
  <c r="Y355" i="1"/>
  <c r="X355" i="1"/>
  <c r="W355" i="1"/>
  <c r="U355" i="1"/>
  <c r="Y353" i="1"/>
  <c r="X353" i="1"/>
  <c r="W353" i="1"/>
  <c r="U353" i="1"/>
  <c r="Y352" i="1"/>
  <c r="X352" i="1"/>
  <c r="W352" i="1"/>
  <c r="U352" i="1"/>
  <c r="Y349" i="1"/>
  <c r="X349" i="1"/>
  <c r="W349" i="1"/>
  <c r="U349" i="1"/>
  <c r="Y345" i="1"/>
  <c r="X345" i="1"/>
  <c r="W345" i="1"/>
  <c r="U345" i="1"/>
  <c r="Y340" i="1"/>
  <c r="X340" i="1"/>
  <c r="W340" i="1"/>
  <c r="U340" i="1"/>
  <c r="Y338" i="1"/>
  <c r="X338" i="1"/>
  <c r="W338" i="1"/>
  <c r="U338" i="1"/>
  <c r="Y331" i="1"/>
  <c r="X331" i="1"/>
  <c r="W331" i="1"/>
  <c r="U331" i="1"/>
  <c r="Y329" i="1"/>
  <c r="X329" i="1"/>
  <c r="W329" i="1"/>
  <c r="U329" i="1"/>
  <c r="Y324" i="1"/>
  <c r="X324" i="1"/>
  <c r="W324" i="1"/>
  <c r="U324" i="1"/>
  <c r="Y322" i="1"/>
  <c r="X322" i="1"/>
  <c r="W322" i="1"/>
  <c r="U322" i="1"/>
  <c r="Y321" i="1"/>
  <c r="X321" i="1"/>
  <c r="W321" i="1"/>
  <c r="U321" i="1"/>
  <c r="E3" i="11"/>
  <c r="F3" i="11" s="1"/>
  <c r="E5" i="11"/>
  <c r="F5" i="11" s="1"/>
  <c r="E6" i="11"/>
  <c r="F6" i="11" s="1"/>
  <c r="E7" i="11"/>
  <c r="F7" i="11" s="1"/>
  <c r="E8" i="11"/>
  <c r="F8" i="11" s="1"/>
  <c r="E9" i="11"/>
  <c r="F9" i="11" s="1"/>
  <c r="E10" i="11"/>
  <c r="F10" i="11" s="1"/>
  <c r="E11" i="11"/>
  <c r="F11" i="11" s="1"/>
  <c r="E12" i="11"/>
  <c r="F12" i="11" s="1"/>
  <c r="E13" i="11"/>
  <c r="F13" i="11" s="1"/>
  <c r="E14" i="11"/>
  <c r="F14" i="11" s="1"/>
  <c r="E15" i="11"/>
  <c r="F15" i="11" s="1"/>
  <c r="Y341" i="1"/>
  <c r="X341" i="1"/>
  <c r="W341" i="1"/>
  <c r="U341" i="1"/>
  <c r="Y318" i="1"/>
  <c r="X318" i="1"/>
  <c r="W318" i="1"/>
  <c r="U318" i="1"/>
  <c r="Y297" i="1"/>
  <c r="X297" i="1"/>
  <c r="W297" i="1"/>
  <c r="U297" i="1"/>
  <c r="Y283" i="1"/>
  <c r="X283" i="1"/>
  <c r="W283" i="1"/>
  <c r="Q5" i="11"/>
  <c r="N5" i="11"/>
  <c r="M5" i="11"/>
  <c r="N4" i="11"/>
  <c r="M4" i="11"/>
  <c r="E4" i="11"/>
  <c r="F4" i="11" s="1"/>
  <c r="O6" i="11" l="1"/>
  <c r="Q6" i="11" s="1"/>
  <c r="Y18" i="1"/>
  <c r="X18" i="1"/>
  <c r="W18" i="1"/>
  <c r="Z341" i="1"/>
  <c r="Z322" i="1"/>
  <c r="Z331" i="1"/>
  <c r="Z338" i="1"/>
  <c r="Z340" i="1"/>
  <c r="Z345" i="1"/>
  <c r="Z349" i="1"/>
  <c r="Z352" i="1"/>
  <c r="Z367" i="1"/>
  <c r="Z269" i="1"/>
  <c r="Z272" i="1"/>
  <c r="Z334" i="1"/>
  <c r="Z351" i="1"/>
  <c r="Z312" i="1"/>
  <c r="Z292" i="1"/>
  <c r="Z346" i="1"/>
  <c r="Z354" i="1"/>
  <c r="Z359" i="1"/>
  <c r="Z319" i="1"/>
  <c r="Z328" i="1"/>
  <c r="Z337" i="1"/>
  <c r="Z365" i="1"/>
  <c r="Z324" i="1"/>
  <c r="Z353" i="1"/>
  <c r="Z339" i="1"/>
  <c r="Z285" i="1"/>
  <c r="Z325" i="1"/>
  <c r="Z293" i="1"/>
  <c r="Z278" i="1"/>
  <c r="Z336" i="1"/>
  <c r="Z320" i="1"/>
  <c r="Z310" i="1"/>
  <c r="Z344" i="1"/>
  <c r="Z348" i="1"/>
  <c r="Z350" i="1"/>
  <c r="Z374" i="1"/>
  <c r="Z329" i="1"/>
  <c r="Z361" i="1"/>
  <c r="Z363" i="1"/>
  <c r="Z355" i="1"/>
  <c r="Z357" i="1"/>
  <c r="Z358" i="1"/>
  <c r="Z321" i="1"/>
  <c r="Z318" i="1"/>
  <c r="Z297" i="1"/>
  <c r="Z283" i="1"/>
  <c r="P4" i="11"/>
  <c r="Q4" i="11" s="1"/>
  <c r="U283" i="1"/>
  <c r="Z18" i="1" l="1"/>
  <c r="Q347" i="1" l="1"/>
  <c r="Q1" i="1" s="1"/>
  <c r="F125" i="4" l="1"/>
  <c r="F12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Ariadne</author>
  </authors>
  <commentList>
    <comment ref="Z2" authorId="0" shapeId="0" xr:uid="{25014D81-3212-46B0-A3ED-4E75EC353F32}">
      <text>
        <r>
          <rPr>
            <b/>
            <sz val="12"/>
            <color indexed="81"/>
            <rFont val="Tahoma"/>
            <family val="2"/>
          </rPr>
          <t>Ariadne:
Opgelet op verkoopprijs</t>
        </r>
        <r>
          <rPr>
            <sz val="12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<sst xmlns="http://schemas.openxmlformats.org/spreadsheetml/2006/main" count="5462" uniqueCount="724">
  <si>
    <t xml:space="preserve">Uitvoerder </t>
  </si>
  <si>
    <t xml:space="preserve">Locatie </t>
  </si>
  <si>
    <t xml:space="preserve">Code </t>
  </si>
  <si>
    <t>Omschrijving</t>
  </si>
  <si>
    <t xml:space="preserve">Tarief </t>
  </si>
  <si>
    <t>Vitesske</t>
  </si>
  <si>
    <t>DVE</t>
  </si>
  <si>
    <t>V</t>
  </si>
  <si>
    <t xml:space="preserve">Dag </t>
  </si>
  <si>
    <t>dd</t>
  </si>
  <si>
    <t>mm</t>
  </si>
  <si>
    <t>yy</t>
  </si>
  <si>
    <t>DD</t>
  </si>
  <si>
    <t>U</t>
  </si>
  <si>
    <t xml:space="preserve">Uur bij klant </t>
  </si>
  <si>
    <t>N/A</t>
  </si>
  <si>
    <t>T</t>
  </si>
  <si>
    <t>Uur kantoor</t>
  </si>
  <si>
    <t>RVA</t>
  </si>
  <si>
    <t>RvA</t>
  </si>
  <si>
    <t>Code</t>
  </si>
  <si>
    <t>IVT</t>
  </si>
  <si>
    <t xml:space="preserve">locatie </t>
  </si>
  <si>
    <t>-</t>
  </si>
  <si>
    <t xml:space="preserve">Labo Smeets </t>
  </si>
  <si>
    <t>Dag</t>
  </si>
  <si>
    <t>Roolit</t>
  </si>
  <si>
    <t>CHE</t>
  </si>
  <si>
    <t>Erie Water Treatment</t>
  </si>
  <si>
    <t>Betowest</t>
  </si>
  <si>
    <t>Endo Projects</t>
  </si>
  <si>
    <t>Eagle IT</t>
  </si>
  <si>
    <t xml:space="preserve">Advas </t>
  </si>
  <si>
    <t xml:space="preserve">Louis Culot </t>
  </si>
  <si>
    <t xml:space="preserve">Solid Networks </t>
  </si>
  <si>
    <t xml:space="preserve">UltraZonic </t>
  </si>
  <si>
    <t>Dagdeel</t>
  </si>
  <si>
    <t>Datum</t>
  </si>
  <si>
    <t>Begin</t>
  </si>
  <si>
    <t>Einde</t>
  </si>
  <si>
    <t>uu</t>
  </si>
  <si>
    <t>Uren</t>
  </si>
  <si>
    <t>Bedrijf</t>
  </si>
  <si>
    <t>Contactpersoon</t>
  </si>
  <si>
    <t xml:space="preserve">Project naam </t>
  </si>
  <si>
    <t xml:space="preserve">Project fase </t>
  </si>
  <si>
    <t xml:space="preserve">Uitvoering </t>
  </si>
  <si>
    <t xml:space="preserve">Bedrag </t>
  </si>
  <si>
    <t xml:space="preserve">Omschrijving </t>
  </si>
  <si>
    <t>vr</t>
  </si>
  <si>
    <t xml:space="preserve">Erie Water Treatment </t>
  </si>
  <si>
    <t>Bert Verbeeck</t>
  </si>
  <si>
    <t>TNL</t>
  </si>
  <si>
    <t>HR2.0</t>
  </si>
  <si>
    <t>Gepresteerd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</si>
  <si>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</si>
  <si>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</si>
  <si>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</si>
  <si>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</si>
  <si>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</si>
  <si>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</si>
  <si>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</si>
  <si>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</si>
  <si>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</si>
  <si>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</si>
  <si>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</si>
  <si>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</si>
  <si>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</si>
  <si>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</si>
  <si>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</si>
  <si>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</si>
  <si>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</si>
  <si>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</si>
  <si>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</si>
  <si>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</si>
  <si>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</si>
  <si>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</si>
  <si>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ma</t>
  </si>
  <si>
    <t>di</t>
  </si>
  <si>
    <t>wo</t>
  </si>
  <si>
    <t>do</t>
  </si>
  <si>
    <t xml:space="preserve">vr </t>
  </si>
  <si>
    <t>za</t>
  </si>
  <si>
    <t>zo</t>
  </si>
  <si>
    <t>Di</t>
  </si>
  <si>
    <t>Do</t>
  </si>
  <si>
    <t>Vr</t>
  </si>
  <si>
    <t>Ma</t>
  </si>
  <si>
    <t xml:space="preserve">za </t>
  </si>
  <si>
    <t xml:space="preserve">D </t>
  </si>
  <si>
    <t xml:space="preserve">Ariadne </t>
  </si>
  <si>
    <t>Consilo</t>
  </si>
  <si>
    <t>Endo</t>
  </si>
  <si>
    <t>XLR</t>
  </si>
  <si>
    <t>R&amp;T</t>
  </si>
  <si>
    <t>DNVGL</t>
  </si>
  <si>
    <t>Labo Smeets</t>
  </si>
  <si>
    <t>Mercator</t>
  </si>
  <si>
    <t>Voka</t>
  </si>
  <si>
    <t>Ariadne</t>
  </si>
  <si>
    <t xml:space="preserve">Roolit </t>
  </si>
  <si>
    <t xml:space="preserve">Erie Water treatment </t>
  </si>
  <si>
    <t>BYTA Comm.V</t>
  </si>
  <si>
    <t xml:space="preserve">Ultrazonic </t>
  </si>
  <si>
    <t>Nicolas van der Aa</t>
  </si>
  <si>
    <t xml:space="preserve">Kris Motmans </t>
  </si>
  <si>
    <t>Kris Lauryssens</t>
  </si>
  <si>
    <t>Cédric Daems</t>
  </si>
  <si>
    <t>Jan De Brucker</t>
  </si>
  <si>
    <t xml:space="preserve">Paul Robrechts </t>
  </si>
  <si>
    <t>Sam Gijsbrechts</t>
  </si>
  <si>
    <t>Guido Peeters</t>
  </si>
  <si>
    <t xml:space="preserve">Steven Pauwels </t>
  </si>
  <si>
    <t xml:space="preserve">Hanne </t>
  </si>
  <si>
    <t>Paul Robrechts</t>
  </si>
  <si>
    <t xml:space="preserve">Nick Govaert </t>
  </si>
  <si>
    <t xml:space="preserve">Cédric Daems </t>
  </si>
  <si>
    <t xml:space="preserve">Wilfried Fransch </t>
  </si>
  <si>
    <t xml:space="preserve">Jan Keersmaekers </t>
  </si>
  <si>
    <t xml:space="preserve">Anneliese Simoens </t>
  </si>
  <si>
    <t>Gino Dierckx</t>
  </si>
  <si>
    <t xml:space="preserve">Tim Culot </t>
  </si>
  <si>
    <t xml:space="preserve">Nancy Steenbakkers </t>
  </si>
  <si>
    <t>P16/015</t>
  </si>
  <si>
    <t xml:space="preserve">Project </t>
  </si>
  <si>
    <t>VG25</t>
  </si>
  <si>
    <t>Time-M</t>
  </si>
  <si>
    <t>Insights</t>
  </si>
  <si>
    <t>Telefoneren Klantgericht</t>
  </si>
  <si>
    <t>SEC 2.0</t>
  </si>
  <si>
    <t>assess</t>
  </si>
  <si>
    <t>PMO @ erie</t>
  </si>
  <si>
    <t>HR 2.0</t>
  </si>
  <si>
    <t>MCO</t>
  </si>
  <si>
    <t>JWI</t>
  </si>
  <si>
    <t>WFR</t>
  </si>
  <si>
    <t>Samenwerkingsverbreking OHA verslag/principe</t>
  </si>
  <si>
    <t>Project</t>
  </si>
  <si>
    <t>businessmodel ariadne bespreking zeger (commisie model)</t>
  </si>
  <si>
    <t xml:space="preserve">businessmodel ariadne bespreking Ilse + admin + mails </t>
  </si>
  <si>
    <t>Coordinatie nieuwe planner -Kenny, MCO, Joke, Tony, Go4jobs, Active interim, overdracht, OHA</t>
  </si>
  <si>
    <t>Subsidie-aanvraag: KBO-nummer</t>
  </si>
  <si>
    <t>Organogram v1.0 + functiebeschrijving functies Labo Smeets voorbereiding voor 10/1</t>
  </si>
  <si>
    <t xml:space="preserve">Business model : bepalen van de % verkoop en coordinatie </t>
  </si>
  <si>
    <t>nazicht totaalfactuur</t>
  </si>
  <si>
    <t>combo met Cédric en Martine: 0 € - Cindy</t>
  </si>
  <si>
    <t>A jour maken plan van aanpak - prioriteiten HR2.0 - functie beschrijvingen 250 - Functietitels -omzetten korte termijn RGA's (Nick)</t>
  </si>
  <si>
    <t>Coaching Cindy</t>
  </si>
  <si>
    <t xml:space="preserve">Voorbereiding meeting Organogram, functiebeschrijvingen 250 - Plan van aanpak HR-beleid + prioriteiten. </t>
  </si>
  <si>
    <t xml:space="preserve">Project - Meeting Management team organogram </t>
  </si>
  <si>
    <t xml:space="preserve">Contact en organisatie Katya Rosati, </t>
  </si>
  <si>
    <t>MT en diversen - contract Kenny - communicatieplan relocatie OHA</t>
  </si>
  <si>
    <t>Planning overlopen + diversen CHTH</t>
  </si>
  <si>
    <t>Cédric en Martine - Insights Discovery</t>
  </si>
  <si>
    <t>Overdracht Joke dossiers Labo, Erie, …)</t>
  </si>
  <si>
    <t>Communicatie functieverandering OHA</t>
  </si>
  <si>
    <t xml:space="preserve">Overdracht Michael Costermans voor start bij Vitesske </t>
  </si>
  <si>
    <t>Voorbereiding basis excel remuneratie &amp; Loonbeleid</t>
  </si>
  <si>
    <t>Marketing Concept</t>
  </si>
  <si>
    <t xml:space="preserve">Opstartdag MCO </t>
  </si>
  <si>
    <t>Strategische meeting R&amp;T PARO/DVDE</t>
  </si>
  <si>
    <t>Voorbereiding loonbeleid en meeting 24/1</t>
  </si>
  <si>
    <t>Opmaken projectplan functioneringsgesprekken</t>
  </si>
  <si>
    <t>Opvolging werkzaamheden MCO + Afstemmen projectplan 4D Vision Iserplan</t>
  </si>
  <si>
    <t xml:space="preserve">Functiebeschrijving Sales Manager </t>
  </si>
  <si>
    <t xml:space="preserve">Visie, Missie en waarden </t>
  </si>
  <si>
    <t xml:space="preserve">Projectdag </t>
  </si>
  <si>
    <t>E-mailen klantgericht</t>
  </si>
  <si>
    <t>Gesprek Olivia + profiel: vaste prijs</t>
  </si>
  <si>
    <t>Voorbereiding PPA profiel Werking Management team ifv Gesprek Maddy</t>
  </si>
  <si>
    <t>Voorbereiding en verplaatsen RvA +  Projectplan en planning Iserplan 4Dvision</t>
  </si>
  <si>
    <t>Loonbeleid: powerpoint, finaliseren tabel</t>
  </si>
  <si>
    <t>Contactname call centers, plan en was, opstellen mails</t>
  </si>
  <si>
    <t>Aparte factuur Paul en R&amp;T: 164 is profiel voor Paul apart; R en T : 345 aan uren</t>
  </si>
  <si>
    <t xml:space="preserve">PPT voor RvB + cafetariaplan. </t>
  </si>
  <si>
    <t xml:space="preserve">TNL - Profiel bespreking Michael Costermans </t>
  </si>
  <si>
    <t xml:space="preserve">Functiebeschrijving Sales Operations Manager </t>
  </si>
  <si>
    <t xml:space="preserve">Functiebeschrijvingen QP/CEO + diversen </t>
  </si>
  <si>
    <t xml:space="preserve">Zie detail meetstaat JWI december en november </t>
  </si>
  <si>
    <t>Correctie uren 2017</t>
  </si>
  <si>
    <t xml:space="preserve">MT en diversen </t>
  </si>
  <si>
    <t xml:space="preserve">Budget 2018 opstellen. </t>
  </si>
  <si>
    <t>Besprekking met carlos tariven voor de consultants + de commisies (in Mechelen op grote markt)</t>
  </si>
  <si>
    <t>Besprekking met carlos tarieven voor de consultants + de commisies (in Mechelen op grote markt)</t>
  </si>
  <si>
    <t xml:space="preserve">Planning overlopen + diversen CHTH + projectstructuur Sibelga </t>
  </si>
  <si>
    <t>Bespreking Erie Strategie Nick/Maddy/DVE</t>
  </si>
  <si>
    <t>Bespreking Functiebeschrijvingen Erie + introductie Erie HR 2,0 aan Amy Brumm</t>
  </si>
  <si>
    <t xml:space="preserve">Opzetten Iserplan Meeting met 4DV + bespreing diversen </t>
  </si>
  <si>
    <t>Mails/opvolging dossiers, commmisies, afspraken plannen, …</t>
  </si>
  <si>
    <t xml:space="preserve">Functiebeschrijvingen CBO/AQ associate + diversen </t>
  </si>
  <si>
    <t>Afwerken functiebeschrijvingen CBO/QA + planning 16/02 + standardiseren Labo Smeets functie beschrijving (in overleg met Louis)</t>
  </si>
  <si>
    <t>Standardiseren competenties profile builder automatiseren .</t>
  </si>
  <si>
    <t xml:space="preserve">Bespreking IVT/CHE/LMO tarieven voor sales commissies en verkoopsstrategie. </t>
  </si>
  <si>
    <t>Bespreking Functiebeschrijvingen Erie + bespreking presentatie ziekteverzuim</t>
  </si>
  <si>
    <t xml:space="preserve">Valentijn </t>
  </si>
  <si>
    <t>Bespreking samenwerking met Wilfried</t>
  </si>
  <si>
    <t xml:space="preserve">Functiebeschrijvingen </t>
  </si>
  <si>
    <t>Opstellen ontslagbrief en check wettelijkheid OHA</t>
  </si>
  <si>
    <t>Planning overlopen + diversen CHTH + projectstructuur Sibelga PARO/CHTH/DVE</t>
  </si>
  <si>
    <t xml:space="preserve">Ontslag OHA voorbereiding en diversen </t>
  </si>
  <si>
    <t>Bespreking Functiebeschrijvingen Erie + missie en waarden NGO/LWE</t>
  </si>
  <si>
    <t xml:space="preserve">MT + strategische bespreking Sales Manager </t>
  </si>
  <si>
    <t xml:space="preserve">Voorbereiding ontslag OHA + Planning RvA + Planning + voorbereiding project Iserplan + opstarten met Joke functie van salesmanager </t>
  </si>
  <si>
    <t xml:space="preserve">Contact Wilfried Frensch + organiseren afspraak </t>
  </si>
  <si>
    <t>Voorbereiding Functiebeschrijvingen en functioneringsgesprekkken + voorbereiding missie + verslag meeting met NGO (missie)</t>
  </si>
  <si>
    <t>Functiebeschrijvingen afwerking gesprekken en opbouwen van de functiebeschrijvingen Labo Smeets Model + voorbereiding opzetten van Functioneringsgesprekken</t>
  </si>
  <si>
    <t xml:space="preserve">HR 2.0 project meeting Lore Weets + diversen </t>
  </si>
  <si>
    <t xml:space="preserve">MT Vitesske </t>
  </si>
  <si>
    <t xml:space="preserve">Functiebeschrijvingen + diversen </t>
  </si>
  <si>
    <t>Voorbereiding dossier advocaat (documenten,  vergaderveslagen, verduidelijken ontslag motivatie…)</t>
  </si>
  <si>
    <t>Samenvatting en afwerken voorstel Missie &amp; Visie (voorbereiding bespreking met LWE)</t>
  </si>
  <si>
    <t xml:space="preserve">Dossier ISO 9001 Scope </t>
  </si>
  <si>
    <t>bellen en opsturen subsidie; eindverslag Advies</t>
  </si>
  <si>
    <t>Voorbereiden transitie ISO 9001 Scope 2015 - Overzicht acties met Olivia (ISO 9001 voor scope +)</t>
  </si>
  <si>
    <t>Verwerken notities missie visie + bekijken inpassen in HR beleid</t>
  </si>
  <si>
    <t>Aanvullen verantwoordelijkheden en competenties nav van besproken functiebeschrijvigen QC coordinator, Verantw Admin en Verant. Boekhouding</t>
  </si>
  <si>
    <t>Opmaken documenten voor functiebeschrijvingen (auto systeem )</t>
  </si>
  <si>
    <t>Bespreking projectsturctuur SIBELGA PARO/DVE/CHTH/JEHO</t>
  </si>
  <si>
    <t xml:space="preserve">PMO bespreking met Nick Govaert </t>
  </si>
  <si>
    <t xml:space="preserve">Diversen oplossing projecstructuur Sibelga </t>
  </si>
  <si>
    <t xml:space="preserve">Functiebeschrijvingen Erie on site + ingave functie beschrijving Waarden en GM + opzetten systeem </t>
  </si>
  <si>
    <t xml:space="preserve">Voorbereiding en uitvoering Missie Visie waarden + competenties Verantwoordelijke administratie </t>
  </si>
  <si>
    <t xml:space="preserve">Voorbereiding uitschrijven waarden DVE/IVT - ingave competenties  Verantwoordelijke Administratie </t>
  </si>
  <si>
    <t>Functiebeschrijvingen Erie administreren FB Supply Chain Emp - Purch lead</t>
  </si>
  <si>
    <t>Functiebeschrijvingen operations ALI/DVE + 2 functiebeschrijvingen Operator/ print</t>
  </si>
  <si>
    <t xml:space="preserve">waarden uitschrijven </t>
  </si>
  <si>
    <t xml:space="preserve">RvA Vitesske </t>
  </si>
  <si>
    <t>22 dagen  MCO</t>
  </si>
  <si>
    <t>Opzetten PMO @ Erie - concept en methodiek - opvolging projecten - aanmaken Project Summary</t>
  </si>
  <si>
    <t xml:space="preserve">Overzetten functiebeschrijvingen (reeds bestaande) + opzoeken competenties + alligneren verantwoordelijkheden en meetbare doelstellingen </t>
  </si>
  <si>
    <t xml:space="preserve">Aanvullen opgemaakte functiebeschrijvingen Prod empl I, II en III +  waarden integreren en doorsturen + correct zetten overzicht functie beschrijvingen </t>
  </si>
  <si>
    <t xml:space="preserve">Overzetten manuele files naar automatische template </t>
  </si>
  <si>
    <t>Vervolledigen tabel functiebeschrijvingen (new model)</t>
  </si>
  <si>
    <t xml:space="preserve">MT + gesprek OHA + voorbereiden strategische keuzes volgende maanden. </t>
  </si>
  <si>
    <t>Opmaken functiebeschrijvingen LF/Poetsman, Warehouse operator met Nicky, Marc en (deels Laure) + ingeven thuis van de verzamelde informatie (verantwoordelijkheden en competenties)(2uur)</t>
  </si>
  <si>
    <t>Opzetten concept PMO @ Erie opvolging projecten voor Erie (voorbereiding meeting vrijdag)</t>
  </si>
  <si>
    <t>Bespreking Olivia &amp; Kathleen</t>
  </si>
  <si>
    <t>Bespreking  CHTH en DVE introductie Wilfried Frensch</t>
  </si>
  <si>
    <t xml:space="preserve">PMO bespreking met Nick Govaert + projectleiders overlopen projecten </t>
  </si>
  <si>
    <t>Ingave  functiebeschrijvingen LF/Poetsman, Warehouse operator (zie meeting wo 4/4)</t>
  </si>
  <si>
    <t>Herberekenen en aanpassen Budget 2018 en rapportering verschillen (locatie CHE)</t>
  </si>
  <si>
    <t xml:space="preserve">Bespreking Lore functiebeschrijvingen en opmaak van Project Summaries HR projecten </t>
  </si>
  <si>
    <t>Vervolledigen verantwoordelijkheden + klaarzetten tabel 450 verantwoordelijkheden ter vervollediging- voorbereiding vergadering 19/4 + doorsturen aanvullingen voor GM</t>
  </si>
  <si>
    <t xml:space="preserve">Omzetten van oude projectaanvragen naar nieuwe template - voorbereiding bespreking Project summaries met betrokken Pl's -  inplannen afspraken projectaanvragen met de betrokken projectleiders </t>
  </si>
  <si>
    <t>Aanmaken projectsummary "2018-001 PMO @ Erie "</t>
  </si>
  <si>
    <t xml:space="preserve">Inplannen PMO - afspreken en starten met overlopen projectaanvragen </t>
  </si>
  <si>
    <t>Bespreking  CHTH/DVE/JWFR</t>
  </si>
  <si>
    <t>Aanmaken proces 'organiseren van functioneringsgesprekken- opmaken template functiebeschrijvingen - aanvullen van FB (zie mail LWE 16/04)</t>
  </si>
  <si>
    <t xml:space="preserve">MT vitesske </t>
  </si>
  <si>
    <t xml:space="preserve">Opmaken project summaries Dieter en Michiel </t>
  </si>
  <si>
    <t>MT mbt heraanwerving Bjorn Verschaeve</t>
  </si>
  <si>
    <t xml:space="preserve">Opmaken project Summaries Tim &amp; David </t>
  </si>
  <si>
    <t>Voorstelling functiebeschrijvingen en functioneringsgesprekken aan uitgebreid MT + bespreking HR -issues LWE</t>
  </si>
  <si>
    <t xml:space="preserve">Strategische bespreing organisatie Vitesske Group </t>
  </si>
  <si>
    <t xml:space="preserve">FB Viktor/QC en QC mgr Neerland </t>
  </si>
  <si>
    <t xml:space="preserve">Voorbereiding presentatie loonbeleid en excel met ranges en categoriën invullen Erie gegevens </t>
  </si>
  <si>
    <t xml:space="preserve">MT DVE/BSC/MCO/CHE + verslag meeting </t>
  </si>
  <si>
    <t>ISO 9001 gesprek met Ann Mievis/Olivia</t>
  </si>
  <si>
    <t>PMO: overlopen projecten van Bert Verbeeck + diversen loonbeleid …</t>
  </si>
  <si>
    <t>Project Summaries &gt;+ RGA's NGO + Loonbeleid voorstellen aan MT</t>
  </si>
  <si>
    <t>Ontwikkeling PMO + Tool functiebeschrijvingen (totaal ontwikkeling 66 u verdeeld over drie klanten )</t>
  </si>
  <si>
    <t>Ontwikkeling Tool functiebeschrijvingen (totaal ontwikkeling 39 u verdeeld over drie klanten )</t>
  </si>
  <si>
    <t>HR 2.0 met LWE/DVE</t>
  </si>
  <si>
    <t>15 dagen  MCO</t>
  </si>
  <si>
    <t>Berekening en update budget Bij CHE met DVE/CHE</t>
  </si>
  <si>
    <t>Voorbereiding meetings Endo - To DO lijst - Actieplan - Opdracht CHE mbt P&amp;L</t>
  </si>
  <si>
    <t xml:space="preserve">Overlopen updated budget  met MCO en bespreking diversen </t>
  </si>
  <si>
    <t xml:space="preserve">1e interventie dag diversen - bespreking FVE/Karen/ verhuis burelen - beslssingen Operations </t>
  </si>
  <si>
    <t xml:space="preserve">Bespreking KMO + LVD demonstreren functiebeschrijvinen en funtioneringsgesprekken. </t>
  </si>
  <si>
    <t xml:space="preserve">Demonstreren + proces PMO + overlopen projectaanvragen Bjorn Verschaeve </t>
  </si>
  <si>
    <t>Voorbereiding meeting waardebepaling - vermindering kostenstructuur - samenwerkingsvverband en MT agendapunten + ToDo</t>
  </si>
  <si>
    <t>Strategische meeting waarde bepaling BSC/DVE/CHE + meeting kostenbesparing + MCO</t>
  </si>
  <si>
    <t xml:space="preserve">Overlopen en vervolledigen TO DO's, FB Victor overlopen, Competenties QC coordinator , Actie plan opstellen + plannen </t>
  </si>
  <si>
    <t xml:space="preserve">Voorbereiden MT, Dossier Hainaut opnemen met SD worx, Cedric van Moerenhout. </t>
  </si>
  <si>
    <t xml:space="preserve">Bespreking bij Vitesske </t>
  </si>
  <si>
    <t xml:space="preserve">Besprekingen diverse </t>
  </si>
  <si>
    <t>Bespreking bij Vitesske</t>
  </si>
  <si>
    <t>Commercieel plan BSC</t>
  </si>
  <si>
    <t xml:space="preserve">RvA + Financële resultaten </t>
  </si>
  <si>
    <t xml:space="preserve">Sales meeting </t>
  </si>
  <si>
    <t xml:space="preserve">MT MCO + Verslag Commerciëel plan </t>
  </si>
  <si>
    <t xml:space="preserve">Bespreking Meester Mergits mbt Ontslag OHA in Antwerpen </t>
  </si>
  <si>
    <t>Kosten Mergits raadpleging (second opinion)</t>
  </si>
  <si>
    <t xml:space="preserve">Opzetten Opvolging Sales (cfr lijst Cindy en Isabelle) - Functionele analyse </t>
  </si>
  <si>
    <t xml:space="preserve">4D Vision Stuur groep + diversen </t>
  </si>
  <si>
    <t xml:space="preserve">Sales opvolgingssysteem + diversen </t>
  </si>
  <si>
    <t>werken aan Tool FB + Functioneringsgesprekken nav bespreking met Louis (voorbereiding op 13/06/18)</t>
  </si>
  <si>
    <t xml:space="preserve">werken aan Tool FB + Functioneringsgesprekken nav bespreking met Lore (voorbereiding op 13/06/18) + voorbereiding PMO automatisatie en opvolging </t>
  </si>
  <si>
    <t>Voorbereiding presentatie PMO op MT: Schrijven handleiding gebruik en opvolging PMO - aanpassingen PMO tabel (alles correct zetten - aanpassen VBA)</t>
  </si>
  <si>
    <t xml:space="preserve">Voorbereiding missie/visie - agenda - inhoud.  </t>
  </si>
  <si>
    <t xml:space="preserve">Bespreking diverse </t>
  </si>
  <si>
    <t xml:space="preserve">MT + versturen verslag </t>
  </si>
  <si>
    <t xml:space="preserve">Jan Brackx </t>
  </si>
  <si>
    <t>Bespreking dossier OHA bij Meester Moerenhout.</t>
  </si>
  <si>
    <t xml:space="preserve">Diverse besprekingen </t>
  </si>
  <si>
    <t>Voorbereiding en voorstelling PMO aan MT ERIE. Project Summarie Bjorn</t>
  </si>
  <si>
    <t>Voorbereiding Strategic Workshop 29/06</t>
  </si>
  <si>
    <t xml:space="preserve">Interview sollicitant Endo </t>
  </si>
  <si>
    <t>MT + Verslag</t>
  </si>
  <si>
    <t xml:space="preserve"> Strategic Workshop 29/06</t>
  </si>
  <si>
    <t xml:space="preserve">Diensten Michael Costermans </t>
  </si>
  <si>
    <t xml:space="preserve">Quick Scan </t>
  </si>
  <si>
    <t xml:space="preserve">Ontslag Karen </t>
  </si>
  <si>
    <t xml:space="preserve">MT meeting </t>
  </si>
  <si>
    <t>Ondersteuning Ilse bij dossier OHA juridisch in juni 2018</t>
  </si>
  <si>
    <t xml:space="preserve">Aanpassen PMO tabel nav voorstelling aan MT - uploaden naar Sharepoint </t>
  </si>
  <si>
    <t xml:space="preserve">Wekelijkse meeting </t>
  </si>
  <si>
    <t xml:space="preserve">Meeting Lore </t>
  </si>
  <si>
    <t xml:space="preserve">Sales en marketing meeting </t>
  </si>
  <si>
    <t xml:space="preserve">PMO opzetten, Management meeting report - Iyopro opzetten - Quick Scan finaliseren en actieplan opzetten </t>
  </si>
  <si>
    <t xml:space="preserve">Voorbereiden en Toelichten P&amp;L - Advas </t>
  </si>
  <si>
    <t xml:space="preserve">Voorbereiden P&amp;L - EDMS met Carlos </t>
  </si>
  <si>
    <t xml:space="preserve">Voorbereiden P&amp;L - Culot met Carlos </t>
  </si>
  <si>
    <t xml:space="preserve">Management Report invullen en TO do lijst actualiseren - Project Opzetten - planning maken en uitnodiging sturen </t>
  </si>
  <si>
    <t>Toelichten P&amp;L - EDMS</t>
  </si>
  <si>
    <t xml:space="preserve">Bespreking Lore - processen Iyopro + diversen + PMO projecten </t>
  </si>
  <si>
    <t xml:space="preserve">Functiebeschrijving en bespreking Eddy Van Dam </t>
  </si>
  <si>
    <t xml:space="preserve">Bezoek Rescope </t>
  </si>
  <si>
    <t>Bespreking Lore - processen Iyopro + diversen</t>
  </si>
  <si>
    <t>Bespreking Nick  Overdracht PMO</t>
  </si>
  <si>
    <t>Status</t>
  </si>
  <si>
    <t>Gebudgetteerd</t>
  </si>
  <si>
    <t>Gefactureerd</t>
  </si>
  <si>
    <t>Bedrijf afkorting</t>
  </si>
  <si>
    <t>Factureren aan voornaam</t>
  </si>
  <si>
    <t>Factureren aan achternaam</t>
  </si>
  <si>
    <t>Straat</t>
  </si>
  <si>
    <t>Nr</t>
  </si>
  <si>
    <t>Bus</t>
  </si>
  <si>
    <t>Land</t>
  </si>
  <si>
    <t>Postcode</t>
  </si>
  <si>
    <t>Plaats</t>
  </si>
  <si>
    <t>BTW land</t>
  </si>
  <si>
    <t>BTW NR</t>
  </si>
  <si>
    <t>Betalingsvoorwaarde</t>
  </si>
  <si>
    <t>Betalingscode</t>
  </si>
  <si>
    <t>E-mail adres ontvanger</t>
  </si>
  <si>
    <t>E-mail cc1</t>
  </si>
  <si>
    <t>E-mail cc2</t>
  </si>
  <si>
    <t>E-mail cc3</t>
  </si>
  <si>
    <t>Factuurdatum</t>
  </si>
  <si>
    <t>te betalen vóór</t>
  </si>
  <si>
    <t>aanspreking</t>
  </si>
  <si>
    <t>training of consultancy</t>
  </si>
  <si>
    <t>KMO portefeuille</t>
  </si>
  <si>
    <t>bvba</t>
  </si>
  <si>
    <t>Cédric</t>
  </si>
  <si>
    <t>Daems</t>
  </si>
  <si>
    <t>Stuikberg</t>
  </si>
  <si>
    <t>B</t>
  </si>
  <si>
    <t>Londerzeel</t>
  </si>
  <si>
    <t>BE</t>
  </si>
  <si>
    <t xml:space="preserve">15e van de maand </t>
  </si>
  <si>
    <t>cedric.daems@endo-projects.be</t>
  </si>
  <si>
    <t>ilse@ariadnebvba.be</t>
  </si>
  <si>
    <t>Eagle</t>
  </si>
  <si>
    <t>Marleen</t>
  </si>
  <si>
    <t>Van Zele</t>
  </si>
  <si>
    <t>Van Duyststraat</t>
  </si>
  <si>
    <t>Antwerpen</t>
  </si>
  <si>
    <t>marleen@eagle-financials.be</t>
  </si>
  <si>
    <t>jan@eagle-it.be</t>
  </si>
  <si>
    <t>Byta</t>
  </si>
  <si>
    <t>Wilfried</t>
  </si>
  <si>
    <t>Frensch</t>
  </si>
  <si>
    <t>Lindenakker</t>
  </si>
  <si>
    <t>Baarle Hertog</t>
  </si>
  <si>
    <t>wilfried.frensch@hotmail.com</t>
  </si>
  <si>
    <t>Laboratoria Smeets</t>
  </si>
  <si>
    <t>LS</t>
  </si>
  <si>
    <t>Kris</t>
  </si>
  <si>
    <t>Motmans</t>
  </si>
  <si>
    <t>Fotografielaan</t>
  </si>
  <si>
    <t>Wilrijk</t>
  </si>
  <si>
    <t>KrisMotmans@labosmeets.be</t>
  </si>
  <si>
    <t>geertruivancampe@labosmeets.be</t>
  </si>
  <si>
    <t>EWT</t>
  </si>
  <si>
    <t>Bert</t>
  </si>
  <si>
    <t>Bannerlaan</t>
  </si>
  <si>
    <t>E</t>
  </si>
  <si>
    <t>Grobbendonk</t>
  </si>
  <si>
    <t>bverbeek@eriewatertreatment.com</t>
  </si>
  <si>
    <t>Anneliese</t>
  </si>
  <si>
    <t>Simoens</t>
  </si>
  <si>
    <t>Beethovenstraat</t>
  </si>
  <si>
    <t>14-16</t>
  </si>
  <si>
    <t>Vilvoorde</t>
  </si>
  <si>
    <t>na factuur</t>
  </si>
  <si>
    <t>Mevr.</t>
  </si>
  <si>
    <t>Training</t>
  </si>
  <si>
    <t>Cons</t>
  </si>
  <si>
    <t>Wim</t>
  </si>
  <si>
    <t>Asselberg</t>
  </si>
  <si>
    <t>Zwaluwenlaan</t>
  </si>
  <si>
    <t>Malle</t>
  </si>
  <si>
    <t>Dhr.</t>
  </si>
  <si>
    <t>DMV Advies</t>
  </si>
  <si>
    <t>DMV</t>
  </si>
  <si>
    <t>Bautschoot</t>
  </si>
  <si>
    <t>Eksaarde</t>
  </si>
  <si>
    <t xml:space="preserve">Bakkerij David </t>
  </si>
  <si>
    <t>Bakkerij D</t>
  </si>
  <si>
    <t xml:space="preserve">David </t>
  </si>
  <si>
    <t>De Smedt</t>
  </si>
  <si>
    <t>Sint-Jozefstraat</t>
  </si>
  <si>
    <t xml:space="preserve">Londerzeel </t>
  </si>
  <si>
    <t>bakkerijdavid@telenet.be</t>
  </si>
  <si>
    <t>Onderneming</t>
  </si>
  <si>
    <t>Voorbereiding en opzet budget EDMS @ CHE Sinai</t>
  </si>
  <si>
    <t>Implementatie elementen TNL Metroplan</t>
  </si>
  <si>
    <t>Overlopen P&amp;L ism Carlos Herman + bespreking diverse voortgang project TNL</t>
  </si>
  <si>
    <t xml:space="preserve">Overlopen P&amp;L en strategisch advies mbt aankoop extra pand. </t>
  </si>
  <si>
    <t xml:space="preserve">Voorstelling 5 jaren budget aan shareholders </t>
  </si>
  <si>
    <t xml:space="preserve">Voorbereiding PowerPoint en Voorstelling 5 jaren budget aan Banken </t>
  </si>
  <si>
    <t xml:space="preserve">Missie &amp; visie samen met Ben Langers Solid Networks </t>
  </si>
  <si>
    <t xml:space="preserve">Bespreking Lore - Finalisering Functiebeschrijvigen - 300 verantwoordelijkheden lijst </t>
  </si>
  <si>
    <t xml:space="preserve">Voorbereiding en opzet budget EDMS + 3 jaren plan </t>
  </si>
  <si>
    <t xml:space="preserve">Gepresteerd </t>
  </si>
  <si>
    <t>ORG</t>
  </si>
  <si>
    <t>Verlof</t>
  </si>
  <si>
    <t xml:space="preserve">Strategische keuze aansturing bedrijf gratis voor ENDO Cédric Daems </t>
  </si>
  <si>
    <t xml:space="preserve">Bespreking strategisch plan CDA/DVE Endo Porjects ENDO Cédric Daems </t>
  </si>
  <si>
    <t>Thuis</t>
  </si>
  <si>
    <t>Uur</t>
  </si>
  <si>
    <t xml:space="preserve">Raad van Advies </t>
  </si>
  <si>
    <t xml:space="preserve">Facturatiecode </t>
  </si>
  <si>
    <t>15FD</t>
  </si>
  <si>
    <t>15 dagen na dag van facturatie</t>
  </si>
  <si>
    <t xml:space="preserve">30 dagen na einde van de maand </t>
  </si>
  <si>
    <t>EM</t>
  </si>
  <si>
    <t>Einde van de maand waarin gefactureerd wordt</t>
  </si>
  <si>
    <t>Locatie</t>
  </si>
  <si>
    <t xml:space="preserve">Facturatie </t>
  </si>
  <si>
    <t>PMO 2.0</t>
  </si>
  <si>
    <t>UitvoeringCode</t>
  </si>
  <si>
    <t>Uitvoering</t>
  </si>
  <si>
    <t>Voornaam</t>
  </si>
  <si>
    <t>Achternaam</t>
  </si>
  <si>
    <t>Ilse</t>
  </si>
  <si>
    <t>Dirk</t>
  </si>
  <si>
    <t>Carlos</t>
  </si>
  <si>
    <t>Michael</t>
  </si>
  <si>
    <t>Vantilborgh</t>
  </si>
  <si>
    <t>Vander Eyken</t>
  </si>
  <si>
    <t>Herman</t>
  </si>
  <si>
    <t>LocatieCode</t>
  </si>
  <si>
    <t>Verplaatsing</t>
  </si>
  <si>
    <t>Vergoeding</t>
  </si>
  <si>
    <t>VergoedingsCode</t>
  </si>
  <si>
    <t>vergoeding</t>
  </si>
  <si>
    <t>Facturatie</t>
  </si>
  <si>
    <t>FacturatieBetekenis</t>
  </si>
  <si>
    <t>Eventueel hier dropdown</t>
  </si>
  <si>
    <t>Maar dit is de basis dus</t>
  </si>
  <si>
    <t>HIER MAG GEEN ENKELE</t>
  </si>
  <si>
    <t>FOUT IN STAAN</t>
  </si>
  <si>
    <t>Beslissing Dirk of dit met form moet</t>
  </si>
  <si>
    <t>30DEM</t>
  </si>
  <si>
    <t>Projectnaam</t>
  </si>
  <si>
    <t>15VDM</t>
  </si>
  <si>
    <t>15e van de maand</t>
  </si>
  <si>
    <t>Costermans</t>
  </si>
  <si>
    <t>Hier kan je je berekeningen zetten</t>
  </si>
  <si>
    <t>Pro Mackx</t>
  </si>
  <si>
    <t xml:space="preserve">Jan </t>
  </si>
  <si>
    <t>Brackx</t>
  </si>
  <si>
    <t xml:space="preserve">Dr. Verhaeghestraat </t>
  </si>
  <si>
    <t>Oostende</t>
  </si>
  <si>
    <t>jan.brackx@gmail.com</t>
  </si>
  <si>
    <t>ilse@ariadnebva.be</t>
  </si>
  <si>
    <t>EMDS</t>
  </si>
  <si>
    <t>BetoWest</t>
  </si>
  <si>
    <t>UltraZonic</t>
  </si>
  <si>
    <t>Advas</t>
  </si>
  <si>
    <t>Louis Culot</t>
  </si>
  <si>
    <t xml:space="preserve">Vitesske </t>
  </si>
  <si>
    <t>Den Berg</t>
  </si>
  <si>
    <t>Robrechts &amp; Thienpont</t>
  </si>
  <si>
    <t xml:space="preserve">Functie </t>
  </si>
  <si>
    <t>tim.culot@culot.be</t>
  </si>
  <si>
    <t>Schoonmansveld</t>
  </si>
  <si>
    <t>Puurs</t>
  </si>
  <si>
    <t xml:space="preserve">Tim </t>
  </si>
  <si>
    <t>Culot</t>
  </si>
  <si>
    <t>gino.dierckx@emdsbelgium.com</t>
  </si>
  <si>
    <t>Gino</t>
  </si>
  <si>
    <t>Dierckx</t>
  </si>
  <si>
    <t>Wolfstee</t>
  </si>
  <si>
    <t>Herentals</t>
  </si>
  <si>
    <t>Pieter</t>
  </si>
  <si>
    <t>Beto</t>
  </si>
  <si>
    <t>Solid</t>
  </si>
  <si>
    <t>Zevekotestraat</t>
  </si>
  <si>
    <t>Aalbeke</t>
  </si>
  <si>
    <t>pieter.herman@betowest.be</t>
  </si>
  <si>
    <t>ns@ultrazonic.com</t>
  </si>
  <si>
    <t>Boutersem</t>
  </si>
  <si>
    <t>Zandhoven</t>
  </si>
  <si>
    <t>Nancy</t>
  </si>
  <si>
    <t xml:space="preserve"> Steenbakkers</t>
  </si>
  <si>
    <t>UZ</t>
  </si>
  <si>
    <t>Nicolas</t>
  </si>
  <si>
    <t>Van Der Aa</t>
  </si>
  <si>
    <t>NV</t>
  </si>
  <si>
    <t>VIT</t>
  </si>
  <si>
    <t>Vilvoordsesteenweg</t>
  </si>
  <si>
    <t>A</t>
  </si>
  <si>
    <t xml:space="preserve">Brussel </t>
  </si>
  <si>
    <t>nicolas.vanderaa@vitesske.be</t>
  </si>
  <si>
    <t>ALSO-group</t>
  </si>
  <si>
    <t>Vanessa</t>
  </si>
  <si>
    <t>Horemans</t>
  </si>
  <si>
    <t>Also</t>
  </si>
  <si>
    <t>Oude baan</t>
  </si>
  <si>
    <t>Vanessa@also-group.com</t>
  </si>
  <si>
    <t>Michel.Albertz@Adrivo.be</t>
  </si>
  <si>
    <t>Vlaeminck &amp; Co</t>
  </si>
  <si>
    <t>Peter</t>
  </si>
  <si>
    <t>Janssens</t>
  </si>
  <si>
    <t>Bergkapelstraat</t>
  </si>
  <si>
    <t>peter@bbcharmehoteldenberg.be</t>
  </si>
  <si>
    <t>sam@bbcharmehoteldenberg.be</t>
  </si>
  <si>
    <t xml:space="preserve">Mercator Cleaning </t>
  </si>
  <si>
    <t>Guido</t>
  </si>
  <si>
    <t>Peeters</t>
  </si>
  <si>
    <t>Hallebaan</t>
  </si>
  <si>
    <t>guido@mercatorcleaning.be</t>
  </si>
  <si>
    <t>cvba</t>
  </si>
  <si>
    <t>Kathleen</t>
  </si>
  <si>
    <t>Moeskops</t>
  </si>
  <si>
    <t>Steenweg op Oosthoven</t>
  </si>
  <si>
    <t>Turnhout</t>
  </si>
  <si>
    <t>30VDM</t>
  </si>
  <si>
    <t xml:space="preserve">30e van de maand </t>
  </si>
  <si>
    <t>kathleen@rtconsultancy.be</t>
  </si>
  <si>
    <t>pr@rtconsultancy.be</t>
  </si>
  <si>
    <t xml:space="preserve">Ben Langers </t>
  </si>
  <si>
    <t>Ben.Langers@solidnetworks.be</t>
  </si>
  <si>
    <t>Ben</t>
  </si>
  <si>
    <t>Langers</t>
  </si>
  <si>
    <t>Amerlolaan</t>
  </si>
  <si>
    <t>Schoten</t>
  </si>
  <si>
    <t>Steven</t>
  </si>
  <si>
    <t>Pauwels</t>
  </si>
  <si>
    <t>t Vlietje</t>
  </si>
  <si>
    <t>Mechelen</t>
  </si>
  <si>
    <t>steven.pauwels@roolit.com</t>
  </si>
  <si>
    <t>anneliese@advas-bvba.be</t>
  </si>
  <si>
    <t>Kevin</t>
  </si>
  <si>
    <t>De Maesschalck</t>
  </si>
  <si>
    <t>Kevin@dmvadvies.be</t>
  </si>
  <si>
    <t>DO</t>
  </si>
  <si>
    <t>WO</t>
  </si>
  <si>
    <t>Marleen Van Zele</t>
  </si>
  <si>
    <t>Budgetten + 3 jaarplan eagle IT samen met CHE en MVZ</t>
  </si>
  <si>
    <t>VR</t>
  </si>
  <si>
    <t>Afwerken functiebeschrijvingen 300 + Agenda MT met toelichting van de item HR2.0</t>
  </si>
  <si>
    <t>DI</t>
  </si>
  <si>
    <t xml:space="preserve">Processen in Iyopro samen met Melissa en Jan </t>
  </si>
  <si>
    <t>Voorstellig aan MT alle items van HR2.0</t>
  </si>
  <si>
    <t xml:space="preserve">Voorbereiding rapportage files </t>
  </si>
  <si>
    <t xml:space="preserve">Bespreking rapportage files </t>
  </si>
  <si>
    <t>David  De Smedt</t>
  </si>
  <si>
    <t xml:space="preserve">Commissies </t>
  </si>
  <si>
    <t xml:space="preserve">Berekende dagprijs </t>
  </si>
  <si>
    <t xml:space="preserve">Bruto Marge </t>
  </si>
  <si>
    <t>Lead Fee</t>
  </si>
  <si>
    <t>PL   Fee</t>
  </si>
  <si>
    <t>Sales Fee</t>
  </si>
  <si>
    <t xml:space="preserve"> OVH</t>
  </si>
  <si>
    <t>MA</t>
  </si>
  <si>
    <t>Opmaak rapporteringsfiles samen met Marleen</t>
  </si>
  <si>
    <t xml:space="preserve">Voorbereiding, opmaak file driejarenplan </t>
  </si>
  <si>
    <t>Voorbereiding, opmaak file driejarenplan</t>
  </si>
  <si>
    <t>Opbouw, afwerking driejarenplan</t>
  </si>
  <si>
    <t>Anneliese Simoens</t>
  </si>
  <si>
    <t>P&amp;L RvA</t>
  </si>
  <si>
    <t>Fase 2</t>
  </si>
  <si>
    <t>Voorbereiding Kick-off  + gesprek VP</t>
  </si>
  <si>
    <t>Kick-off DeBemiddelaar</t>
  </si>
  <si>
    <t>Voorbereiding Kleos Opleiding met Jan en Veerle P.</t>
  </si>
  <si>
    <t>2,5</t>
  </si>
  <si>
    <t>Ontwerp en afdruk Kleos Remindertool</t>
  </si>
  <si>
    <t>5,5</t>
  </si>
  <si>
    <t>Voorbereiding Projectmatig Werken Opleiding</t>
  </si>
  <si>
    <t>Kleos: drukkerij contact en reset WORD doc</t>
  </si>
  <si>
    <t>0,25</t>
  </si>
  <si>
    <t>Drukkerij: finaal contact</t>
  </si>
  <si>
    <t>Opleiding Projectmatig Werken: voorbereiding en afdrukken</t>
  </si>
  <si>
    <t>Opleiding Projectmatig Werken</t>
  </si>
  <si>
    <t xml:space="preserve">Tarief consultant </t>
  </si>
  <si>
    <t xml:space="preserve">Aanbevolen aanbiedingsprijs </t>
  </si>
  <si>
    <t>marge</t>
  </si>
  <si>
    <t>marge %</t>
  </si>
  <si>
    <t>Naam</t>
  </si>
  <si>
    <t xml:space="preserve">Reële aanbiedingprijs </t>
  </si>
  <si>
    <t xml:space="preserve">dagen </t>
  </si>
  <si>
    <t xml:space="preserve">omzet </t>
  </si>
  <si>
    <t xml:space="preserve">marge </t>
  </si>
  <si>
    <t>sales fee</t>
  </si>
  <si>
    <t xml:space="preserve">PL fee </t>
  </si>
  <si>
    <t xml:space="preserve">Opbrengst voor consultant </t>
  </si>
  <si>
    <t>Jan</t>
  </si>
  <si>
    <t xml:space="preserve">PL + consultant </t>
  </si>
  <si>
    <t>Els</t>
  </si>
  <si>
    <t xml:space="preserve">consultant </t>
  </si>
  <si>
    <t xml:space="preserve">Piet </t>
  </si>
  <si>
    <t xml:space="preserve">Sales </t>
  </si>
  <si>
    <t>Verbeeck</t>
  </si>
  <si>
    <t>Dirk Vander Eyken</t>
  </si>
  <si>
    <t>TRAIN</t>
  </si>
  <si>
    <t>Aankoop &amp; Project Boons</t>
  </si>
  <si>
    <t>Commissie</t>
  </si>
  <si>
    <t>Tim  Culot</t>
  </si>
  <si>
    <t xml:space="preserve">Bespreking P&amp;L - Budget - langetermijn doelstellingen </t>
  </si>
  <si>
    <t xml:space="preserve">Bespreking strategie en voorstelling Jan Brackx </t>
  </si>
  <si>
    <t xml:space="preserve">Functiebeschrijving Planner - Waarden - Interviews planner - Lange termijn doelstellingen </t>
  </si>
  <si>
    <t xml:space="preserve">Functiebeschrijving Planner + ingeven waarden in TNL Tool </t>
  </si>
  <si>
    <t xml:space="preserve">Missie &amp; Visie Culot </t>
  </si>
  <si>
    <t xml:space="preserve">aanpassen docs functioneringsgesprekken (klaar voor afdruk) + programmatie </t>
  </si>
  <si>
    <t>ZA</t>
  </si>
  <si>
    <t>Aanassen afdrukversie viir functioneringsgesprekken</t>
  </si>
  <si>
    <t>boekhouding@advas-bvba.be</t>
  </si>
  <si>
    <t xml:space="preserve">purchase@eagle-it.be </t>
  </si>
  <si>
    <t xml:space="preserve"> </t>
  </si>
  <si>
    <t>overdracht info FB - PMO @ IVT</t>
  </si>
  <si>
    <t>Intake gesprek consultant GVB (gwen)</t>
  </si>
  <si>
    <t xml:space="preserve">mails en diverse </t>
  </si>
  <si>
    <t xml:space="preserve">Opmaken docs functioneringsgesprekken Maarten, Attila, Sabine </t>
  </si>
  <si>
    <t>Bespreken met IVT prijssetting commissie PL en commerciëel werk</t>
  </si>
  <si>
    <t>Processen van order tot factuur met Anne/Bert/Gino + PMO + Project Summary</t>
  </si>
  <si>
    <t>Presentatie voor Amy + communicatie intern over HR 2.0 aan MT</t>
  </si>
  <si>
    <t>Prospectie Tegel Outlet</t>
  </si>
  <si>
    <t>PMO voor Advas uitleggen aan IVT</t>
  </si>
  <si>
    <t xml:space="preserve">Overlopen ppt Amy&amp; MT  + Uitleggen werking Functionerings gesprekken document </t>
  </si>
  <si>
    <t>DeHuisVerbouwer</t>
  </si>
  <si>
    <t>DHuisV</t>
  </si>
  <si>
    <t>Gunter</t>
  </si>
  <si>
    <t>Aerts</t>
  </si>
  <si>
    <t>Reynaertshof</t>
  </si>
  <si>
    <t>Lint</t>
  </si>
  <si>
    <t>822.932.657</t>
  </si>
  <si>
    <t>gunter@dehuisverbouwer.be</t>
  </si>
  <si>
    <t>sarah@dehuisverbouwer.be</t>
  </si>
  <si>
    <t>Gunter Aerts</t>
  </si>
  <si>
    <t xml:space="preserve">P&amp;L met CHE </t>
  </si>
  <si>
    <t>Prestentatie @ Amy Aquion</t>
  </si>
  <si>
    <t>Proces facturen maken vanuit Optedo met Anne</t>
  </si>
  <si>
    <t>MT presentatie achievements HR 2.0</t>
  </si>
  <si>
    <t>Ben Langers</t>
  </si>
  <si>
    <t>Budget Solid Networks geïntegreerd in Aegle IT</t>
  </si>
  <si>
    <t xml:space="preserve">RvA financial meeting </t>
  </si>
  <si>
    <t>Definief maken lay out Doc functioneringsgesprekken</t>
  </si>
  <si>
    <t>Presentatie opleiding 'Modeleren van Processen @ eagle IT + Verklaring document Quick Start</t>
  </si>
  <si>
    <t>Opmaken functie beschrijving in FB-tool + Correct zetten Organogram volgens TNL template</t>
  </si>
  <si>
    <t>Opmaken proces "toekennen van loonsverhogingen" en importeren in Iyopro - eagle IT</t>
  </si>
  <si>
    <t>3,5</t>
  </si>
  <si>
    <t>FG's Bianca/Tiny; actie plan Missie waarden/ PMO vraag Nick/ vvorbereidng Achievements HR2.0</t>
  </si>
  <si>
    <t xml:space="preserve">Voortgang </t>
  </si>
  <si>
    <t>JBR</t>
  </si>
  <si>
    <t xml:space="preserve">Smet Jet </t>
  </si>
  <si>
    <t>Smet</t>
  </si>
  <si>
    <t>Philip</t>
  </si>
  <si>
    <t xml:space="preserve">Nijverheidsstraat </t>
  </si>
  <si>
    <t>Oevel</t>
  </si>
  <si>
    <t>XXX.XXX.XXX</t>
  </si>
  <si>
    <t>philip.smet@smetjet.be</t>
  </si>
  <si>
    <t>WE</t>
  </si>
  <si>
    <t>Wilfried Frensch</t>
  </si>
  <si>
    <t>we</t>
  </si>
  <si>
    <t xml:space="preserve">Sum of Bedrag </t>
  </si>
  <si>
    <t>(All)</t>
  </si>
  <si>
    <t>Row Labels</t>
  </si>
  <si>
    <t>Grand Total</t>
  </si>
  <si>
    <t>Jaar</t>
  </si>
  <si>
    <t>nog eentje openstaande facturen</t>
  </si>
  <si>
    <t>per klant hun evolutie</t>
  </si>
  <si>
    <t>aandeel van revenue in de klant</t>
  </si>
  <si>
    <t>een gelijkaardige sheet voor de marges</t>
  </si>
  <si>
    <t>Revenue</t>
  </si>
  <si>
    <t>Employee</t>
  </si>
  <si>
    <t>Month</t>
  </si>
  <si>
    <t>Overall revenue</t>
  </si>
  <si>
    <t>Rev/employee</t>
  </si>
  <si>
    <t>Total Rev/month</t>
  </si>
  <si>
    <t>Rev/month/comp</t>
  </si>
  <si>
    <t>Rev. evolution for a comp</t>
  </si>
  <si>
    <t>DA</t>
  </si>
  <si>
    <t xml:space="preserve">T.a.v.  Kris Motmans </t>
  </si>
  <si>
    <t>Fotografielaan 42</t>
  </si>
  <si>
    <t>B-2610  Wilrijk</t>
  </si>
  <si>
    <t>FACTUUR</t>
  </si>
  <si>
    <t>Melkweg 8</t>
  </si>
  <si>
    <t>Datum :</t>
  </si>
  <si>
    <t>B-2980 Halle-Zoersel</t>
  </si>
  <si>
    <t>Factuurnummer :</t>
  </si>
  <si>
    <t>2018-98</t>
  </si>
  <si>
    <t>Telefoon: +32 468 13 79 78</t>
  </si>
  <si>
    <t>Te betalen voor :</t>
  </si>
  <si>
    <t>E-mail: dirk@ariadnebvba.be</t>
  </si>
  <si>
    <t>ON Klant :</t>
  </si>
  <si>
    <t>BE 0413 465 171</t>
  </si>
  <si>
    <t>Aantal</t>
  </si>
  <si>
    <t xml:space="preserve">Beschrijving </t>
  </si>
  <si>
    <t>Prijs per eenheid</t>
  </si>
  <si>
    <t>Consulting oktober 2018</t>
  </si>
  <si>
    <t>Totaal</t>
  </si>
  <si>
    <t>BTW 21 %</t>
  </si>
  <si>
    <t xml:space="preserve">Verschuldigd saldo  </t>
  </si>
  <si>
    <t>ALGEMENE VOORWAARDEN</t>
  </si>
  <si>
    <t>1. Klachten betreffende het bedrag van deze factuur moeten ons overgemaakt worden binnen een termijn van 8 dagen na factuurdatum.</t>
  </si>
  <si>
    <t>2. In geval van niet-betaling binnen de gestelde termijn zal op de verschuldigde bedragen een verwijlintrest van 10% op jaarbasis aangerekend worden.</t>
  </si>
  <si>
    <t>3. In geval van niet-betaling binnen de gestelde termijn zal tevens een schadebeding van 10% op het verschuldigde bedrag aangerekend worden, met een minimum van € 50.00.</t>
  </si>
  <si>
    <t xml:space="preserve">4. Voor alle eventuele geschillen zijn enkel de rechtbanken van Turnhout bevoegd. </t>
  </si>
  <si>
    <t>Ondernemingsnummer: BE 0502 581 150</t>
  </si>
  <si>
    <t xml:space="preserve">                 Rekeningnummer: BE 45 7310 2943 1589</t>
  </si>
  <si>
    <t>T.a.v. Contactpersoon</t>
  </si>
  <si>
    <t>Straat + nummer</t>
  </si>
  <si>
    <t>B-postcode + waar</t>
  </si>
  <si>
    <t>Hoe moet die eruit zien?</t>
  </si>
  <si>
    <t>Vul beschrijving in</t>
  </si>
  <si>
    <t>Meetstaat</t>
  </si>
  <si>
    <t>DAG</t>
  </si>
  <si>
    <t>COMM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</si>
</sst>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 * #,##0.00_ ;_ * \-#,##0.00_ ;_ * &quot;-&quot;??_ ;_ @_ "/>
    <numFmt numFmtId="165" formatCode="[$-F800]dddd\,\ mmmm\ dd\,\ yyyy"/>
    <numFmt numFmtId="166" formatCode="_ * #,##0_ ;_ * \-#,##0_ ;_ * &quot;-&quot;??_ ;_ @_ "/>
    <numFmt numFmtId="167" formatCode="_(&quot;$&quot;* #,##0.00_);_(&quot;$&quot;* \(#,##0.00\);_(&quot;$&quot;* &quot;-&quot;??_);_(@_)"/>
    <numFmt numFmtId="168" formatCode="0.0%"/>
    <numFmt numFmtId="169" formatCode="_ * #,##0.0_ ;_ * \-#,##0.0_ ;_ * &quot;-&quot;??_ ;_ @_ "/>
    <numFmt numFmtId="170" formatCode="_ * #,##0.0_ ;_ * \-#,##0.0_ ;_ * &quot;-&quot;?_ ;_ @_ "/>
    <numFmt numFmtId="171" formatCode="_-* #,##0.00\ [$€-1]_-;\-* #,##0.00\ [$€-1]_-;_-* &quot;-&quot;??\ [$€-1]_-;_-@_-"/>
    <numFmt numFmtId="172" formatCode="@\ \ 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sz val="8"/>
      <color rgb="FF000000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1"/>
      <color rgb="FF92D05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i/>
      <sz val="10"/>
      <color theme="9" tint="-0.249977111117893"/>
      <name val="Arial"/>
      <family val="2"/>
    </font>
    <font>
      <sz val="26"/>
      <color rgb="FF002060"/>
      <name val="Calibri Light"/>
      <family val="1"/>
      <scheme val="major"/>
    </font>
    <font>
      <sz val="16"/>
      <name val="Calibri"/>
      <family val="2"/>
      <scheme val="minor"/>
    </font>
    <font>
      <sz val="11"/>
      <name val="Arial"/>
      <family val="2"/>
    </font>
    <font>
      <sz val="10"/>
      <name val="Calibri"/>
      <family val="2"/>
      <scheme val="minor"/>
    </font>
    <font>
      <sz val="10"/>
      <name val="Calibri"/>
      <family val="1"/>
      <scheme val="minor"/>
    </font>
    <font>
      <sz val="14"/>
      <color rgb="FF292934"/>
      <name val="Arial"/>
      <family val="2"/>
    </font>
    <font>
      <b/>
      <sz val="10"/>
      <color theme="0"/>
      <name val="Calibri Light"/>
      <family val="2"/>
      <scheme val="major"/>
    </font>
    <font>
      <sz val="12"/>
      <name val="Calibri"/>
      <family val="2"/>
      <scheme val="minor"/>
    </font>
    <font>
      <b/>
      <sz val="12"/>
      <name val="Calibri Light"/>
      <family val="2"/>
      <scheme val="major"/>
    </font>
    <font>
      <b/>
      <sz val="12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1"/>
      <name val="Calibri Light"/>
      <family val="2"/>
      <scheme val="major"/>
    </font>
    <font>
      <sz val="9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10"/>
      <name val="Calibri"/>
      <family val="2"/>
      <scheme val="minor"/>
    </font>
    <font>
      <b/>
      <sz val="11"/>
      <name val="Calibri Light"/>
      <family val="2"/>
      <scheme val="major"/>
    </font>
    <font>
      <sz val="8"/>
      <name val="Arial"/>
      <family val="2"/>
    </font>
    <font>
      <b/>
      <sz val="24"/>
      <color theme="1"/>
      <name val="Calibri"/>
      <family val="2"/>
      <scheme val="minor"/>
    </font>
    <font>
      <b/>
      <u/>
      <sz val="36"/>
      <color indexed="8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10" borderId="0" applyNumberFormat="0" applyBorder="0" applyAlignment="0" applyProtection="0"/>
    <xf numFmtId="0" fontId="1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5" fillId="0" borderId="0"/>
    <xf numFmtId="167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167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8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quotePrefix="1"/>
    <xf numFmtId="0" fontId="0" fillId="3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7" fillId="8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0" fillId="0" borderId="0" xfId="0" applyAlignment="1">
      <alignment wrapText="1"/>
    </xf>
    <xf numFmtId="0" fontId="0" fillId="9" borderId="0" xfId="0" applyFill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2" fillId="0" borderId="0" xfId="0" applyFont="1" applyFill="1" applyAlignment="1">
      <alignment horizontal="center" wrapText="1"/>
    </xf>
    <xf numFmtId="16" fontId="0" fillId="0" borderId="0" xfId="0" applyNumberFormat="1" applyFont="1" applyFill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1" fillId="10" borderId="0" xfId="4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8" borderId="0" xfId="0" applyFill="1"/>
    <xf numFmtId="0" fontId="2" fillId="0" borderId="0" xfId="0" applyFont="1" applyAlignment="1">
      <alignment wrapText="1"/>
    </xf>
    <xf numFmtId="0" fontId="0" fillId="6" borderId="1" xfId="0" applyFont="1" applyFill="1" applyBorder="1" applyAlignment="1">
      <alignment horizontal="center" wrapText="1"/>
    </xf>
    <xf numFmtId="0" fontId="0" fillId="0" borderId="12" xfId="0" applyBorder="1"/>
    <xf numFmtId="0" fontId="0" fillId="8" borderId="12" xfId="0" applyFill="1" applyBorder="1"/>
    <xf numFmtId="0" fontId="0" fillId="0" borderId="0" xfId="0" applyFill="1" applyBorder="1"/>
    <xf numFmtId="0" fontId="0" fillId="9" borderId="0" xfId="0" applyFill="1"/>
    <xf numFmtId="0" fontId="7" fillId="8" borderId="0" xfId="0" applyFont="1" applyFill="1" applyAlignment="1">
      <alignment horizontal="center" wrapText="1"/>
    </xf>
    <xf numFmtId="0" fontId="8" fillId="0" borderId="0" xfId="0" applyFont="1" applyFill="1" applyAlignment="1">
      <alignment horizontal="center" wrapText="1"/>
    </xf>
    <xf numFmtId="0" fontId="8" fillId="0" borderId="0" xfId="0" applyFont="1" applyAlignment="1"/>
    <xf numFmtId="0" fontId="0" fillId="9" borderId="12" xfId="0" applyFill="1" applyBorder="1"/>
    <xf numFmtId="165" fontId="3" fillId="7" borderId="9" xfId="0" applyNumberFormat="1" applyFont="1" applyFill="1" applyBorder="1" applyAlignment="1"/>
    <xf numFmtId="165" fontId="3" fillId="7" borderId="10" xfId="0" applyNumberFormat="1" applyFont="1" applyFill="1" applyBorder="1" applyAlignment="1"/>
    <xf numFmtId="2" fontId="3" fillId="7" borderId="9" xfId="0" applyNumberFormat="1" applyFont="1" applyFill="1" applyBorder="1" applyAlignment="1"/>
    <xf numFmtId="2" fontId="0" fillId="0" borderId="0" xfId="3" applyNumberFormat="1" applyFont="1" applyAlignment="1">
      <alignment horizontal="right"/>
    </xf>
    <xf numFmtId="2" fontId="8" fillId="0" borderId="0" xfId="3" applyNumberFormat="1" applyFont="1" applyAlignment="1">
      <alignment horizontal="right"/>
    </xf>
    <xf numFmtId="2" fontId="0" fillId="0" borderId="0" xfId="3" applyNumberFormat="1" applyFont="1" applyFill="1" applyAlignment="1">
      <alignment horizontal="right" vertical="top"/>
    </xf>
    <xf numFmtId="2" fontId="8" fillId="0" borderId="0" xfId="3" applyNumberFormat="1" applyFont="1" applyFill="1" applyAlignment="1">
      <alignment horizontal="right" vertical="top"/>
    </xf>
    <xf numFmtId="2" fontId="1" fillId="0" borderId="0" xfId="3" applyNumberFormat="1" applyFont="1" applyAlignment="1">
      <alignment horizontal="right"/>
    </xf>
    <xf numFmtId="2" fontId="0" fillId="0" borderId="0" xfId="0" applyNumberFormat="1" applyAlignment="1">
      <alignment horizontal="center"/>
    </xf>
    <xf numFmtId="2" fontId="8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" fontId="3" fillId="7" borderId="9" xfId="0" applyNumberFormat="1" applyFont="1" applyFill="1" applyBorder="1" applyAlignment="1"/>
    <xf numFmtId="1" fontId="0" fillId="6" borderId="7" xfId="0" applyNumberFormat="1" applyFont="1" applyFill="1" applyBorder="1" applyAlignment="1">
      <alignment horizontal="right" wrapText="1"/>
    </xf>
    <xf numFmtId="1" fontId="0" fillId="0" borderId="0" xfId="0" applyNumberFormat="1" applyAlignment="1">
      <alignment horizontal="right"/>
    </xf>
    <xf numFmtId="1" fontId="8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1" fontId="0" fillId="6" borderId="7" xfId="0" applyNumberFormat="1" applyFont="1" applyFill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8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 wrapText="1"/>
    </xf>
    <xf numFmtId="1" fontId="0" fillId="6" borderId="7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 wrapText="1"/>
    </xf>
    <xf numFmtId="1" fontId="4" fillId="0" borderId="0" xfId="0" applyNumberFormat="1" applyFont="1" applyFill="1" applyAlignment="1">
      <alignment horizontal="center" wrapText="1"/>
    </xf>
    <xf numFmtId="1" fontId="5" fillId="0" borderId="0" xfId="0" applyNumberFormat="1" applyFont="1" applyFill="1" applyBorder="1" applyAlignment="1">
      <alignment horizontal="center" wrapText="1"/>
    </xf>
    <xf numFmtId="1" fontId="6" fillId="0" borderId="0" xfId="0" applyNumberFormat="1" applyFont="1" applyFill="1" applyBorder="1" applyAlignment="1">
      <alignment horizontal="center" wrapText="1"/>
    </xf>
    <xf numFmtId="1" fontId="10" fillId="0" borderId="0" xfId="0" applyNumberFormat="1" applyFont="1" applyFill="1" applyBorder="1" applyAlignment="1">
      <alignment horizontal="center" wrapText="1"/>
    </xf>
    <xf numFmtId="1" fontId="2" fillId="0" borderId="0" xfId="0" applyNumberFormat="1" applyFont="1" applyFill="1" applyAlignment="1">
      <alignment horizontal="center"/>
    </xf>
    <xf numFmtId="0" fontId="0" fillId="6" borderId="5" xfId="0" applyFont="1" applyFill="1" applyBorder="1" applyAlignment="1">
      <alignment horizontal="center" wrapText="1"/>
    </xf>
    <xf numFmtId="0" fontId="0" fillId="6" borderId="5" xfId="0" applyFont="1" applyFill="1" applyBorder="1" applyAlignment="1">
      <alignment horizontal="center" wrapText="1"/>
    </xf>
    <xf numFmtId="0" fontId="0" fillId="0" borderId="0" xfId="0" applyAlignment="1">
      <alignment vertical="top" wrapText="1"/>
    </xf>
    <xf numFmtId="0" fontId="14" fillId="0" borderId="0" xfId="5" applyAlignment="1">
      <alignment wrapText="1"/>
    </xf>
    <xf numFmtId="0" fontId="7" fillId="8" borderId="0" xfId="0" applyFont="1" applyFill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quotePrefix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Alignment="1">
      <alignment horizontal="right" wrapText="1"/>
    </xf>
    <xf numFmtId="0" fontId="14" fillId="0" borderId="0" xfId="5" applyFill="1" applyAlignment="1">
      <alignment wrapText="1"/>
    </xf>
    <xf numFmtId="0" fontId="0" fillId="0" borderId="0" xfId="0" applyFill="1"/>
    <xf numFmtId="0" fontId="0" fillId="12" borderId="0" xfId="0" applyFill="1" applyAlignment="1">
      <alignment wrapText="1"/>
    </xf>
    <xf numFmtId="0" fontId="1" fillId="0" borderId="0" xfId="0" applyFont="1" applyAlignment="1"/>
    <xf numFmtId="2" fontId="8" fillId="0" borderId="0" xfId="3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center"/>
    </xf>
    <xf numFmtId="1" fontId="6" fillId="0" borderId="0" xfId="0" applyNumberFormat="1" applyFont="1" applyFill="1" applyAlignment="1">
      <alignment horizontal="center" wrapText="1"/>
    </xf>
    <xf numFmtId="16" fontId="8" fillId="0" borderId="0" xfId="0" applyNumberFormat="1" applyFont="1" applyFill="1" applyAlignment="1">
      <alignment horizontal="center" wrapText="1"/>
    </xf>
    <xf numFmtId="0" fontId="8" fillId="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0" fontId="2" fillId="0" borderId="0" xfId="0" applyNumberFormat="1" applyFont="1" applyAlignment="1">
      <alignment horizontal="center"/>
    </xf>
    <xf numFmtId="10" fontId="2" fillId="0" borderId="0" xfId="0" applyNumberFormat="1" applyFont="1"/>
    <xf numFmtId="9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wrapText="1"/>
    </xf>
    <xf numFmtId="0" fontId="0" fillId="0" borderId="0" xfId="0" applyFont="1" applyAlignment="1">
      <alignment horizontal="center" wrapText="1"/>
    </xf>
    <xf numFmtId="164" fontId="2" fillId="0" borderId="0" xfId="3" applyFont="1" applyAlignment="1">
      <alignment horizontal="center"/>
    </xf>
    <xf numFmtId="9" fontId="0" fillId="0" borderId="0" xfId="6" applyFont="1" applyAlignment="1">
      <alignment horizontal="center"/>
    </xf>
    <xf numFmtId="168" fontId="0" fillId="0" borderId="0" xfId="0" applyNumberFormat="1"/>
    <xf numFmtId="0" fontId="7" fillId="13" borderId="1" xfId="0" applyFont="1" applyFill="1" applyBorder="1" applyAlignment="1">
      <alignment horizontal="center" vertical="top" wrapText="1"/>
    </xf>
    <xf numFmtId="9" fontId="7" fillId="13" borderId="13" xfId="6" applyFont="1" applyFill="1" applyBorder="1" applyAlignment="1">
      <alignment horizontal="center" vertical="center"/>
    </xf>
    <xf numFmtId="9" fontId="7" fillId="13" borderId="14" xfId="6" applyFont="1" applyFill="1" applyBorder="1" applyAlignment="1">
      <alignment horizontal="center" vertical="center"/>
    </xf>
    <xf numFmtId="0" fontId="7" fillId="13" borderId="15" xfId="0" applyFont="1" applyFill="1" applyBorder="1" applyAlignment="1">
      <alignment horizontal="center" vertical="center"/>
    </xf>
    <xf numFmtId="0" fontId="7" fillId="13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17" xfId="6" applyFont="1" applyBorder="1" applyAlignment="1">
      <alignment horizontal="center"/>
    </xf>
    <xf numFmtId="9" fontId="0" fillId="0" borderId="18" xfId="6" applyFont="1" applyBorder="1" applyAlignment="1">
      <alignment horizontal="left"/>
    </xf>
    <xf numFmtId="0" fontId="0" fillId="0" borderId="18" xfId="0" applyBorder="1" applyAlignment="1">
      <alignment horizontal="center"/>
    </xf>
    <xf numFmtId="166" fontId="0" fillId="0" borderId="18" xfId="3" applyNumberFormat="1" applyFont="1" applyBorder="1" applyAlignment="1">
      <alignment horizontal="center"/>
    </xf>
    <xf numFmtId="169" fontId="0" fillId="0" borderId="18" xfId="0" applyNumberFormat="1" applyBorder="1"/>
    <xf numFmtId="169" fontId="0" fillId="0" borderId="19" xfId="0" applyNumberFormat="1" applyBorder="1"/>
    <xf numFmtId="9" fontId="0" fillId="0" borderId="20" xfId="6" applyFont="1" applyBorder="1" applyAlignment="1">
      <alignment horizontal="center"/>
    </xf>
    <xf numFmtId="9" fontId="0" fillId="0" borderId="1" xfId="6" applyFont="1" applyBorder="1" applyAlignment="1">
      <alignment horizontal="left"/>
    </xf>
    <xf numFmtId="166" fontId="0" fillId="0" borderId="1" xfId="3" applyNumberFormat="1" applyFont="1" applyBorder="1" applyAlignment="1">
      <alignment horizontal="center"/>
    </xf>
    <xf numFmtId="169" fontId="0" fillId="0" borderId="1" xfId="0" applyNumberFormat="1" applyBorder="1"/>
    <xf numFmtId="169" fontId="0" fillId="0" borderId="21" xfId="0" applyNumberFormat="1" applyBorder="1"/>
    <xf numFmtId="0" fontId="0" fillId="0" borderId="22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/>
    </xf>
    <xf numFmtId="169" fontId="0" fillId="0" borderId="7" xfId="0" applyNumberFormat="1" applyBorder="1"/>
    <xf numFmtId="169" fontId="0" fillId="0" borderId="23" xfId="0" applyNumberFormat="1" applyBorder="1"/>
    <xf numFmtId="170" fontId="0" fillId="0" borderId="0" xfId="0" applyNumberFormat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9" fontId="0" fillId="14" borderId="1" xfId="6" applyFon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5" borderId="0" xfId="0" applyFill="1" applyAlignment="1">
      <alignment horizontal="center"/>
    </xf>
    <xf numFmtId="9" fontId="0" fillId="15" borderId="1" xfId="6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0" xfId="0" applyFill="1" applyAlignment="1">
      <alignment horizontal="center"/>
    </xf>
    <xf numFmtId="9" fontId="0" fillId="16" borderId="1" xfId="6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7" borderId="0" xfId="0" applyFill="1" applyAlignment="1">
      <alignment horizontal="center"/>
    </xf>
    <xf numFmtId="9" fontId="0" fillId="17" borderId="1" xfId="6" applyFont="1" applyFill="1" applyBorder="1" applyAlignment="1">
      <alignment horizontal="center"/>
    </xf>
    <xf numFmtId="2" fontId="0" fillId="9" borderId="0" xfId="3" applyNumberFormat="1" applyFont="1" applyFill="1" applyAlignment="1">
      <alignment horizontal="right"/>
    </xf>
    <xf numFmtId="165" fontId="3" fillId="7" borderId="0" xfId="0" applyNumberFormat="1" applyFont="1" applyFill="1" applyBorder="1" applyAlignment="1"/>
    <xf numFmtId="0" fontId="0" fillId="6" borderId="0" xfId="0" applyFont="1" applyFill="1" applyBorder="1" applyAlignment="1">
      <alignment horizontal="left" wrapText="1"/>
    </xf>
    <xf numFmtId="0" fontId="0" fillId="0" borderId="0" xfId="0" applyFont="1" applyAlignment="1">
      <alignment horizontal="center"/>
    </xf>
    <xf numFmtId="166" fontId="8" fillId="0" borderId="0" xfId="0" applyNumberFormat="1" applyFont="1" applyAlignment="1">
      <alignment wrapText="1"/>
    </xf>
    <xf numFmtId="0" fontId="8" fillId="0" borderId="0" xfId="0" applyFont="1" applyAlignment="1">
      <alignment horizontal="center" wrapText="1"/>
    </xf>
    <xf numFmtId="164" fontId="8" fillId="0" borderId="0" xfId="3" applyFont="1" applyAlignment="1">
      <alignment horizontal="center"/>
    </xf>
    <xf numFmtId="1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center"/>
    </xf>
    <xf numFmtId="2" fontId="0" fillId="0" borderId="0" xfId="3" applyNumberFormat="1" applyFont="1" applyFill="1" applyAlignment="1">
      <alignment horizontal="right"/>
    </xf>
    <xf numFmtId="0" fontId="8" fillId="0" borderId="0" xfId="0" applyFont="1" applyFill="1" applyAlignment="1">
      <alignment wrapText="1"/>
    </xf>
    <xf numFmtId="0" fontId="0" fillId="0" borderId="0" xfId="0" applyFill="1" applyAlignment="1"/>
    <xf numFmtId="0" fontId="18" fillId="0" borderId="0" xfId="0" applyFont="1" applyAlignment="1"/>
    <xf numFmtId="1" fontId="0" fillId="0" borderId="0" xfId="0" applyNumberFormat="1" applyFont="1" applyAlignment="1">
      <alignment horizontal="right"/>
    </xf>
    <xf numFmtId="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left"/>
    </xf>
    <xf numFmtId="1" fontId="8" fillId="0" borderId="0" xfId="0" applyNumberFormat="1" applyFont="1" applyFill="1" applyAlignment="1">
      <alignment horizontal="center" wrapText="1"/>
    </xf>
    <xf numFmtId="0" fontId="14" fillId="0" borderId="0" xfId="5"/>
    <xf numFmtId="1" fontId="1" fillId="0" borderId="0" xfId="0" applyNumberFormat="1" applyFont="1" applyFill="1" applyAlignment="1">
      <alignment horizontal="center"/>
    </xf>
    <xf numFmtId="2" fontId="8" fillId="0" borderId="0" xfId="0" applyNumberFormat="1" applyFont="1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164" fontId="13" fillId="7" borderId="9" xfId="3" applyFont="1" applyFill="1" applyBorder="1" applyAlignment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7" fillId="2" borderId="0" xfId="0" applyFont="1" applyFill="1"/>
    <xf numFmtId="165" fontId="0" fillId="6" borderId="6" xfId="0" applyNumberFormat="1" applyFont="1" applyFill="1" applyBorder="1" applyAlignment="1"/>
    <xf numFmtId="165" fontId="0" fillId="6" borderId="5" xfId="0" applyNumberFormat="1" applyFont="1" applyFill="1" applyBorder="1" applyAlignment="1">
      <alignment wrapText="1"/>
    </xf>
    <xf numFmtId="2" fontId="0" fillId="6" borderId="5" xfId="0" applyNumberFormat="1" applyFont="1" applyFill="1" applyBorder="1" applyAlignment="1">
      <alignment wrapText="1"/>
    </xf>
    <xf numFmtId="0" fontId="0" fillId="6" borderId="5" xfId="0" applyFont="1" applyFill="1" applyBorder="1" applyAlignment="1"/>
    <xf numFmtId="0" fontId="2" fillId="6" borderId="5" xfId="0" applyFont="1" applyFill="1" applyBorder="1" applyAlignment="1">
      <alignment wrapText="1"/>
    </xf>
    <xf numFmtId="0" fontId="0" fillId="6" borderId="11" xfId="0" applyFont="1" applyFill="1" applyBorder="1" applyAlignment="1">
      <alignment wrapText="1"/>
    </xf>
    <xf numFmtId="0" fontId="0" fillId="6" borderId="5" xfId="0" applyFont="1" applyFill="1" applyBorder="1" applyAlignment="1">
      <alignment wrapText="1"/>
    </xf>
    <xf numFmtId="0" fontId="1" fillId="6" borderId="5" xfId="0" applyFont="1" applyFill="1" applyBorder="1" applyAlignment="1">
      <alignment wrapText="1"/>
    </xf>
    <xf numFmtId="2" fontId="0" fillId="6" borderId="5" xfId="3" applyNumberFormat="1" applyFont="1" applyFill="1" applyBorder="1" applyAlignment="1">
      <alignment wrapText="1"/>
    </xf>
    <xf numFmtId="0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/>
    </xf>
    <xf numFmtId="0" fontId="20" fillId="11" borderId="0" xfId="0" applyFont="1" applyFill="1"/>
    <xf numFmtId="0" fontId="15" fillId="0" borderId="0" xfId="10" applyBorder="1" applyAlignment="1">
      <alignment horizontal="left"/>
    </xf>
    <xf numFmtId="0" fontId="15" fillId="0" borderId="0" xfId="10" applyBorder="1" applyAlignment="1">
      <alignment horizontal="center"/>
    </xf>
    <xf numFmtId="0" fontId="15" fillId="0" borderId="0" xfId="10" applyAlignment="1">
      <alignment horizontal="left" indent="1"/>
    </xf>
    <xf numFmtId="0" fontId="21" fillId="0" borderId="0" xfId="10" applyFont="1" applyFill="1" applyBorder="1" applyAlignment="1">
      <alignment horizontal="center"/>
    </xf>
    <xf numFmtId="0" fontId="15" fillId="0" borderId="0" xfId="10" applyBorder="1" applyAlignment="1">
      <alignment horizontal="left" indent="1"/>
    </xf>
    <xf numFmtId="0" fontId="22" fillId="0" borderId="0" xfId="10" applyFont="1" applyBorder="1" applyAlignment="1">
      <alignment horizontal="right" vertical="center"/>
    </xf>
    <xf numFmtId="0" fontId="15" fillId="0" borderId="0" xfId="10" applyAlignment="1">
      <alignment horizontal="center"/>
    </xf>
    <xf numFmtId="0" fontId="23" fillId="21" borderId="0" xfId="10" applyFont="1" applyFill="1" applyBorder="1" applyAlignment="1">
      <alignment vertical="center"/>
    </xf>
    <xf numFmtId="0" fontId="24" fillId="0" borderId="0" xfId="10" applyFont="1" applyBorder="1" applyAlignment="1">
      <alignment horizontal="left"/>
    </xf>
    <xf numFmtId="0" fontId="15" fillId="0" borderId="0" xfId="10" applyBorder="1" applyAlignment="1">
      <alignment horizontal="left" vertical="top"/>
    </xf>
    <xf numFmtId="0" fontId="15" fillId="0" borderId="0" xfId="10" applyAlignment="1">
      <alignment horizontal="left" vertical="top" indent="1"/>
    </xf>
    <xf numFmtId="0" fontId="15" fillId="0" borderId="0" xfId="10" applyBorder="1" applyAlignment="1">
      <alignment horizontal="left" vertical="top" indent="1"/>
    </xf>
    <xf numFmtId="0" fontId="24" fillId="0" borderId="0" xfId="10" applyFont="1" applyBorder="1" applyAlignment="1">
      <alignment horizontal="left" vertical="top"/>
    </xf>
    <xf numFmtId="0" fontId="15" fillId="0" borderId="0" xfId="10" applyBorder="1" applyAlignment="1">
      <alignment vertical="top"/>
    </xf>
    <xf numFmtId="0" fontId="8" fillId="0" borderId="0" xfId="10" applyFont="1" applyBorder="1" applyAlignment="1">
      <alignment horizontal="left"/>
    </xf>
    <xf numFmtId="0" fontId="8" fillId="0" borderId="0" xfId="10" applyFont="1" applyBorder="1" applyAlignment="1">
      <alignment horizontal="center"/>
    </xf>
    <xf numFmtId="0" fontId="25" fillId="0" borderId="0" xfId="10" applyFont="1" applyBorder="1" applyAlignment="1">
      <alignment horizontal="left"/>
    </xf>
    <xf numFmtId="0" fontId="25" fillId="0" borderId="0" xfId="10" applyFont="1" applyBorder="1" applyAlignment="1">
      <alignment horizontal="center"/>
    </xf>
    <xf numFmtId="0" fontId="26" fillId="0" borderId="0" xfId="10" applyFont="1" applyBorder="1" applyAlignment="1">
      <alignment horizontal="left" vertical="top" wrapText="1"/>
    </xf>
    <xf numFmtId="0" fontId="15" fillId="0" borderId="0" xfId="10" applyFill="1" applyBorder="1" applyAlignment="1">
      <alignment horizontal="left"/>
    </xf>
    <xf numFmtId="0" fontId="27" fillId="0" borderId="0" xfId="10" applyFont="1" applyBorder="1" applyAlignment="1"/>
    <xf numFmtId="0" fontId="28" fillId="0" borderId="0" xfId="10" applyFont="1" applyFill="1" applyBorder="1" applyAlignment="1">
      <alignment vertical="center"/>
    </xf>
    <xf numFmtId="0" fontId="15" fillId="0" borderId="0" xfId="10" applyFill="1" applyAlignment="1">
      <alignment horizontal="left" indent="1"/>
    </xf>
    <xf numFmtId="0" fontId="29" fillId="21" borderId="0" xfId="10" applyFont="1" applyFill="1" applyBorder="1" applyAlignment="1">
      <alignment horizontal="left"/>
    </xf>
    <xf numFmtId="0" fontId="30" fillId="0" borderId="0" xfId="10" applyFont="1" applyBorder="1" applyAlignment="1">
      <alignment horizontal="left"/>
    </xf>
    <xf numFmtId="14" fontId="29" fillId="0" borderId="0" xfId="10" applyNumberFormat="1" applyFont="1" applyBorder="1" applyAlignment="1">
      <alignment horizontal="right" vertical="center"/>
    </xf>
    <xf numFmtId="0" fontId="27" fillId="0" borderId="0" xfId="10" applyFont="1" applyBorder="1" applyAlignment="1">
      <alignment horizontal="left"/>
    </xf>
    <xf numFmtId="0" fontId="31" fillId="0" borderId="0" xfId="10" applyFont="1" applyBorder="1" applyAlignment="1">
      <alignment horizontal="left"/>
    </xf>
    <xf numFmtId="14" fontId="29" fillId="0" borderId="0" xfId="10" applyNumberFormat="1" applyFont="1" applyBorder="1" applyAlignment="1">
      <alignment horizontal="right"/>
    </xf>
    <xf numFmtId="2" fontId="15" fillId="0" borderId="0" xfId="10" applyNumberFormat="1" applyAlignment="1">
      <alignment horizontal="left" indent="1"/>
    </xf>
    <xf numFmtId="0" fontId="15" fillId="0" borderId="0" xfId="10" applyBorder="1" applyAlignment="1">
      <alignment horizontal="left" vertical="center"/>
    </xf>
    <xf numFmtId="0" fontId="32" fillId="7" borderId="0" xfId="10" applyFont="1" applyFill="1" applyBorder="1" applyAlignment="1">
      <alignment horizontal="center" vertical="center"/>
    </xf>
    <xf numFmtId="0" fontId="32" fillId="7" borderId="0" xfId="10" applyFont="1" applyFill="1" applyBorder="1" applyAlignment="1">
      <alignment horizontal="center" vertical="center" wrapText="1"/>
    </xf>
    <xf numFmtId="0" fontId="15" fillId="0" borderId="0" xfId="10" applyAlignment="1">
      <alignment horizontal="left" vertical="center" indent="1"/>
    </xf>
    <xf numFmtId="0" fontId="8" fillId="2" borderId="0" xfId="10" applyFont="1" applyFill="1" applyBorder="1" applyAlignment="1">
      <alignment horizontal="center" vertical="center"/>
    </xf>
    <xf numFmtId="0" fontId="8" fillId="2" borderId="0" xfId="10" applyFont="1" applyFill="1" applyBorder="1" applyAlignment="1">
      <alignment horizontal="left" vertical="center"/>
    </xf>
    <xf numFmtId="171" fontId="33" fillId="2" borderId="0" xfId="11" applyNumberFormat="1" applyFont="1" applyFill="1" applyBorder="1" applyAlignment="1">
      <alignment horizontal="left" vertical="center"/>
    </xf>
    <xf numFmtId="0" fontId="8" fillId="2" borderId="0" xfId="12" applyNumberFormat="1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left" vertical="center"/>
    </xf>
    <xf numFmtId="171" fontId="33" fillId="0" borderId="0" xfId="11" applyNumberFormat="1" applyFont="1" applyFill="1" applyBorder="1" applyAlignment="1">
      <alignment horizontal="left" vertical="center"/>
    </xf>
    <xf numFmtId="0" fontId="8" fillId="0" borderId="0" xfId="12" applyNumberFormat="1" applyFont="1" applyFill="1" applyBorder="1" applyAlignment="1">
      <alignment horizontal="center" vertical="center"/>
    </xf>
    <xf numFmtId="0" fontId="25" fillId="0" borderId="0" xfId="10" applyFont="1" applyFill="1" applyBorder="1" applyAlignment="1">
      <alignment horizontal="center" vertical="center"/>
    </xf>
    <xf numFmtId="167" fontId="34" fillId="0" borderId="0" xfId="11" applyNumberFormat="1" applyFont="1" applyFill="1" applyBorder="1" applyAlignment="1">
      <alignment horizontal="left" vertical="center"/>
    </xf>
    <xf numFmtId="0" fontId="25" fillId="0" borderId="0" xfId="12" applyNumberFormat="1" applyFont="1" applyFill="1" applyBorder="1" applyAlignment="1">
      <alignment horizontal="center" vertical="center"/>
    </xf>
    <xf numFmtId="0" fontId="25" fillId="2" borderId="0" xfId="10" applyFont="1" applyFill="1" applyBorder="1" applyAlignment="1">
      <alignment horizontal="center" vertical="center"/>
    </xf>
    <xf numFmtId="0" fontId="25" fillId="2" borderId="0" xfId="10" applyFont="1" applyFill="1" applyBorder="1" applyAlignment="1">
      <alignment horizontal="left" vertical="center"/>
    </xf>
    <xf numFmtId="167" fontId="34" fillId="2" borderId="0" xfId="11" applyNumberFormat="1" applyFont="1" applyFill="1" applyBorder="1" applyAlignment="1">
      <alignment horizontal="left" vertical="center"/>
    </xf>
    <xf numFmtId="0" fontId="25" fillId="2" borderId="0" xfId="12" applyNumberFormat="1" applyFont="1" applyFill="1" applyBorder="1" applyAlignment="1">
      <alignment horizontal="center" vertical="center"/>
    </xf>
    <xf numFmtId="0" fontId="25" fillId="0" borderId="0" xfId="10" applyFont="1" applyFill="1" applyBorder="1" applyAlignment="1">
      <alignment horizontal="left" vertical="center"/>
    </xf>
    <xf numFmtId="0" fontId="15" fillId="0" borderId="0" xfId="10" applyFill="1" applyBorder="1" applyAlignment="1">
      <alignment horizontal="left" vertical="center"/>
    </xf>
    <xf numFmtId="0" fontId="15" fillId="0" borderId="0" xfId="10" applyFill="1" applyAlignment="1">
      <alignment horizontal="left" vertical="center" indent="1"/>
    </xf>
    <xf numFmtId="0" fontId="34" fillId="0" borderId="0" xfId="10" applyFont="1" applyBorder="1" applyAlignment="1">
      <alignment horizontal="left" vertical="center"/>
    </xf>
    <xf numFmtId="0" fontId="34" fillId="0" borderId="0" xfId="10" applyNumberFormat="1" applyFont="1" applyBorder="1" applyAlignment="1">
      <alignment horizontal="left" vertical="center"/>
    </xf>
    <xf numFmtId="171" fontId="35" fillId="0" borderId="0" xfId="10" applyNumberFormat="1" applyFont="1" applyBorder="1" applyAlignment="1">
      <alignment horizontal="left" vertical="center"/>
    </xf>
    <xf numFmtId="9" fontId="34" fillId="0" borderId="0" xfId="10" applyNumberFormat="1" applyFont="1" applyBorder="1" applyAlignment="1">
      <alignment horizontal="center" vertical="center"/>
    </xf>
    <xf numFmtId="0" fontId="25" fillId="0" borderId="0" xfId="10" applyFont="1" applyBorder="1" applyAlignment="1">
      <alignment horizontal="left" vertical="center"/>
    </xf>
    <xf numFmtId="172" fontId="36" fillId="0" borderId="0" xfId="10" applyNumberFormat="1" applyFont="1" applyBorder="1" applyAlignment="1">
      <alignment horizontal="left" vertical="center"/>
    </xf>
    <xf numFmtId="172" fontId="36" fillId="0" borderId="0" xfId="10" applyNumberFormat="1" applyFont="1" applyBorder="1" applyAlignment="1">
      <alignment horizontal="center" vertical="center"/>
    </xf>
    <xf numFmtId="167" fontId="25" fillId="0" borderId="0" xfId="10" applyNumberFormat="1" applyFont="1" applyFill="1" applyBorder="1" applyAlignment="1">
      <alignment horizontal="left" vertical="center"/>
    </xf>
    <xf numFmtId="0" fontId="37" fillId="0" borderId="0" xfId="10" applyFont="1" applyBorder="1" applyAlignment="1">
      <alignment horizontal="center"/>
    </xf>
    <xf numFmtId="171" fontId="33" fillId="0" borderId="0" xfId="11" applyNumberFormat="1" applyFont="1" applyFill="1" applyBorder="1" applyAlignment="1">
      <alignment horizontal="left"/>
    </xf>
    <xf numFmtId="0" fontId="24" fillId="0" borderId="0" xfId="10" applyFont="1" applyFill="1" applyBorder="1" applyAlignment="1">
      <alignment horizontal="left"/>
    </xf>
    <xf numFmtId="0" fontId="37" fillId="0" borderId="0" xfId="10" applyFont="1" applyBorder="1" applyAlignment="1">
      <alignment horizontal="right"/>
    </xf>
    <xf numFmtId="171" fontId="30" fillId="7" borderId="0" xfId="10" applyNumberFormat="1" applyFont="1" applyFill="1" applyBorder="1" applyAlignment="1">
      <alignment horizontal="left"/>
    </xf>
    <xf numFmtId="0" fontId="24" fillId="7" borderId="0" xfId="10" applyFont="1" applyFill="1" applyBorder="1" applyAlignment="1">
      <alignment horizontal="left"/>
    </xf>
    <xf numFmtId="171" fontId="30" fillId="0" borderId="0" xfId="10" applyNumberFormat="1" applyFont="1" applyFill="1" applyBorder="1" applyAlignment="1">
      <alignment horizontal="left"/>
    </xf>
    <xf numFmtId="0" fontId="38" fillId="0" borderId="24" xfId="10" applyFont="1" applyBorder="1" applyAlignment="1">
      <alignment horizontal="left"/>
    </xf>
    <xf numFmtId="0" fontId="24" fillId="0" borderId="25" xfId="10" applyFont="1" applyBorder="1" applyAlignment="1">
      <alignment horizontal="left"/>
    </xf>
    <xf numFmtId="0" fontId="37" fillId="0" borderId="25" xfId="10" applyFont="1" applyBorder="1" applyAlignment="1">
      <alignment horizontal="right"/>
    </xf>
    <xf numFmtId="171" fontId="30" fillId="0" borderId="25" xfId="10" applyNumberFormat="1" applyFont="1" applyFill="1" applyBorder="1" applyAlignment="1">
      <alignment horizontal="left"/>
    </xf>
    <xf numFmtId="0" fontId="24" fillId="0" borderId="26" xfId="10" applyFont="1" applyFill="1" applyBorder="1" applyAlignment="1">
      <alignment horizontal="left"/>
    </xf>
    <xf numFmtId="0" fontId="38" fillId="0" borderId="12" xfId="10" applyFont="1" applyBorder="1" applyAlignment="1">
      <alignment horizontal="left"/>
    </xf>
    <xf numFmtId="0" fontId="24" fillId="0" borderId="27" xfId="10" applyFont="1" applyFill="1" applyBorder="1" applyAlignment="1">
      <alignment horizontal="left"/>
    </xf>
    <xf numFmtId="0" fontId="38" fillId="0" borderId="28" xfId="10" applyFont="1" applyBorder="1" applyAlignment="1">
      <alignment horizontal="left"/>
    </xf>
    <xf numFmtId="0" fontId="24" fillId="0" borderId="29" xfId="10" applyFont="1" applyBorder="1" applyAlignment="1">
      <alignment horizontal="left"/>
    </xf>
    <xf numFmtId="0" fontId="37" fillId="0" borderId="29" xfId="10" applyFont="1" applyBorder="1" applyAlignment="1">
      <alignment horizontal="right"/>
    </xf>
    <xf numFmtId="171" fontId="30" fillId="0" borderId="29" xfId="10" applyNumberFormat="1" applyFont="1" applyFill="1" applyBorder="1" applyAlignment="1">
      <alignment horizontal="left"/>
    </xf>
    <xf numFmtId="0" fontId="24" fillId="0" borderId="30" xfId="10" applyFont="1" applyFill="1" applyBorder="1" applyAlignment="1">
      <alignment horizontal="left"/>
    </xf>
    <xf numFmtId="0" fontId="15" fillId="0" borderId="0" xfId="10" applyFont="1" applyBorder="1" applyAlignment="1">
      <alignment horizontal="left"/>
    </xf>
    <xf numFmtId="0" fontId="15" fillId="0" borderId="0" xfId="10" applyFont="1" applyBorder="1" applyAlignment="1">
      <alignment horizontal="center"/>
    </xf>
    <xf numFmtId="0" fontId="7" fillId="0" borderId="0" xfId="0" applyFont="1"/>
    <xf numFmtId="165" fontId="7" fillId="6" borderId="22" xfId="0" applyNumberFormat="1" applyFont="1" applyFill="1" applyBorder="1" applyAlignment="1"/>
    <xf numFmtId="165" fontId="7" fillId="6" borderId="7" xfId="0" applyNumberFormat="1" applyFont="1" applyFill="1" applyBorder="1" applyAlignment="1">
      <alignment horizontal="center"/>
    </xf>
    <xf numFmtId="0" fontId="7" fillId="6" borderId="7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left"/>
    </xf>
    <xf numFmtId="166" fontId="7" fillId="6" borderId="7" xfId="3" applyNumberFormat="1" applyFont="1" applyFill="1" applyBorder="1" applyAlignment="1">
      <alignment horizontal="center"/>
    </xf>
    <xf numFmtId="164" fontId="7" fillId="6" borderId="7" xfId="3" applyFont="1" applyFill="1" applyBorder="1" applyAlignment="1">
      <alignment horizontal="center"/>
    </xf>
    <xf numFmtId="0" fontId="7" fillId="6" borderId="23" xfId="0" applyFont="1" applyFill="1" applyBorder="1" applyAlignment="1">
      <alignment horizontal="center"/>
    </xf>
    <xf numFmtId="165" fontId="40" fillId="7" borderId="8" xfId="0" applyNumberFormat="1" applyFont="1" applyFill="1" applyBorder="1" applyAlignment="1">
      <alignment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" fontId="0" fillId="5" borderId="2" xfId="0" applyNumberFormat="1" applyFont="1" applyFill="1" applyBorder="1" applyAlignment="1">
      <alignment horizontal="center"/>
    </xf>
    <xf numFmtId="1" fontId="0" fillId="5" borderId="3" xfId="0" applyNumberFormat="1" applyFont="1" applyFill="1" applyBorder="1" applyAlignment="1">
      <alignment horizontal="center"/>
    </xf>
    <xf numFmtId="1" fontId="0" fillId="5" borderId="4" xfId="0" applyNumberFormat="1" applyFont="1" applyFill="1" applyBorder="1" applyAlignment="1">
      <alignment horizontal="center"/>
    </xf>
    <xf numFmtId="1" fontId="0" fillId="5" borderId="1" xfId="0" applyNumberFormat="1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0" fontId="22" fillId="0" borderId="0" xfId="10" applyFont="1" applyBorder="1" applyAlignment="1">
      <alignment horizontal="left" vertical="top"/>
    </xf>
    <xf numFmtId="0" fontId="15" fillId="0" borderId="0" xfId="10" applyBorder="1" applyAlignment="1">
      <alignment vertical="top"/>
    </xf>
    <xf numFmtId="0" fontId="39" fillId="2" borderId="8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10" xfId="0" applyFont="1" applyFill="1" applyBorder="1" applyAlignment="1">
      <alignment horizontal="center"/>
    </xf>
    <xf numFmtId="0" fontId="20" fillId="11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</cellXfs>
  <cellStyles count="13">
    <cellStyle name="Comma" xfId="3" builtinId="3"/>
    <cellStyle name="Comma 2" xfId="1" xr:uid="{E12AFE29-4344-4B9B-A755-0F4437CCC04E}"/>
    <cellStyle name="Currency 2" xfId="11" xr:uid="{3853D003-87D7-423C-A4E8-44A202BE8DBB}"/>
    <cellStyle name="Good" xfId="4" builtinId="26"/>
    <cellStyle name="Hyperlink" xfId="5" builtinId="8"/>
    <cellStyle name="Komma 2" xfId="2" xr:uid="{4E3C350B-03AC-4235-8873-EC26AE22E54D}"/>
    <cellStyle name="Normal" xfId="0" builtinId="0"/>
    <cellStyle name="Normal 2" xfId="10" xr:uid="{39D0FCFA-1E26-469B-B770-3902233C3137}"/>
    <cellStyle name="Percent" xfId="6" builtinId="5"/>
    <cellStyle name="Percent 2" xfId="12" xr:uid="{A2ABFA94-AB21-4C50-977C-928B01D5D030}"/>
    <cellStyle name="Procent 2" xfId="9" xr:uid="{00000000-0005-0000-0000-000033000000}"/>
    <cellStyle name="Standaard 2" xfId="7" xr:uid="{00000000-0005-0000-0000-000034000000}"/>
    <cellStyle name="Valuta 2" xfId="8" xr:uid="{00000000-0005-0000-0000-000035000000}"/>
  </cellStyles>
  <dxfs count="0"/>
  <tableStyles count="0" defaultTableStyle="TableStyleMedium2" defaultPivotStyle="PivotStyleLight16"/>
  <colors>
    <mruColors>
      <color rgb="FF10B83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[AAAA Meetstaat 0.7  to do signature sorteren selectie pdf.xlsm]Revenue!PivotTable2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Revenue!$B$72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Revenue!$A$73:$A$82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Revenue!$B$73:$B$82</c:f>
              <c:numCache>
                <c:formatCode>General</c:formatCode>
                <c:ptCount val="9"/>
                <c:pt idx="0">
                  <c:v>36464.855000000003</c:v>
                </c:pt>
                <c:pt idx="1">
                  <c:v>26516</c:v>
                </c:pt>
                <c:pt idx="2">
                  <c:v>30700</c:v>
                </c:pt>
                <c:pt idx="3">
                  <c:v>27559.375</c:v>
                </c:pt>
                <c:pt idx="4">
                  <c:v>27359.38</c:v>
                </c:pt>
                <c:pt idx="5">
                  <c:v>31706.25</c:v>
                </c:pt>
                <c:pt idx="6">
                  <c:v>8527.5</c:v>
                </c:pt>
                <c:pt idx="7">
                  <c:v>32465.625</c:v>
                </c:pt>
                <c:pt idx="8">
                  <c:v>9184.375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9-4EC5-B41F-78A07BD0F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1240"/>
        <c:axId val="586785504"/>
      </c:lineChart>
      <c:catAx>
        <c:axId val="586781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586785504"/>
        <c:crosses val="autoZero"/>
        <c:auto val="1"/>
        <c:lblAlgn val="ctr"/>
        <c:lblOffset val="100"/>
        <c:noMultiLvlLbl val="0"/>
      </c:catAx>
      <c:valAx>
        <c:axId val="5867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586781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[AAAA Meetstaat 0.7  to do signature sorteren selectie pdf.xlsm]Revenue!PivotTable3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per employee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Revenue!$E$73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Revenue!$D$74:$D$83</c:f>
              <c:strCach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Revenue!$E$74:$E$83</c:f>
              <c:numCache>
                <c:formatCode>General</c:formatCode>
                <c:ptCount val="9"/>
                <c:pt idx="0">
                  <c:v>36464.855000000003</c:v>
                </c:pt>
                <c:pt idx="1">
                  <c:v>26516</c:v>
                </c:pt>
                <c:pt idx="2">
                  <c:v>30700</c:v>
                </c:pt>
                <c:pt idx="3">
                  <c:v>27559.375</c:v>
                </c:pt>
                <c:pt idx="4">
                  <c:v>27359.38</c:v>
                </c:pt>
                <c:pt idx="5">
                  <c:v>31706.25</c:v>
                </c:pt>
                <c:pt idx="6">
                  <c:v>8527.5</c:v>
                </c:pt>
                <c:pt idx="7">
                  <c:v>32465.625</c:v>
                </c:pt>
                <c:pt idx="8">
                  <c:v>9184.375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4-4C99-A336-A58160A79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776648"/>
        <c:axId val="586782552"/>
      </c:lineChart>
      <c:catAx>
        <c:axId val="58677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586782552"/>
        <c:crosses val="autoZero"/>
        <c:auto val="1"/>
        <c:lblAlgn val="ctr"/>
        <c:lblOffset val="100"/>
        <c:noMultiLvlLbl val="0"/>
      </c:catAx>
      <c:valAx>
        <c:axId val="58678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58677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[AAAA Meetstaat 0.7  to do signature sorteren selectie pdf.xlsm]Revenue!PivotTable4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rgbClr val="10B83C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Revenue!$H$73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1-4246-93E6-5BB1C8E261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1-4246-93E6-5BB1C8E261A0}"/>
              </c:ext>
            </c:extLst>
          </c:dPt>
          <c:dPt>
            <c:idx val="2"/>
            <c:bubble3D val="0"/>
            <c:spPr>
              <a:solidFill>
                <a:srgbClr val="10B83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58-4C4C-8882-C0E21C9760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1-4246-93E6-5BB1C8E261A0}"/>
              </c:ext>
            </c:extLst>
          </c:dPt>
          <c:cat>
            <c:strRef>
              <c:f>Revenue!$G$74:$G$78</c:f>
              <c:strCache>
                <c:ptCount val="4"/>
                <c:pt idx="0">
                  <c:v>CHE</c:v>
                </c:pt>
                <c:pt idx="1">
                  <c:v>DVE</c:v>
                </c:pt>
                <c:pt idx="2">
                  <c:v>IVT</c:v>
                </c:pt>
                <c:pt idx="3">
                  <c:v>WFR</c:v>
                </c:pt>
              </c:strCache>
            </c:strRef>
          </c:cat>
          <c:val>
            <c:numRef>
              <c:f>Revenue!$H$74:$H$78</c:f>
              <c:numCache>
                <c:formatCode>General</c:formatCode>
                <c:ptCount val="4"/>
                <c:pt idx="0">
                  <c:v>8900</c:v>
                </c:pt>
                <c:pt idx="1">
                  <c:v>17715.625</c:v>
                </c:pt>
                <c:pt idx="2">
                  <c:v>4943.75</c:v>
                </c:pt>
                <c:pt idx="3">
                  <c:v>906.25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8-4C4C-8882-C0E21C976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541878986107834"/>
          <c:y val="0.17623716076854401"/>
          <c:w val="0.11657051146843492"/>
          <c:h val="0.782499398224844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[AAAA Meetstaat 0.7  to do signature sorteren selectie pdf.xlsm]Revenue!PivotTable5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share per company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Revenue!$K$73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48-4E44-8F2E-59DB0D3C92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48-4E44-8F2E-59DB0D3C92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48-4E44-8F2E-59DB0D3C92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48-4E44-8F2E-59DB0D3C92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48-4E44-8F2E-59DB0D3C92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48-4E44-8F2E-59DB0D3C92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48-4E44-8F2E-59DB0D3C92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48-4E44-8F2E-59DB0D3C92CB}"/>
              </c:ext>
            </c:extLst>
          </c:dPt>
          <c:cat>
            <c:strRef>
              <c:f>Revenue!$J$74:$J$79</c:f>
              <c:strCache>
                <c:ptCount val="5"/>
                <c:pt idx="0">
                  <c:v>Ariadne</c:v>
                </c:pt>
                <c:pt idx="1">
                  <c:v>Erie Water Treatment </c:v>
                </c:pt>
                <c:pt idx="2">
                  <c:v>Labo Smeets </c:v>
                </c:pt>
                <c:pt idx="3">
                  <c:v>R&amp;T</c:v>
                </c:pt>
                <c:pt idx="4">
                  <c:v>Vitesske</c:v>
                </c:pt>
              </c:strCache>
            </c:strRef>
          </c:cat>
          <c:val>
            <c:numRef>
              <c:f>Revenue!$K$74:$K$79</c:f>
              <c:numCache>
                <c:formatCode>General</c:formatCode>
                <c:ptCount val="5"/>
                <c:pt idx="1">
                  <c:v>4062.5</c:v>
                </c:pt>
                <c:pt idx="2">
                  <c:v>5512.5</c:v>
                </c:pt>
                <c:pt idx="3">
                  <c:v>850</c:v>
                </c:pt>
                <c:pt idx="4">
                  <c:v>20275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1-47B2-B254-0CC861D3F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[AAAA Meetstaat 0.7  to do signature sorteren selectie pdf.xlsm]Revenue!PivotTable8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evolution per company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Revenue!$N$72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Revenue!$M$73:$M$81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strCache>
            </c:strRef>
          </c:cat>
          <c:val>
            <c:numRef>
              <c:f>Revenue!$N$73:$N$81</c:f>
              <c:numCache>
                <c:formatCode>General</c:formatCode>
                <c:ptCount val="8"/>
                <c:pt idx="0">
                  <c:v>2893.75</c:v>
                </c:pt>
                <c:pt idx="1">
                  <c:v>2418.5</c:v>
                </c:pt>
                <c:pt idx="2">
                  <c:v>4062.5</c:v>
                </c:pt>
                <c:pt idx="3">
                  <c:v>9496.875</c:v>
                </c:pt>
                <c:pt idx="4">
                  <c:v>2793.75</c:v>
                </c:pt>
                <c:pt idx="5">
                  <c:v>1762.5</c:v>
                </c:pt>
                <c:pt idx="6">
                  <c:v>1050</c:v>
                </c:pt>
                <c:pt idx="7">
                  <c:v>2278.125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2-4BA1-AA80-0E17CD59B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584856"/>
        <c:axId val="413585184"/>
      </c:lineChart>
      <c:catAx>
        <c:axId val="41358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413585184"/>
        <c:crosses val="autoZero"/>
        <c:auto val="1"/>
        <c:lblAlgn val="ctr"/>
        <c:lblOffset val="100"/>
        <c:noMultiLvlLbl val="0"/>
      </c:catAx>
      <c:valAx>
        <c:axId val="4135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E"/>
          </a:p>
        </c:txPr>
        <c:crossAx val="41358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9</xdr:col>
          <xdr:colOff>19050</xdr:colOff>
          <xdr:row>1</xdr:row>
          <xdr:rowOff>9525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9525</xdr:colOff>
          <xdr:row>1</xdr:row>
          <xdr:rowOff>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0</xdr:rowOff>
        </xdr:from>
        <xdr:to>
          <xdr:col>17</xdr:col>
          <xdr:colOff>1438275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Selectie factureren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1447800</xdr:colOff>
          <xdr:row>0</xdr:row>
          <xdr:rowOff>0</xdr:rowOff>
        </xdr:from>
        <xdr:to>
          <xdr:col>17</xdr:col>
          <xdr:colOff>3343275</xdr:colOff>
          <xdr:row>0</xdr:row>
          <xdr:rowOff>638175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63502</xdr:colOff>
      <xdr:row>0</xdr:row>
      <xdr:rowOff>190501</xdr:rowOff>
    </xdr:from>
    <xdr:to>
      <xdr:col>2</xdr:col>
      <xdr:colOff>3576735</xdr:colOff>
      <xdr:row>2</xdr:row>
      <xdr:rowOff>45179</xdr:rowOff>
    </xdr:to>
    <xdr:sp macro="" textlink="">
      <xdr:nvSpPr>
        <xdr:cNvPr id="2" name="Tekstvak 1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502" y="190501"/>
          <a:ext cx="4541933" cy="559528"/>
        </a:xfrm>
        <a:prstGeom prst="rect">
          <a:avLst/>
        </a:prstGeom>
        <a:noFill/>
        <a:ln>
          <a:noFill/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txBody>
        <a:bodyPr wrap="square" rtlCol="0">
          <a:spAutoFit/>
        </a:bodyPr>
        <a:lstStyle>
          <a:defPPr>
            <a:defRPr lang="nl-B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nl-BE" sz="3200">
              <a:solidFill>
                <a:srgbClr val="002060"/>
              </a:solidFill>
              <a:latin typeface="Times New Roman" pitchFamily="18" charset="0"/>
              <a:ea typeface="Verdana" pitchFamily="34" charset="0"/>
              <a:cs typeface="Times New Roman" pitchFamily="18" charset="0"/>
            </a:rPr>
            <a:t>ARIADNE </a:t>
          </a:r>
          <a:r>
            <a:rPr lang="nl-BE" sz="1400">
              <a:solidFill>
                <a:srgbClr val="002060"/>
              </a:solidFill>
              <a:latin typeface="Times New Roman" pitchFamily="18" charset="0"/>
              <a:ea typeface="Verdana" pitchFamily="34" charset="0"/>
              <a:cs typeface="Times New Roman" pitchFamily="18" charset="0"/>
            </a:rPr>
            <a:t>BVBA</a:t>
          </a:r>
          <a:r>
            <a:rPr lang="nl-BE">
              <a:latin typeface="Verdana" pitchFamily="34" charset="0"/>
              <a:ea typeface="Verdana" pitchFamily="34" charset="0"/>
              <a:cs typeface="Verdana" pitchFamily="34" charset="0"/>
            </a:rPr>
            <a:t> </a:t>
          </a:r>
        </a:p>
      </xdr:txBody>
    </xdr:sp>
    <xdr:clientData/>
  </xdr:twoCellAnchor>
  <xdr:twoCellAnchor>
    <xdr:from>
      <xdr:col>1</xdr:col>
      <xdr:colOff>31750</xdr:colOff>
      <xdr:row>0</xdr:row>
      <xdr:rowOff>53482</xdr:rowOff>
    </xdr:from>
    <xdr:to>
      <xdr:col>6</xdr:col>
      <xdr:colOff>0</xdr:colOff>
      <xdr:row>0</xdr:row>
      <xdr:rowOff>74799</xdr:rowOff>
    </xdr:to>
    <xdr:cxnSp macro="">
      <xdr:nvCxnSpPr>
        <xdr:cNvPr id="3" name="Rechte verbindingslijn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525" y="53482"/>
          <a:ext cx="8016875" cy="21317"/>
        </a:xfrm>
        <a:prstGeom prst="line">
          <a:avLst/>
        </a:prstGeom>
        <a:ln w="2857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26345</xdr:colOff>
      <xdr:row>61</xdr:row>
      <xdr:rowOff>143818</xdr:rowOff>
    </xdr:from>
    <xdr:to>
      <xdr:col>6</xdr:col>
      <xdr:colOff>19439</xdr:colOff>
      <xdr:row>61</xdr:row>
      <xdr:rowOff>143818</xdr:rowOff>
    </xdr:to>
    <xdr:cxnSp macro="">
      <xdr:nvCxnSpPr>
        <xdr:cNvPr id="4" name="Rechte verbindingslijn 1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31120" y="14240818"/>
          <a:ext cx="8041719" cy="0"/>
        </a:xfrm>
        <a:prstGeom prst="line">
          <a:avLst/>
        </a:prstGeom>
        <a:ln w="2857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63502</xdr:colOff>
      <xdr:row>0</xdr:row>
      <xdr:rowOff>190501</xdr:rowOff>
    </xdr:from>
    <xdr:to>
      <xdr:col>2</xdr:col>
      <xdr:colOff>3576735</xdr:colOff>
      <xdr:row>2</xdr:row>
      <xdr:rowOff>45179</xdr:rowOff>
    </xdr:to>
    <xdr:sp macro="" textlink="">
      <xdr:nvSpPr>
        <xdr:cNvPr id="2" name="Tekstvak 1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3502" y="190501"/>
          <a:ext cx="4541933" cy="559528"/>
        </a:xfrm>
        <a:prstGeom prst="rect">
          <a:avLst/>
        </a:prstGeom>
        <a:noFill/>
        <a:ln>
          <a:noFill/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txBody>
        <a:bodyPr wrap="square" rtlCol="0">
          <a:spAutoFit/>
        </a:bodyPr>
        <a:lstStyle>
          <a:defPPr>
            <a:defRPr lang="nl-B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nl-BE" sz="3200">
              <a:solidFill>
                <a:srgbClr val="002060"/>
              </a:solidFill>
              <a:latin typeface="Times New Roman" pitchFamily="18" charset="0"/>
              <a:ea typeface="Verdana" pitchFamily="34" charset="0"/>
              <a:cs typeface="Times New Roman" pitchFamily="18" charset="0"/>
            </a:rPr>
            <a:t>ARIADNE </a:t>
          </a:r>
          <a:r>
            <a:rPr lang="nl-BE" sz="1400">
              <a:solidFill>
                <a:srgbClr val="002060"/>
              </a:solidFill>
              <a:latin typeface="Times New Roman" pitchFamily="18" charset="0"/>
              <a:ea typeface="Verdana" pitchFamily="34" charset="0"/>
              <a:cs typeface="Times New Roman" pitchFamily="18" charset="0"/>
            </a:rPr>
            <a:t>BVBA</a:t>
          </a:r>
          <a:r>
            <a:rPr lang="nl-BE">
              <a:latin typeface="Verdana" pitchFamily="34" charset="0"/>
              <a:ea typeface="Verdana" pitchFamily="34" charset="0"/>
              <a:cs typeface="Verdana" pitchFamily="34" charset="0"/>
            </a:rPr>
            <a:t> </a:t>
          </a:r>
        </a:p>
      </xdr:txBody>
    </xdr:sp>
    <xdr:clientData/>
  </xdr:twoCellAnchor>
  <xdr:twoCellAnchor>
    <xdr:from>
      <xdr:col>1</xdr:col>
      <xdr:colOff>31750</xdr:colOff>
      <xdr:row>0</xdr:row>
      <xdr:rowOff>53482</xdr:rowOff>
    </xdr:from>
    <xdr:to>
      <xdr:col>6</xdr:col>
      <xdr:colOff>0</xdr:colOff>
      <xdr:row>0</xdr:row>
      <xdr:rowOff>74799</xdr:rowOff>
    </xdr:to>
    <xdr:cxnSp macro="">
      <xdr:nvCxnSpPr>
        <xdr:cNvPr id="3" name="Rechte verbindingslijn 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36525" y="53482"/>
          <a:ext cx="8016875" cy="21317"/>
        </a:xfrm>
        <a:prstGeom prst="line">
          <a:avLst/>
        </a:prstGeom>
        <a:ln w="2857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26345</xdr:colOff>
      <xdr:row>61</xdr:row>
      <xdr:rowOff>143818</xdr:rowOff>
    </xdr:from>
    <xdr:to>
      <xdr:col>6</xdr:col>
      <xdr:colOff>19439</xdr:colOff>
      <xdr:row>61</xdr:row>
      <xdr:rowOff>143818</xdr:rowOff>
    </xdr:to>
    <xdr:cxnSp macro="">
      <xdr:nvCxnSpPr>
        <xdr:cNvPr id="4" name="Rechte verbindingslijn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31120" y="14212243"/>
          <a:ext cx="8041719" cy="0"/>
        </a:xfrm>
        <a:prstGeom prst="line">
          <a:avLst/>
        </a:prstGeom>
        <a:ln w="2857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7434</xdr:rowOff>
    </xdr:from>
    <xdr:to>
      <xdr:col>9</xdr:col>
      <xdr:colOff>1474651</xdr:colOff>
      <xdr:row>12</xdr:row>
      <xdr:rowOff>169359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27994</xdr:rowOff>
    </xdr:from>
    <xdr:to>
      <xdr:col>9</xdr:col>
      <xdr:colOff>1480789</xdr:colOff>
      <xdr:row>27</xdr:row>
      <xdr:rowOff>8828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34848</xdr:rowOff>
    </xdr:from>
    <xdr:to>
      <xdr:col>9</xdr:col>
      <xdr:colOff>1456977</xdr:colOff>
      <xdr:row>42</xdr:row>
      <xdr:rowOff>1394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1460111</xdr:colOff>
      <xdr:row>13</xdr:row>
      <xdr:rowOff>11616</xdr:rowOff>
    </xdr:from>
    <xdr:to>
      <xdr:col>20</xdr:col>
      <xdr:colOff>627255</xdr:colOff>
      <xdr:row>42</xdr:row>
      <xdr:rowOff>11616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1483344</xdr:colOff>
      <xdr:row>0</xdr:row>
      <xdr:rowOff>0</xdr:rowOff>
    </xdr:from>
    <xdr:to>
      <xdr:col>20</xdr:col>
      <xdr:colOff>615639</xdr:colOff>
      <xdr:row>12</xdr:row>
      <xdr:rowOff>174238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19050</xdr:rowOff>
        </xdr:from>
        <xdr:to>
          <xdr:col>7</xdr:col>
          <xdr:colOff>457200</xdr:colOff>
          <xdr:row>0</xdr:row>
          <xdr:rowOff>400050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1562100</xdr:colOff>
          <xdr:row>1</xdr:row>
          <xdr:rowOff>9525</xdr:rowOff>
        </xdr:to>
        <xdr:sp macro="" textlink="">
          <xdr:nvSpPr>
            <xdr:cNvPr id="5121" name="ProjectAanmake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1</xdr:col>
          <xdr:colOff>457200</xdr:colOff>
          <xdr:row>0</xdr:row>
          <xdr:rowOff>371475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0</xdr:col>
          <xdr:colOff>962025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hide columns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ger Vander Eyken" refreshedDate="43402.881378587961" createdVersion="6" refreshedVersion="6" minRefreshableVersion="3" recordCount="392" xr:uid="{C074AA62-9908-4CAF-90A6-DC21F7B7853E}">
  <cacheSource type="worksheet">
    <worksheetSource ref="A3:Z395" sheet="Meetstaat"/>
  </cacheSource>
  <cacheFields count="26">
    <cacheField name="Dag" numFmtId="0">
      <sharedItems/>
    </cacheField>
    <cacheField name="dd" numFmtId="1">
      <sharedItems containsMixedTypes="1" containsNumber="1" containsInteger="1" minValue="1" maxValue="30"/>
    </cacheField>
    <cacheField name="mm" numFmtId="1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yy" numFmtId="1">
      <sharedItems containsSemiMixedTypes="0" containsString="0" containsNumber="1" containsInteger="1" minValue="2018" maxValue="2018" count="1">
        <n v="2018"/>
      </sharedItems>
    </cacheField>
    <cacheField name="uu" numFmtId="1">
      <sharedItems containsString="0" containsBlank="1" containsNumber="1" containsInteger="1" minValue="1" maxValue="21"/>
    </cacheField>
    <cacheField name="mm2" numFmtId="1">
      <sharedItems containsString="0" containsBlank="1" containsNumber="1" containsInteger="1" minValue="0" maxValue="40"/>
    </cacheField>
    <cacheField name="uu2" numFmtId="1">
      <sharedItems containsString="0" containsBlank="1" containsNumber="1" containsInteger="1" minValue="8" maxValue="24"/>
    </cacheField>
    <cacheField name="mm3" numFmtId="1">
      <sharedItems containsString="0" containsBlank="1" containsNumber="1" containsInteger="1" minValue="0" maxValue="45"/>
    </cacheField>
    <cacheField name="locatie " numFmtId="0">
      <sharedItems/>
    </cacheField>
    <cacheField name="Uren" numFmtId="2">
      <sharedItems containsBlank="1" containsMixedTypes="1" containsNumber="1" minValue="0.5" maxValue="22"/>
    </cacheField>
    <cacheField name="Code" numFmtId="0">
      <sharedItems containsBlank="1"/>
    </cacheField>
    <cacheField name="Bedrijf" numFmtId="0">
      <sharedItems count="28">
        <s v="Ariadne"/>
        <s v="Vitesske"/>
        <s v="Labo Smeets "/>
        <s v="Erie Water Treatment "/>
        <s v="Ariadne "/>
        <s v="Consilo"/>
        <s v="Endo"/>
        <s v="XLR"/>
        <s v="R&amp;T"/>
        <s v="DNVGL"/>
        <s v="Labo Smeets"/>
        <s v="Mercator"/>
        <s v="Roolit"/>
        <s v="Voka"/>
        <s v="Roolit "/>
        <s v="BYTA Comm.V"/>
        <s v="Eagle IT"/>
        <s v="Advas"/>
        <s v="Louis Culot"/>
        <s v="EMDS"/>
        <s v="Louis Culot "/>
        <s v="Advas "/>
        <s v="Solid Networks "/>
        <s v="Bakkerij David "/>
        <s v="Ultrazonic "/>
        <s v="Erie Water Treatment"/>
        <s v="DeHuisVerbouwer"/>
        <s v="Endo Projects"/>
      </sharedItems>
    </cacheField>
    <cacheField name="Contactpersoon" numFmtId="0">
      <sharedItems/>
    </cacheField>
    <cacheField name="Project naam " numFmtId="0">
      <sharedItems/>
    </cacheField>
    <cacheField name="Project fase " numFmtId="0">
      <sharedItems containsBlank="1" containsMixedTypes="1" containsNumber="1" containsInteger="1" minValue="20" maxValue="20"/>
    </cacheField>
    <cacheField name="Uitvoering " numFmtId="0">
      <sharedItems/>
    </cacheField>
    <cacheField name="Bedrag " numFmtId="2">
      <sharedItems containsString="0" containsBlank="1" containsNumber="1" minValue="-397.2" maxValue="16500"/>
    </cacheField>
    <cacheField name="Omschrijving " numFmtId="0">
      <sharedItems containsBlank="1"/>
    </cacheField>
    <cacheField name="Status" numFmtId="0">
      <sharedItems/>
    </cacheField>
    <cacheField name="Facturatie " numFmtId="0">
      <sharedItems containsNonDate="0" containsString="0" containsBlank="1"/>
    </cacheField>
    <cacheField name="Berekende dagprijs " numFmtId="0">
      <sharedItems containsString="0" containsBlank="1" containsNumber="1" containsInteger="1" minValue="1000" maxValue="1480"/>
    </cacheField>
    <cacheField name="Bruto Marge " numFmtId="0">
      <sharedItems containsString="0" containsBlank="1" containsNumber="1" containsInteger="1" minValue="220" maxValue="250"/>
    </cacheField>
    <cacheField name="Lead Fee" numFmtId="0">
      <sharedItems containsString="0" containsBlank="1" containsNumber="1" minValue="1.203125" maxValue="813.203125"/>
    </cacheField>
    <cacheField name="PL   Fee" numFmtId="0">
      <sharedItems containsString="0" containsBlank="1" containsNumber="1" minValue="1.203125" maxValue="813.203125"/>
    </cacheField>
    <cacheField name="Sales Fee" numFmtId="0">
      <sharedItems containsString="0" containsBlank="1" containsNumber="1" containsInteger="1" minValue="0" maxValue="0"/>
    </cacheField>
    <cacheField name=" OVH" numFmtId="0">
      <sharedItems containsString="0" containsBlank="1" containsNumber="1" minValue="143" maxValue="6763.59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ger Vander Eyken" refreshedDate="43402.884089004627" createdVersion="6" refreshedVersion="6" minRefreshableVersion="3" recordCount="397" xr:uid="{05BABB07-604A-4198-98AD-550E03A41BA1}">
  <cacheSource type="worksheet">
    <worksheetSource ref="A3:Z1048576" sheet="Meetstaat"/>
  </cacheSource>
  <cacheFields count="26">
    <cacheField name="Dag" numFmtId="0">
      <sharedItems containsBlank="1"/>
    </cacheField>
    <cacheField name="dd" numFmtId="1">
      <sharedItems containsBlank="1" containsMixedTypes="1" containsNumber="1" containsInteger="1" minValue="1" maxValue="30"/>
    </cacheField>
    <cacheField name="mm" numFmtId="1">
      <sharedItems containsString="0" containsBlank="1" containsNumber="1" containsInteger="1" minValue="1" maxValue="9" count="10">
        <n v="1"/>
        <n v="2"/>
        <n v="3"/>
        <n v="4"/>
        <n v="5"/>
        <n v="6"/>
        <n v="7"/>
        <n v="8"/>
        <n v="9"/>
        <m/>
      </sharedItems>
    </cacheField>
    <cacheField name="yy" numFmtId="1">
      <sharedItems containsString="0" containsBlank="1" containsNumber="1" containsInteger="1" minValue="2018" maxValue="2018" count="2">
        <n v="2018"/>
        <m/>
      </sharedItems>
    </cacheField>
    <cacheField name="uu" numFmtId="1">
      <sharedItems containsString="0" containsBlank="1" containsNumber="1" containsInteger="1" minValue="1" maxValue="21"/>
    </cacheField>
    <cacheField name="mm2" numFmtId="1">
      <sharedItems containsString="0" containsBlank="1" containsNumber="1" containsInteger="1" minValue="0" maxValue="40"/>
    </cacheField>
    <cacheField name="uu2" numFmtId="1">
      <sharedItems containsString="0" containsBlank="1" containsNumber="1" containsInteger="1" minValue="8" maxValue="24"/>
    </cacheField>
    <cacheField name="mm3" numFmtId="1">
      <sharedItems containsString="0" containsBlank="1" containsNumber="1" containsInteger="1" minValue="0" maxValue="45"/>
    </cacheField>
    <cacheField name="locatie " numFmtId="0">
      <sharedItems containsBlank="1"/>
    </cacheField>
    <cacheField name="Uren" numFmtId="2">
      <sharedItems containsBlank="1" containsMixedTypes="1" containsNumber="1" minValue="0.5" maxValue="22"/>
    </cacheField>
    <cacheField name="Code" numFmtId="0">
      <sharedItems containsBlank="1"/>
    </cacheField>
    <cacheField name="Bedrijf" numFmtId="0">
      <sharedItems containsBlank="1"/>
    </cacheField>
    <cacheField name="Contactpersoon" numFmtId="0">
      <sharedItems containsBlank="1"/>
    </cacheField>
    <cacheField name="Project naam " numFmtId="0">
      <sharedItems containsBlank="1"/>
    </cacheField>
    <cacheField name="Project fase " numFmtId="0">
      <sharedItems containsBlank="1" containsMixedTypes="1" containsNumber="1" containsInteger="1" minValue="20" maxValue="20"/>
    </cacheField>
    <cacheField name="Uitvoering " numFmtId="0">
      <sharedItems containsBlank="1" count="7">
        <s v="DVE"/>
        <s v="IVT"/>
        <s v="MCO"/>
        <s v="JWI"/>
        <s v="WFR"/>
        <s v="CHE"/>
        <m/>
      </sharedItems>
    </cacheField>
    <cacheField name="Bedrag " numFmtId="2">
      <sharedItems containsString="0" containsBlank="1" containsNumber="1" minValue="-397.2" maxValue="16500"/>
    </cacheField>
    <cacheField name="Omschrijving " numFmtId="0">
      <sharedItems containsBlank="1"/>
    </cacheField>
    <cacheField name="Status" numFmtId="0">
      <sharedItems containsBlank="1"/>
    </cacheField>
    <cacheField name="Facturatie " numFmtId="0">
      <sharedItems containsNonDate="0" containsString="0" containsBlank="1"/>
    </cacheField>
    <cacheField name="Berekende dagprijs " numFmtId="0">
      <sharedItems containsString="0" containsBlank="1" containsNumber="1" containsInteger="1" minValue="1000" maxValue="1480"/>
    </cacheField>
    <cacheField name="Bruto Marge " numFmtId="0">
      <sharedItems containsString="0" containsBlank="1" containsNumber="1" containsInteger="1" minValue="220" maxValue="250"/>
    </cacheField>
    <cacheField name="Lead Fee" numFmtId="0">
      <sharedItems containsString="0" containsBlank="1" containsNumber="1" minValue="1.203125" maxValue="813.203125"/>
    </cacheField>
    <cacheField name="PL   Fee" numFmtId="0">
      <sharedItems containsString="0" containsBlank="1" containsNumber="1" minValue="1.203125" maxValue="813.203125"/>
    </cacheField>
    <cacheField name="Sales Fee" numFmtId="0">
      <sharedItems containsString="0" containsBlank="1" containsNumber="1" containsInteger="1" minValue="0" maxValue="0"/>
    </cacheField>
    <cacheField name=" OVH" numFmtId="0">
      <sharedItems containsString="0" containsBlank="1" containsNumber="1" minValue="143" maxValue="6763.59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2">
  <r>
    <s v="ma"/>
    <n v="1"/>
    <x v="0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n v="2"/>
    <x v="0"/>
    <x v="0"/>
    <n v="11"/>
    <n v="0"/>
    <n v="16"/>
    <n v="0"/>
    <s v="T"/>
    <n v="4"/>
    <s v="DD"/>
    <x v="1"/>
    <s v="Nicolas van der Aa"/>
    <s v="TNL"/>
    <s v="VG25"/>
    <s v="DVE"/>
    <n v="500"/>
    <s v="Samenwerkingsverbreking OHA verslag/principe"/>
    <s v="Gefactureerd"/>
    <m/>
    <m/>
    <m/>
    <m/>
    <m/>
    <m/>
    <m/>
  </r>
  <r>
    <s v="wo"/>
    <n v="3"/>
    <x v="0"/>
    <x v="0"/>
    <n v="7"/>
    <n v="0"/>
    <n v="17"/>
    <n v="0"/>
    <s v="V"/>
    <n v="8"/>
    <s v="DA"/>
    <x v="1"/>
    <s v="Nicolas van der Aa"/>
    <s v="TNL"/>
    <s v="VG25"/>
    <s v="IVT"/>
    <n v="950"/>
    <s v="Project "/>
    <s v="Gefactureerd"/>
    <m/>
    <m/>
    <m/>
    <m/>
    <m/>
    <m/>
    <m/>
  </r>
  <r>
    <s v="wo"/>
    <n v="3"/>
    <x v="0"/>
    <x v="0"/>
    <n v="10"/>
    <n v="0"/>
    <n v="18"/>
    <n v="0"/>
    <s v="V"/>
    <n v="8"/>
    <s v="DA"/>
    <x v="2"/>
    <s v="Kris Motmans "/>
    <s v="TNL"/>
    <s v="TNL"/>
    <s v="DVE"/>
    <n v="1000"/>
    <s v="Project"/>
    <s v="Gefactureerd"/>
    <m/>
    <m/>
    <m/>
    <m/>
    <m/>
    <m/>
    <m/>
  </r>
  <r>
    <s v="do"/>
    <n v="4"/>
    <x v="0"/>
    <x v="0"/>
    <n v="8"/>
    <n v="0"/>
    <n v="16"/>
    <n v="0"/>
    <s v="V"/>
    <n v="8"/>
    <s v="DA"/>
    <x v="1"/>
    <s v="Nicolas van der Aa"/>
    <s v="TNL"/>
    <s v="VG25"/>
    <s v="DVE"/>
    <n v="1050"/>
    <s v="Project "/>
    <s v="Gefactureerd"/>
    <m/>
    <m/>
    <m/>
    <m/>
    <m/>
    <m/>
    <m/>
  </r>
  <r>
    <s v="vr "/>
    <n v="5"/>
    <x v="0"/>
    <x v="0"/>
    <n v="8"/>
    <n v="0"/>
    <n v="12"/>
    <n v="0"/>
    <s v="V"/>
    <n v="4"/>
    <s v="DD"/>
    <x v="3"/>
    <s v="Bert Verbeeck"/>
    <s v="TNL"/>
    <s v="HR2.0"/>
    <s v="DVE"/>
    <n v="575"/>
    <s v="Project "/>
    <s v="Gefactureerd"/>
    <m/>
    <m/>
    <m/>
    <m/>
    <m/>
    <m/>
    <m/>
  </r>
  <r>
    <s v="vr "/>
    <n v="5"/>
    <x v="0"/>
    <x v="0"/>
    <n v="13"/>
    <n v="0"/>
    <n v="17"/>
    <n v="0"/>
    <s v="V"/>
    <n v="4"/>
    <s v="DD"/>
    <x v="2"/>
    <s v="Kris Motmans "/>
    <s v="TNL"/>
    <s v="TNL"/>
    <s v="DVE"/>
    <n v="600"/>
    <s v="Project "/>
    <s v="Gefactureerd"/>
    <m/>
    <m/>
    <m/>
    <m/>
    <m/>
    <m/>
    <m/>
  </r>
  <r>
    <s v="za"/>
    <n v="6"/>
    <x v="0"/>
    <x v="0"/>
    <n v="8"/>
    <n v="0"/>
    <n v="12"/>
    <n v="0"/>
    <s v="T"/>
    <n v="4"/>
    <s v="U"/>
    <x v="4"/>
    <s v="Dirk Vander Eyken"/>
    <s v="ORG"/>
    <m/>
    <s v="DVE"/>
    <m/>
    <s v="businessmodel ariadne bespreking zeger (commisie model)"/>
    <s v="Gefactureerd"/>
    <m/>
    <m/>
    <m/>
    <m/>
    <m/>
    <m/>
    <m/>
  </r>
  <r>
    <s v="zo"/>
    <n v="7"/>
    <x v="0"/>
    <x v="0"/>
    <n v="8"/>
    <n v="0"/>
    <n v="14"/>
    <n v="0"/>
    <s v="T"/>
    <n v="6"/>
    <s v="U"/>
    <x v="4"/>
    <s v="Dirk Vander Eyken"/>
    <s v="ORG"/>
    <m/>
    <s v="DVE"/>
    <m/>
    <s v="businessmodel ariadne bespreking Ilse + admin + mails "/>
    <s v="Gefactureerd"/>
    <m/>
    <m/>
    <m/>
    <m/>
    <m/>
    <m/>
    <m/>
  </r>
  <r>
    <s v="ma"/>
    <n v="8"/>
    <x v="0"/>
    <x v="0"/>
    <n v="8"/>
    <n v="30"/>
    <n v="14"/>
    <n v="0"/>
    <s v="V"/>
    <n v="5.5"/>
    <s v="U"/>
    <x v="1"/>
    <s v="Nicolas van der Aa"/>
    <s v="TNL"/>
    <s v="VG25"/>
    <s v="DVE"/>
    <n v="721.875"/>
    <s v="Project "/>
    <s v="Gefactureerd"/>
    <m/>
    <m/>
    <m/>
    <m/>
    <m/>
    <m/>
    <m/>
  </r>
  <r>
    <s v="ma"/>
    <n v="8"/>
    <x v="0"/>
    <x v="0"/>
    <n v="9"/>
    <n v="0"/>
    <n v="10"/>
    <n v="0"/>
    <s v="T"/>
    <n v="1"/>
    <s v="U"/>
    <x v="1"/>
    <s v="Nicolas van der Aa"/>
    <s v="TNL"/>
    <s v="VG25"/>
    <s v="IVT"/>
    <n v="118.75"/>
    <s v="Subsidie-aanvraag: KBO-nummer"/>
    <s v="Gefactureerd"/>
    <m/>
    <m/>
    <m/>
    <m/>
    <m/>
    <m/>
    <m/>
  </r>
  <r>
    <s v="ma"/>
    <n v="8"/>
    <x v="0"/>
    <x v="0"/>
    <n v="15"/>
    <n v="0"/>
    <n v="17"/>
    <n v="0"/>
    <s v="T"/>
    <n v="2"/>
    <s v="U"/>
    <x v="1"/>
    <s v="Nicolas van der Aa"/>
    <s v="TNL"/>
    <s v="VG25"/>
    <s v="DVE"/>
    <n v="250"/>
    <s v="Coordinatie nieuwe planner -Kenny, MCO, Joke, Tony, Go4jobs, Active interim, overdracht, OHA"/>
    <s v="Gefactureerd"/>
    <m/>
    <m/>
    <m/>
    <m/>
    <m/>
    <m/>
    <m/>
  </r>
  <r>
    <s v="ma"/>
    <n v="8"/>
    <x v="0"/>
    <x v="0"/>
    <n v="17"/>
    <n v="0"/>
    <n v="19"/>
    <n v="0"/>
    <s v="T"/>
    <n v="2"/>
    <s v="U"/>
    <x v="2"/>
    <s v="Kris Motmans "/>
    <s v="TNL"/>
    <s v="TNL"/>
    <s v="DVE"/>
    <n v="250"/>
    <s v="Organogram v1.0 + functiebeschrijving functies Labo Smeets voorbereiding voor 10/1"/>
    <s v="Gefactureerd"/>
    <m/>
    <m/>
    <m/>
    <m/>
    <m/>
    <m/>
    <m/>
  </r>
  <r>
    <s v="ma"/>
    <n v="8"/>
    <x v="0"/>
    <x v="0"/>
    <n v="21"/>
    <n v="0"/>
    <n v="22"/>
    <n v="0"/>
    <s v="T"/>
    <n v="1"/>
    <s v="U"/>
    <x v="4"/>
    <s v="Dirk Vander Eyken"/>
    <s v="ORG"/>
    <m/>
    <s v="DVE"/>
    <m/>
    <s v="Business model : bepalen van de % verkoop en coordinatie "/>
    <s v="Gefactureerd"/>
    <m/>
    <m/>
    <m/>
    <m/>
    <m/>
    <m/>
    <m/>
  </r>
  <r>
    <s v="di"/>
    <n v="9"/>
    <x v="0"/>
    <x v="0"/>
    <n v="8"/>
    <n v="0"/>
    <n v="12"/>
    <n v="0"/>
    <s v="T"/>
    <n v="4"/>
    <s v="DD"/>
    <x v="3"/>
    <s v="Bert Verbeeck"/>
    <s v="TNL"/>
    <s v="HR2.0"/>
    <s v="DVE"/>
    <n v="475"/>
    <s v="A jour maken plan van aanpak - prioriteiten HR2.0 - functie beschrijvingen 250 - Functietitels -omzetten korte termijn RGA's (Nick)"/>
    <s v="Gefactureerd"/>
    <m/>
    <m/>
    <m/>
    <m/>
    <m/>
    <m/>
    <m/>
  </r>
  <r>
    <s v="di"/>
    <n v="9"/>
    <x v="0"/>
    <x v="0"/>
    <n v="10"/>
    <n v="0"/>
    <n v="13"/>
    <n v="30"/>
    <s v="V"/>
    <n v="3.5"/>
    <s v="U"/>
    <x v="5"/>
    <s v="Kris Lauryssens"/>
    <s v="TNL"/>
    <s v="Time-M"/>
    <s v="IVT"/>
    <n v="437.5"/>
    <s v="nazicht totaalfactuur"/>
    <s v="Gefactureerd"/>
    <m/>
    <m/>
    <m/>
    <m/>
    <m/>
    <m/>
    <m/>
  </r>
  <r>
    <s v="di"/>
    <n v="9"/>
    <x v="0"/>
    <x v="0"/>
    <n v="13"/>
    <n v="0"/>
    <n v="17"/>
    <n v="0"/>
    <s v="V"/>
    <n v="4"/>
    <s v="DD"/>
    <x v="3"/>
    <s v="Bert Verbeeck"/>
    <s v="TNL"/>
    <s v="HR2.0"/>
    <s v="DVE"/>
    <n v="575"/>
    <s v="Project "/>
    <s v="Gefactureerd"/>
    <m/>
    <m/>
    <m/>
    <m/>
    <m/>
    <m/>
    <m/>
  </r>
  <r>
    <s v="di"/>
    <n v="9"/>
    <x v="0"/>
    <x v="0"/>
    <n v="15"/>
    <n v="30"/>
    <n v="17"/>
    <n v="0"/>
    <s v="T"/>
    <n v="2.5"/>
    <s v="U"/>
    <x v="6"/>
    <s v="Cédric Daems"/>
    <s v="TNL"/>
    <s v="Insights"/>
    <s v="IVT"/>
    <n v="878"/>
    <s v="combo met Cédric en Martine: 0 € - Cindy"/>
    <s v="Gefactureerd"/>
    <m/>
    <m/>
    <m/>
    <m/>
    <m/>
    <m/>
    <m/>
  </r>
  <r>
    <s v="di"/>
    <n v="9"/>
    <x v="0"/>
    <x v="0"/>
    <n v="15"/>
    <n v="30"/>
    <n v="18"/>
    <n v="30"/>
    <s v="V"/>
    <n v="3"/>
    <s v="U"/>
    <x v="6"/>
    <s v="Cédric Daems"/>
    <s v="TNL"/>
    <s v="Insights"/>
    <s v="IVT"/>
    <n v="0"/>
    <s v="Coaching Cindy"/>
    <s v="Gefactureerd"/>
    <m/>
    <m/>
    <m/>
    <m/>
    <m/>
    <m/>
    <m/>
  </r>
  <r>
    <s v="wo"/>
    <s v="10"/>
    <x v="0"/>
    <x v="0"/>
    <n v="9"/>
    <n v="0"/>
    <n v="17"/>
    <n v="0"/>
    <s v="V"/>
    <n v="8"/>
    <s v="U"/>
    <x v="7"/>
    <s v="Jan De Brucker"/>
    <s v="TNL"/>
    <s v="Telefoneren Klantgericht"/>
    <s v="IVT"/>
    <n v="1446.14"/>
    <m/>
    <s v="Gefactureerd"/>
    <m/>
    <m/>
    <m/>
    <m/>
    <m/>
    <m/>
    <m/>
  </r>
  <r>
    <s v="wo"/>
    <s v="10"/>
    <x v="0"/>
    <x v="0"/>
    <n v="9"/>
    <n v="0"/>
    <n v="12"/>
    <n v="0"/>
    <s v="T"/>
    <n v="3"/>
    <s v="U"/>
    <x v="2"/>
    <s v="Kris Motmans "/>
    <s v="TNL"/>
    <s v="TNL"/>
    <s v="DVE"/>
    <n v="375"/>
    <s v="Voorbereiding meeting Organogram, functiebeschrijvingen 250 - Plan van aanpak HR-beleid + prioriteiten. "/>
    <s v="Gefactureerd"/>
    <m/>
    <m/>
    <m/>
    <m/>
    <m/>
    <m/>
    <m/>
  </r>
  <r>
    <s v="wo"/>
    <s v="10"/>
    <x v="0"/>
    <x v="0"/>
    <n v="13"/>
    <n v="0"/>
    <n v="17"/>
    <n v="0"/>
    <s v="V"/>
    <n v="4"/>
    <s v="DD"/>
    <x v="2"/>
    <s v="Kris Motmans "/>
    <s v="TNL"/>
    <s v="TNL"/>
    <s v="DVE"/>
    <n v="600"/>
    <s v="Project - Meeting Management team organogram "/>
    <s v="Gefactureerd"/>
    <m/>
    <m/>
    <m/>
    <m/>
    <m/>
    <m/>
    <m/>
  </r>
  <r>
    <s v="do"/>
    <s v="11"/>
    <x v="0"/>
    <x v="0"/>
    <n v="9"/>
    <n v="0"/>
    <n v="10"/>
    <n v="0"/>
    <s v="T"/>
    <n v="1"/>
    <s v="U"/>
    <x v="1"/>
    <s v="Nicolas van der Aa"/>
    <s v="TNL"/>
    <s v="VG25"/>
    <s v="IVT"/>
    <n v="118.75"/>
    <s v="Contact en organisatie Katya Rosati, "/>
    <s v="Gefactureerd"/>
    <m/>
    <m/>
    <m/>
    <m/>
    <m/>
    <m/>
    <m/>
  </r>
  <r>
    <s v="do"/>
    <s v="11"/>
    <x v="0"/>
    <x v="0"/>
    <n v="9"/>
    <n v="0"/>
    <n v="13"/>
    <n v="0"/>
    <s v="V"/>
    <n v="4"/>
    <s v="DD"/>
    <x v="1"/>
    <s v="Nicolas van der Aa"/>
    <s v="TNL"/>
    <s v="VG25"/>
    <s v="DVE"/>
    <n v="575"/>
    <s v="MT en diversen - contract Kenny - communicatieplan relocatie OHA"/>
    <s v="Gefactureerd"/>
    <m/>
    <m/>
    <m/>
    <m/>
    <m/>
    <m/>
    <m/>
  </r>
  <r>
    <s v="do"/>
    <s v="11"/>
    <x v="0"/>
    <x v="0"/>
    <n v="14"/>
    <n v="0"/>
    <n v="17"/>
    <n v="0"/>
    <s v="V"/>
    <n v="3"/>
    <s v="U"/>
    <x v="8"/>
    <s v="Paul Robrechts "/>
    <s v="P16/015"/>
    <s v="SEC 2.0"/>
    <s v="DVE"/>
    <n v="300"/>
    <s v="Planning overlopen + diversen CHTH"/>
    <s v="Gefactureerd"/>
    <m/>
    <m/>
    <m/>
    <m/>
    <m/>
    <m/>
    <m/>
  </r>
  <r>
    <s v="vr "/>
    <s v="12"/>
    <x v="0"/>
    <x v="0"/>
    <n v="8"/>
    <n v="0"/>
    <n v="12"/>
    <n v="0"/>
    <s v="T"/>
    <n v="4"/>
    <s v="U"/>
    <x v="4"/>
    <s v="Dirk Vander Eyken"/>
    <s v="ORG"/>
    <m/>
    <s v="DVE"/>
    <m/>
    <s v="Overdracht Joke dossiers Labo, Erie, …)"/>
    <s v="Gefactureerd"/>
    <m/>
    <m/>
    <m/>
    <m/>
    <m/>
    <m/>
    <m/>
  </r>
  <r>
    <s v="Vr"/>
    <s v="12"/>
    <x v="0"/>
    <x v="0"/>
    <n v="10"/>
    <n v="0"/>
    <n v="13"/>
    <n v="30"/>
    <s v="V"/>
    <n v="3.5"/>
    <s v="U"/>
    <x v="9"/>
    <s v="Sam Gijsbrechts"/>
    <s v="TRAIN"/>
    <s v="Time-M"/>
    <s v="IVT"/>
    <n v="579.04"/>
    <m/>
    <s v="Gefactureerd"/>
    <m/>
    <m/>
    <m/>
    <m/>
    <m/>
    <m/>
    <m/>
  </r>
  <r>
    <s v="vr "/>
    <s v="12"/>
    <x v="0"/>
    <x v="0"/>
    <n v="13"/>
    <n v="0"/>
    <n v="17"/>
    <n v="0"/>
    <s v="V"/>
    <n v="4"/>
    <s v="DD"/>
    <x v="1"/>
    <s v="Nicolas van der Aa"/>
    <s v="TNL"/>
    <s v="VG25"/>
    <s v="DVE"/>
    <n v="575"/>
    <s v="Communicatie functieverandering OHA"/>
    <s v="Gefactureerd"/>
    <m/>
    <m/>
    <m/>
    <m/>
    <m/>
    <m/>
    <m/>
  </r>
  <r>
    <s v="Vr"/>
    <s v="12"/>
    <x v="0"/>
    <x v="0"/>
    <n v="15"/>
    <n v="0"/>
    <n v="19"/>
    <n v="0"/>
    <s v="T"/>
    <n v="4"/>
    <s v="DD"/>
    <x v="6"/>
    <s v="Cédric Daems"/>
    <s v="TNL"/>
    <s v="Insights"/>
    <s v="IVT"/>
    <n v="0"/>
    <s v="Cédric en Martine - Insights Discovery"/>
    <s v="Gefactureerd"/>
    <m/>
    <m/>
    <m/>
    <m/>
    <m/>
    <m/>
    <m/>
  </r>
  <r>
    <s v="za"/>
    <s v="13"/>
    <x v="0"/>
    <x v="0"/>
    <n v="8"/>
    <n v="0"/>
    <n v="11"/>
    <n v="0"/>
    <s v="T"/>
    <n v="3"/>
    <s v="U"/>
    <x v="4"/>
    <s v="Dirk Vander Eyken"/>
    <s v="ORG"/>
    <m/>
    <s v="DVE"/>
    <m/>
    <s v="Overdracht Michael Costermans voor start bij Vitesske "/>
    <s v="Gefactureerd"/>
    <m/>
    <m/>
    <m/>
    <m/>
    <m/>
    <m/>
    <m/>
  </r>
  <r>
    <s v="zo"/>
    <s v="14"/>
    <x v="0"/>
    <x v="0"/>
    <n v="10"/>
    <n v="0"/>
    <n v="13"/>
    <n v="0"/>
    <s v="T"/>
    <n v="3"/>
    <s v="U"/>
    <x v="10"/>
    <s v="Kris Motmans "/>
    <s v="TNL"/>
    <s v="TNL"/>
    <s v="DVE"/>
    <n v="375"/>
    <s v="Voorbereiding basis excel remuneratie &amp; Loonbeleid"/>
    <s v="Gefactureerd"/>
    <m/>
    <m/>
    <m/>
    <m/>
    <m/>
    <m/>
    <m/>
  </r>
  <r>
    <s v="ma"/>
    <s v="15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ma"/>
    <s v="15"/>
    <x v="0"/>
    <x v="0"/>
    <n v="8"/>
    <n v="0"/>
    <n v="16"/>
    <n v="0"/>
    <s v="V"/>
    <n v="8"/>
    <s v="DA"/>
    <x v="1"/>
    <s v="Nicolas van der Aa"/>
    <s v="TNL"/>
    <s v="VG25"/>
    <s v="DVE"/>
    <n v="1050"/>
    <s v="Opstartdag MCO "/>
    <s v="Gefactureerd"/>
    <m/>
    <m/>
    <m/>
    <m/>
    <m/>
    <m/>
    <m/>
  </r>
  <r>
    <s v="ma"/>
    <s v="15"/>
    <x v="0"/>
    <x v="0"/>
    <n v="14"/>
    <n v="0"/>
    <n v="16"/>
    <n v="30"/>
    <s v="V"/>
    <n v="2.5"/>
    <s v="U"/>
    <x v="5"/>
    <s v="Kris Lauryssens"/>
    <s v="TRAIN"/>
    <s v="Time-M"/>
    <s v="IVT"/>
    <n v="312.5"/>
    <m/>
    <s v="Gefactureerd"/>
    <m/>
    <m/>
    <m/>
    <m/>
    <m/>
    <m/>
    <m/>
  </r>
  <r>
    <s v="ma"/>
    <s v="15"/>
    <x v="0"/>
    <x v="0"/>
    <n v="19"/>
    <n v="0"/>
    <n v="21"/>
    <n v="45"/>
    <s v="T"/>
    <n v="2.75"/>
    <s v="U"/>
    <x v="11"/>
    <s v="Guido Peeters"/>
    <s v="TNL"/>
    <n v="20"/>
    <s v="IVT"/>
    <n v="343.75"/>
    <s v="Marketing Concept"/>
    <s v="Gefactureerd"/>
    <m/>
    <m/>
    <m/>
    <m/>
    <m/>
    <m/>
    <m/>
  </r>
  <r>
    <s v="di"/>
    <s v="16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di"/>
    <s v="16"/>
    <x v="0"/>
    <x v="0"/>
    <n v="10"/>
    <n v="0"/>
    <n v="12"/>
    <n v="0"/>
    <s v="V"/>
    <n v="3"/>
    <s v="U"/>
    <x v="8"/>
    <s v="Paul Robrechts "/>
    <s v="P16/015"/>
    <s v="SEC 2.0"/>
    <s v="DVE"/>
    <n v="300"/>
    <s v="Planning overlopen + diversen CHTH"/>
    <s v="Gefactureerd"/>
    <m/>
    <m/>
    <m/>
    <m/>
    <m/>
    <m/>
    <m/>
  </r>
  <r>
    <s v="di"/>
    <s v="16"/>
    <x v="0"/>
    <x v="0"/>
    <n v="13"/>
    <n v="0"/>
    <n v="17"/>
    <n v="0"/>
    <s v="V"/>
    <n v="8"/>
    <s v="DA"/>
    <x v="1"/>
    <s v="Nicolas van der Aa"/>
    <s v="TNL"/>
    <s v="VG25"/>
    <s v="DVE"/>
    <n v="1050"/>
    <s v="Project "/>
    <s v="Gefactureerd"/>
    <m/>
    <m/>
    <m/>
    <m/>
    <m/>
    <m/>
    <m/>
  </r>
  <r>
    <s v="wo"/>
    <s v="17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wo"/>
    <s v="17"/>
    <x v="0"/>
    <x v="0"/>
    <n v="9"/>
    <n v="0"/>
    <n v="12"/>
    <n v="0"/>
    <s v="V"/>
    <n v="3"/>
    <s v="U"/>
    <x v="8"/>
    <s v="Paul Robrechts "/>
    <s v="TNL"/>
    <s v="TNL"/>
    <s v="DVE"/>
    <n v="300"/>
    <s v="Strategische meeting R&amp;T PARO/DVDE"/>
    <s v="Gefactureerd"/>
    <m/>
    <m/>
    <m/>
    <m/>
    <m/>
    <m/>
    <m/>
  </r>
  <r>
    <s v="do"/>
    <s v="18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do"/>
    <s v="18"/>
    <x v="0"/>
    <x v="0"/>
    <n v="8"/>
    <n v="0"/>
    <n v="10"/>
    <n v="0"/>
    <s v="T"/>
    <n v="2"/>
    <s v="U"/>
    <x v="2"/>
    <s v="Kris Motmans "/>
    <s v="TNL"/>
    <s v="TNL"/>
    <s v="DVE"/>
    <n v="250"/>
    <s v="Voorbereiding loonbeleid en meeting 24/1"/>
    <s v="Gefactureerd"/>
    <m/>
    <m/>
    <m/>
    <m/>
    <m/>
    <m/>
    <m/>
  </r>
  <r>
    <s v="do"/>
    <s v="18"/>
    <x v="0"/>
    <x v="0"/>
    <n v="15"/>
    <n v="0"/>
    <n v="17"/>
    <n v="0"/>
    <s v="T"/>
    <n v="1"/>
    <s v="U"/>
    <x v="8"/>
    <s v="Paul Robrechts "/>
    <s v="TNL"/>
    <s v="TNL"/>
    <s v="DVE"/>
    <n v="100"/>
    <s v="Opmaken projectplan functioneringsgesprekken"/>
    <s v="Gefactureerd"/>
    <m/>
    <m/>
    <m/>
    <m/>
    <m/>
    <m/>
    <m/>
  </r>
  <r>
    <s v="Vr"/>
    <s v="19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vr "/>
    <s v="19"/>
    <x v="0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22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ma"/>
    <s v="22"/>
    <x v="0"/>
    <x v="0"/>
    <n v="10"/>
    <n v="0"/>
    <n v="12"/>
    <n v="0"/>
    <s v="V"/>
    <n v="3"/>
    <s v="U"/>
    <x v="8"/>
    <s v="Paul Robrechts "/>
    <s v="P16/015"/>
    <s v="SEC 2.0"/>
    <s v="DVE"/>
    <n v="300"/>
    <s v="Planning overlopen + diversen CHTH"/>
    <s v="Gefactureerd"/>
    <m/>
    <m/>
    <m/>
    <m/>
    <m/>
    <m/>
    <m/>
  </r>
  <r>
    <s v="ma"/>
    <s v="22"/>
    <x v="0"/>
    <x v="0"/>
    <n v="13"/>
    <n v="0"/>
    <n v="17"/>
    <n v="30"/>
    <s v="V"/>
    <n v="4.5"/>
    <s v="U"/>
    <x v="1"/>
    <s v="Nicolas van der Aa"/>
    <s v="TNL"/>
    <s v="VG25"/>
    <s v="DVE"/>
    <n v="590.625"/>
    <s v="Opvolging werkzaamheden MCO + Afstemmen projectplan 4D Vision Iserplan"/>
    <s v="Gefactureerd"/>
    <m/>
    <m/>
    <m/>
    <m/>
    <m/>
    <m/>
    <m/>
  </r>
  <r>
    <s v="di"/>
    <s v="23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di"/>
    <s v="23"/>
    <x v="0"/>
    <x v="0"/>
    <n v="8"/>
    <n v="0"/>
    <n v="12"/>
    <n v="0"/>
    <s v="V"/>
    <n v="4"/>
    <s v="DD"/>
    <x v="3"/>
    <s v="Bert Verbeeck"/>
    <s v="TNL"/>
    <s v="HR2.0"/>
    <s v="DVE"/>
    <n v="575"/>
    <s v="Functiebeschrijving Sales Manager "/>
    <s v="Gefactureerd"/>
    <m/>
    <m/>
    <m/>
    <m/>
    <m/>
    <m/>
    <m/>
  </r>
  <r>
    <s v="di"/>
    <s v="23"/>
    <x v="0"/>
    <x v="0"/>
    <n v="13"/>
    <n v="0"/>
    <n v="17"/>
    <n v="30"/>
    <s v="V"/>
    <n v="4.5"/>
    <s v="U"/>
    <x v="12"/>
    <s v="Steven Pauwels "/>
    <s v="TNL"/>
    <s v="TNL"/>
    <s v="DVE"/>
    <n v="534.375"/>
    <s v="Visie, Missie en waarden "/>
    <s v="Gefactureerd"/>
    <m/>
    <m/>
    <m/>
    <m/>
    <m/>
    <m/>
    <m/>
  </r>
  <r>
    <s v="di"/>
    <s v="23"/>
    <x v="0"/>
    <x v="0"/>
    <n v="14"/>
    <n v="40"/>
    <n v="16"/>
    <n v="30"/>
    <s v="V"/>
    <n v="1.8"/>
    <s v="U"/>
    <x v="5"/>
    <s v="Kris Lauryssens"/>
    <s v="TRAIN"/>
    <s v="Time-M"/>
    <s v="IVT"/>
    <n v="225"/>
    <m/>
    <s v="Gefactureerd"/>
    <m/>
    <m/>
    <m/>
    <m/>
    <m/>
    <m/>
    <m/>
  </r>
  <r>
    <s v="wo"/>
    <s v="24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wo"/>
    <s v="24"/>
    <x v="0"/>
    <x v="0"/>
    <n v="10"/>
    <n v="0"/>
    <n v="18"/>
    <n v="30"/>
    <s v="V"/>
    <n v="8"/>
    <s v="DA"/>
    <x v="2"/>
    <s v="Kris Motmans "/>
    <s v="TNL"/>
    <s v="TNL"/>
    <s v="DVE"/>
    <n v="1000"/>
    <s v="Projectdag "/>
    <s v="Gefactureerd"/>
    <m/>
    <m/>
    <m/>
    <m/>
    <m/>
    <m/>
    <m/>
  </r>
  <r>
    <s v="do"/>
    <s v="25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do"/>
    <s v="25"/>
    <x v="0"/>
    <x v="0"/>
    <n v="9"/>
    <n v="0"/>
    <n v="17"/>
    <n v="0"/>
    <s v="V"/>
    <n v="8"/>
    <s v="DA"/>
    <x v="13"/>
    <s v="Hanne "/>
    <s v="TRAIN"/>
    <m/>
    <s v="IVT"/>
    <n v="1050"/>
    <s v="E-mailen klantgericht"/>
    <s v="Gefactureerd"/>
    <m/>
    <m/>
    <m/>
    <m/>
    <m/>
    <m/>
    <m/>
  </r>
  <r>
    <s v="do"/>
    <s v="25"/>
    <x v="0"/>
    <x v="0"/>
    <n v="9"/>
    <n v="0"/>
    <n v="17"/>
    <n v="0"/>
    <s v="V"/>
    <n v="8"/>
    <s v="DA"/>
    <x v="1"/>
    <s v="Nicolas van der Aa"/>
    <s v="TNL"/>
    <s v="VG25"/>
    <s v="DVE"/>
    <n v="1050"/>
    <s v="Project "/>
    <s v="Gefactureerd"/>
    <m/>
    <m/>
    <m/>
    <m/>
    <m/>
    <m/>
    <m/>
  </r>
  <r>
    <s v="Vr"/>
    <s v="26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Vr"/>
    <s v="26"/>
    <x v="0"/>
    <x v="0"/>
    <n v="9"/>
    <n v="0"/>
    <n v="11"/>
    <n v="30"/>
    <s v="T"/>
    <n v="2.5"/>
    <s v="U"/>
    <x v="8"/>
    <s v="Paul Robrechts"/>
    <s v="TNL"/>
    <s v="assess"/>
    <s v="IVT"/>
    <n v="428"/>
    <s v="Gesprek Olivia + profiel: vaste prijs"/>
    <s v="Gefactureerd"/>
    <m/>
    <m/>
    <m/>
    <m/>
    <m/>
    <m/>
    <m/>
  </r>
  <r>
    <s v="vr "/>
    <s v="26"/>
    <x v="0"/>
    <x v="0"/>
    <n v="9"/>
    <n v="0"/>
    <n v="10"/>
    <n v="0"/>
    <s v="T"/>
    <n v="1"/>
    <s v="U"/>
    <x v="3"/>
    <s v="Bert Verbeeck"/>
    <s v="TNL"/>
    <s v="HR2.0"/>
    <s v="DVE"/>
    <n v="118.75"/>
    <s v="Voorbereiding PPA profiel Werking Management team ifv Gesprek Maddy"/>
    <s v="Gefactureerd"/>
    <m/>
    <m/>
    <m/>
    <m/>
    <m/>
    <m/>
    <m/>
  </r>
  <r>
    <s v="vr "/>
    <s v="26"/>
    <x v="0"/>
    <x v="0"/>
    <n v="10"/>
    <n v="0"/>
    <n v="11"/>
    <n v="0"/>
    <s v="T"/>
    <n v="1"/>
    <s v="U"/>
    <x v="1"/>
    <s v="Nicolas van der Aa"/>
    <s v="TNL"/>
    <s v="VG25"/>
    <s v="DVE"/>
    <n v="125"/>
    <s v="Voorbereiding en verplaatsen RvA +  Projectplan en planning Iserplan 4Dvision"/>
    <s v="Gefactureerd"/>
    <m/>
    <m/>
    <m/>
    <m/>
    <m/>
    <m/>
    <m/>
  </r>
  <r>
    <s v="vr "/>
    <s v="26"/>
    <x v="0"/>
    <x v="0"/>
    <n v="13"/>
    <n v="0"/>
    <n v="16"/>
    <n v="30"/>
    <s v="T"/>
    <n v="3.5"/>
    <s v="U"/>
    <x v="2"/>
    <s v="Kris Motmans "/>
    <s v="TNL"/>
    <s v="TNL"/>
    <s v="DVE"/>
    <n v="437.5"/>
    <s v="Loonbeleid: powerpoint, finaliseren tabel"/>
    <s v="Gefactureerd"/>
    <m/>
    <m/>
    <m/>
    <m/>
    <m/>
    <m/>
    <m/>
  </r>
  <r>
    <s v="ma"/>
    <s v="29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ma"/>
    <s v="29"/>
    <x v="0"/>
    <x v="0"/>
    <n v="8"/>
    <n v="0"/>
    <n v="10"/>
    <n v="0"/>
    <s v="T"/>
    <n v="2"/>
    <s v="U"/>
    <x v="2"/>
    <s v="Kris Motmans "/>
    <s v="TNL"/>
    <s v="TNL"/>
    <s v="DVE"/>
    <n v="250"/>
    <s v="PPT voor RvB + cafetariaplan. "/>
    <s v="Gefactureerd"/>
    <m/>
    <m/>
    <m/>
    <m/>
    <m/>
    <m/>
    <m/>
  </r>
  <r>
    <s v="ma"/>
    <s v="29"/>
    <x v="0"/>
    <x v="0"/>
    <n v="13"/>
    <n v="30"/>
    <n v="16"/>
    <n v="30"/>
    <s v="T"/>
    <n v="3"/>
    <s v="U"/>
    <x v="11"/>
    <s v="Guido Peeters"/>
    <s v="TNL"/>
    <n v="20"/>
    <s v="IVT"/>
    <n v="375"/>
    <s v="Contactname call centers, plan en was, opstellen mails"/>
    <s v="Gefactureerd"/>
    <m/>
    <m/>
    <m/>
    <m/>
    <m/>
    <m/>
    <m/>
  </r>
  <r>
    <s v="ma"/>
    <s v="29"/>
    <x v="0"/>
    <x v="0"/>
    <n v="16"/>
    <n v="30"/>
    <n v="20"/>
    <n v="0"/>
    <s v="T"/>
    <n v="4.5"/>
    <s v="U"/>
    <x v="8"/>
    <s v="Paul Robrechts"/>
    <s v="TNL"/>
    <s v="assess"/>
    <s v="IVT"/>
    <n v="509"/>
    <s v="Aparte factuur Paul en R&amp;T: 164 is profiel voor Paul apart; R en T : 345 aan uren"/>
    <s v="Gefactureerd"/>
    <m/>
    <m/>
    <m/>
    <m/>
    <m/>
    <m/>
    <m/>
  </r>
  <r>
    <s v="di"/>
    <s v="30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di"/>
    <s v="30"/>
    <x v="0"/>
    <x v="0"/>
    <n v="10"/>
    <n v="30"/>
    <n v="12"/>
    <n v="30"/>
    <s v="T"/>
    <n v="2"/>
    <s v="U"/>
    <x v="11"/>
    <s v="Guido Peeters"/>
    <s v="TNL"/>
    <n v="20"/>
    <s v="IVT"/>
    <n v="250"/>
    <m/>
    <s v="Gefactureerd"/>
    <m/>
    <m/>
    <m/>
    <m/>
    <m/>
    <m/>
    <m/>
  </r>
  <r>
    <s v="di"/>
    <s v="30"/>
    <x v="0"/>
    <x v="0"/>
    <n v="13"/>
    <n v="0"/>
    <n v="17"/>
    <n v="0"/>
    <s v="V"/>
    <n v="4"/>
    <s v="DD"/>
    <x v="3"/>
    <s v="Bert Verbeeck"/>
    <s v="TNL"/>
    <s v="HR2.0"/>
    <s v="DVE"/>
    <n v="575"/>
    <s v="Functiebeschrijving Sales Operations Manager "/>
    <s v="Gefactureerd"/>
    <m/>
    <m/>
    <m/>
    <m/>
    <m/>
    <m/>
    <m/>
  </r>
  <r>
    <s v="di"/>
    <s v="30"/>
    <x v="0"/>
    <x v="0"/>
    <n v="17"/>
    <n v="30"/>
    <n v="20"/>
    <n v="45"/>
    <s v="V"/>
    <n v="3.25"/>
    <s v="U"/>
    <x v="0"/>
    <s v="Dirk Vander Eyken"/>
    <s v="ORG"/>
    <m/>
    <s v="IVT"/>
    <m/>
    <s v="TNL - Profiel bespreking Michael Costermans "/>
    <s v="Gefactureerd"/>
    <m/>
    <m/>
    <m/>
    <m/>
    <m/>
    <m/>
    <m/>
  </r>
  <r>
    <s v="wo"/>
    <s v="31"/>
    <x v="0"/>
    <x v="0"/>
    <n v="7"/>
    <n v="0"/>
    <n v="16"/>
    <n v="0"/>
    <s v="V"/>
    <n v="8"/>
    <s v="DA"/>
    <x v="1"/>
    <s v="Nicolas van der Aa"/>
    <s v="TNL"/>
    <s v="VG25"/>
    <s v="MCO"/>
    <n v="750"/>
    <s v="Project "/>
    <s v="Gefactureerd"/>
    <m/>
    <m/>
    <m/>
    <m/>
    <m/>
    <m/>
    <m/>
  </r>
  <r>
    <s v="wo"/>
    <s v="31"/>
    <x v="0"/>
    <x v="0"/>
    <n v="10"/>
    <n v="0"/>
    <n v="18"/>
    <n v="0"/>
    <s v="V"/>
    <n v="8"/>
    <s v="DA"/>
    <x v="2"/>
    <s v="Kris Motmans "/>
    <s v="TNL"/>
    <s v="TNL"/>
    <s v="DVE"/>
    <n v="1000"/>
    <s v="Functiebeschrijvingen QP/CEO + diversen "/>
    <s v="Gefactureerd"/>
    <m/>
    <m/>
    <m/>
    <m/>
    <m/>
    <m/>
    <m/>
  </r>
  <r>
    <s v="wo"/>
    <s v="31"/>
    <x v="0"/>
    <x v="0"/>
    <n v="14"/>
    <n v="30"/>
    <n v="16"/>
    <n v="30"/>
    <s v="T"/>
    <n v="2"/>
    <s v="U"/>
    <x v="11"/>
    <s v="Guido Peeters"/>
    <s v="TNL"/>
    <n v="20"/>
    <s v="IVT"/>
    <n v="250"/>
    <m/>
    <s v="Gefactureerd"/>
    <m/>
    <m/>
    <m/>
    <m/>
    <m/>
    <m/>
    <m/>
  </r>
  <r>
    <s v="wo"/>
    <s v="31"/>
    <x v="0"/>
    <x v="0"/>
    <m/>
    <m/>
    <m/>
    <m/>
    <s v="V"/>
    <n v="5"/>
    <s v="U"/>
    <x v="1"/>
    <s v="Nicolas van der Aa"/>
    <s v="TNL"/>
    <s v="VG25"/>
    <s v="JWI"/>
    <n v="437.5"/>
    <s v="Zie detail meetstaat JWI december en november "/>
    <s v="Gefactureerd"/>
    <m/>
    <m/>
    <m/>
    <m/>
    <m/>
    <m/>
    <m/>
  </r>
  <r>
    <s v="wo"/>
    <s v="31"/>
    <x v="0"/>
    <x v="0"/>
    <m/>
    <m/>
    <m/>
    <m/>
    <s v="T"/>
    <m/>
    <m/>
    <x v="1"/>
    <s v="Nicolas van der Aa"/>
    <s v="TNL"/>
    <s v="VG25"/>
    <s v="DVE"/>
    <n v="-397.2"/>
    <s v="Correctie uren 2017"/>
    <s v="Gefactureerd"/>
    <m/>
    <m/>
    <m/>
    <m/>
    <m/>
    <m/>
    <m/>
  </r>
  <r>
    <s v="do"/>
    <n v="1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n v="1"/>
    <x v="1"/>
    <x v="0"/>
    <n v="10"/>
    <n v="0"/>
    <n v="14"/>
    <n v="0"/>
    <s v="V"/>
    <n v="4"/>
    <s v="DD"/>
    <x v="1"/>
    <s v="Nicolas van der Aa"/>
    <s v="TNL"/>
    <s v="VG25"/>
    <s v="DVE"/>
    <n v="575"/>
    <s v="MT en diversen "/>
    <s v="Gefactureerd"/>
    <m/>
    <m/>
    <m/>
    <m/>
    <m/>
    <m/>
    <m/>
  </r>
  <r>
    <s v="Vr"/>
    <n v="2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Vr"/>
    <n v="2"/>
    <x v="1"/>
    <x v="0"/>
    <n v="8"/>
    <n v="0"/>
    <n v="17"/>
    <n v="0"/>
    <s v="V"/>
    <n v="8"/>
    <s v="DA"/>
    <x v="1"/>
    <s v="Nicolas van der Aa"/>
    <s v="TNL"/>
    <s v="VG25"/>
    <s v="IVT"/>
    <n v="950"/>
    <m/>
    <s v="Gefactureerd"/>
    <m/>
    <m/>
    <m/>
    <m/>
    <m/>
    <m/>
    <m/>
  </r>
  <r>
    <s v="vr "/>
    <n v="2"/>
    <x v="1"/>
    <x v="0"/>
    <n v="9"/>
    <n v="0"/>
    <n v="13"/>
    <n v="0"/>
    <s v="V"/>
    <n v="4"/>
    <s v="DD"/>
    <x v="14"/>
    <s v="Steven Pauwels "/>
    <s v="TNL"/>
    <s v="TNL"/>
    <s v="DVE"/>
    <n v="570"/>
    <s v="Budget 2018 opstellen. "/>
    <s v="Gefactureerd"/>
    <m/>
    <m/>
    <m/>
    <m/>
    <m/>
    <m/>
    <m/>
  </r>
  <r>
    <s v="vr "/>
    <n v="2"/>
    <x v="1"/>
    <x v="0"/>
    <n v="14"/>
    <n v="0"/>
    <n v="17"/>
    <n v="30"/>
    <s v="V"/>
    <n v="4"/>
    <s v="U"/>
    <x v="0"/>
    <s v="Dirk Vander Eyken"/>
    <s v="ORG"/>
    <m/>
    <s v="DVE"/>
    <m/>
    <s v="Besprekking met carlos tariven voor de consultants + de commisies (in Mechelen op grote markt)"/>
    <s v="Gefactureerd"/>
    <m/>
    <m/>
    <m/>
    <m/>
    <m/>
    <m/>
    <m/>
  </r>
  <r>
    <s v="zo"/>
    <n v="4"/>
    <x v="1"/>
    <x v="0"/>
    <n v="19"/>
    <n v="0"/>
    <n v="21"/>
    <n v="0"/>
    <s v="T"/>
    <n v="2"/>
    <s v="U"/>
    <x v="0"/>
    <s v="Dirk Vander Eyken"/>
    <s v="ORG"/>
    <m/>
    <s v="DVE"/>
    <m/>
    <s v="Besprekking met carlos tarieven voor de consultants + de commisies (in Mechelen op grote markt)"/>
    <s v="Gefactureerd"/>
    <m/>
    <m/>
    <m/>
    <m/>
    <m/>
    <m/>
    <m/>
  </r>
  <r>
    <s v="ma"/>
    <n v="5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ma"/>
    <n v="5"/>
    <x v="1"/>
    <x v="0"/>
    <n v="9"/>
    <n v="0"/>
    <n v="12"/>
    <n v="0"/>
    <s v="V"/>
    <n v="3"/>
    <s v="U"/>
    <x v="8"/>
    <s v="Paul Robrechts "/>
    <s v="P16/015"/>
    <s v="SEC 2.0"/>
    <s v="DVE"/>
    <n v="300"/>
    <s v="Planning overlopen + diversen CHTH + projectstructuur Sibelga "/>
    <s v="Gefactureerd"/>
    <m/>
    <m/>
    <m/>
    <m/>
    <m/>
    <m/>
    <m/>
  </r>
  <r>
    <s v="ma"/>
    <n v="5"/>
    <x v="1"/>
    <x v="0"/>
    <n v="14"/>
    <n v="0"/>
    <n v="18"/>
    <n v="0"/>
    <s v="V"/>
    <n v="4"/>
    <s v="DD"/>
    <x v="3"/>
    <s v="Bert Verbeeck"/>
    <s v="TNL"/>
    <s v="HR2.0"/>
    <s v="DVE"/>
    <n v="575"/>
    <s v="Bespreking Erie Strategie Nick/Maddy/DVE"/>
    <s v="Gefactureerd"/>
    <m/>
    <m/>
    <m/>
    <m/>
    <m/>
    <m/>
    <m/>
  </r>
  <r>
    <s v="di"/>
    <n v="6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i"/>
    <n v="6"/>
    <x v="1"/>
    <x v="0"/>
    <n v="9"/>
    <n v="30"/>
    <n v="12"/>
    <n v="30"/>
    <s v="V"/>
    <n v="3.5"/>
    <s v="U"/>
    <x v="3"/>
    <s v="Bert Verbeeck"/>
    <s v="TNL"/>
    <s v="HR2.0"/>
    <s v="DVE"/>
    <n v="575"/>
    <s v="Bespreking Functiebeschrijvingen Erie + introductie Erie HR 2,0 aan Amy Brumm"/>
    <s v="Gefactureerd"/>
    <m/>
    <m/>
    <m/>
    <m/>
    <m/>
    <m/>
    <m/>
  </r>
  <r>
    <s v="wo"/>
    <n v="7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wo"/>
    <n v="7"/>
    <x v="1"/>
    <x v="0"/>
    <n v="11"/>
    <n v="0"/>
    <n v="17"/>
    <n v="0"/>
    <s v="V"/>
    <n v="6"/>
    <s v="U"/>
    <x v="1"/>
    <s v="Nicolas van der Aa"/>
    <s v="TNL"/>
    <s v="VG25"/>
    <s v="DVE"/>
    <n v="575"/>
    <s v="Opzetten Iserplan Meeting met 4DV + bespreing diversen "/>
    <s v="Gefactureerd"/>
    <m/>
    <m/>
    <m/>
    <m/>
    <m/>
    <m/>
    <m/>
  </r>
  <r>
    <s v="do"/>
    <n v="8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n v="8"/>
    <x v="1"/>
    <x v="0"/>
    <n v="10"/>
    <n v="0"/>
    <n v="15"/>
    <n v="30"/>
    <s v="T"/>
    <n v="5.5"/>
    <s v="U"/>
    <x v="0"/>
    <s v="Dirk Vander Eyken"/>
    <s v="ORG"/>
    <m/>
    <s v="DVE"/>
    <m/>
    <s v="Mails/opvolging dossiers, commmisies, afspraken plannen, …"/>
    <s v="Gefactureerd"/>
    <m/>
    <m/>
    <m/>
    <m/>
    <m/>
    <m/>
    <m/>
  </r>
  <r>
    <s v="Vr"/>
    <n v="9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Vr"/>
    <n v="9"/>
    <x v="1"/>
    <x v="0"/>
    <n v="10"/>
    <n v="0"/>
    <n v="18"/>
    <n v="0"/>
    <s v="V"/>
    <n v="8"/>
    <s v="DA"/>
    <x v="2"/>
    <s v="Kris Motmans "/>
    <s v="TNL"/>
    <s v="TNL"/>
    <s v="DVE"/>
    <n v="1000"/>
    <s v="Functiebeschrijvingen CBO/AQ associate + diversen "/>
    <s v="Gefactureerd"/>
    <m/>
    <m/>
    <m/>
    <m/>
    <m/>
    <m/>
    <m/>
  </r>
  <r>
    <s v="ma"/>
    <s v="12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ma"/>
    <s v="12"/>
    <x v="1"/>
    <x v="0"/>
    <n v="10"/>
    <n v="0"/>
    <n v="12"/>
    <n v="0"/>
    <s v="T"/>
    <n v="2"/>
    <s v="U"/>
    <x v="2"/>
    <s v="Kris Motmans "/>
    <s v="TNL"/>
    <s v="TNL"/>
    <s v="DVE"/>
    <n v="250"/>
    <s v="Afwerken functiebeschrijvingen CBO/QA + planning 16/02 + standardiseren Labo Smeets functie beschrijving (in overleg met Louis)"/>
    <s v="Gefactureerd"/>
    <m/>
    <m/>
    <m/>
    <m/>
    <m/>
    <m/>
    <m/>
  </r>
  <r>
    <s v="ma"/>
    <s v="12"/>
    <x v="1"/>
    <x v="0"/>
    <n v="13"/>
    <n v="0"/>
    <n v="15"/>
    <n v="0"/>
    <s v="T"/>
    <n v="2"/>
    <s v="U"/>
    <x v="0"/>
    <s v="Dirk Vander Eyken"/>
    <s v="ORG"/>
    <m/>
    <s v="DVE"/>
    <m/>
    <s v="Standardiseren competenties profile builder automatiseren ."/>
    <s v="Gefactureerd"/>
    <m/>
    <m/>
    <m/>
    <m/>
    <m/>
    <m/>
    <m/>
  </r>
  <r>
    <s v="ma"/>
    <s v="12"/>
    <x v="1"/>
    <x v="0"/>
    <n v="19"/>
    <n v="30"/>
    <n v="23"/>
    <n v="0"/>
    <s v="T"/>
    <n v="3.5"/>
    <s v="U"/>
    <x v="0"/>
    <s v="Dirk Vander Eyken"/>
    <s v="ORG"/>
    <m/>
    <s v="DVE"/>
    <m/>
    <s v="Bespreking IVT/CHE/LMO tarieven voor sales commissies en verkoopsstrategie. "/>
    <s v="Gefactureerd"/>
    <m/>
    <m/>
    <m/>
    <m/>
    <m/>
    <m/>
    <m/>
  </r>
  <r>
    <s v="di"/>
    <s v="13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i"/>
    <s v="13"/>
    <x v="1"/>
    <x v="0"/>
    <n v="8"/>
    <n v="0"/>
    <n v="12"/>
    <n v="0"/>
    <s v="V"/>
    <n v="4"/>
    <s v="DD"/>
    <x v="3"/>
    <s v="Bert Verbeeck"/>
    <s v="TNL"/>
    <s v="HR2.0"/>
    <s v="DVE"/>
    <n v="575"/>
    <s v="Bespreking Functiebeschrijvingen Erie + bespreking presentatie ziekteverzuim"/>
    <s v="Gefactureerd"/>
    <m/>
    <m/>
    <m/>
    <m/>
    <m/>
    <m/>
    <m/>
  </r>
  <r>
    <s v="di"/>
    <s v="13"/>
    <x v="1"/>
    <x v="0"/>
    <n v="14"/>
    <n v="0"/>
    <n v="18"/>
    <n v="0"/>
    <s v="V"/>
    <n v="4"/>
    <s v="DD"/>
    <x v="1"/>
    <s v="Nicolas van der Aa"/>
    <s v="TNL"/>
    <s v="VG25"/>
    <s v="DVE"/>
    <n v="575"/>
    <s v="MT en diversen "/>
    <s v="Gefactureerd"/>
    <m/>
    <m/>
    <m/>
    <m/>
    <m/>
    <m/>
    <m/>
  </r>
  <r>
    <s v="wo"/>
    <s v="14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wo"/>
    <s v="14"/>
    <x v="1"/>
    <x v="0"/>
    <n v="9"/>
    <n v="0"/>
    <n v="17"/>
    <n v="0"/>
    <s v="V"/>
    <n v="8"/>
    <s v="DA"/>
    <x v="0"/>
    <s v="Dirk Vander Eyken"/>
    <s v="Verlof"/>
    <m/>
    <s v="DVE"/>
    <m/>
    <s v="Valentijn "/>
    <s v="Gefactureerd"/>
    <m/>
    <m/>
    <m/>
    <m/>
    <m/>
    <m/>
    <m/>
  </r>
  <r>
    <s v="do"/>
    <s v="15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s v="15"/>
    <x v="1"/>
    <x v="0"/>
    <n v="9"/>
    <n v="0"/>
    <n v="13"/>
    <n v="0"/>
    <s v="V"/>
    <n v="4"/>
    <s v="DD"/>
    <x v="1"/>
    <s v="Nicolas van der Aa"/>
    <s v="TNL"/>
    <s v="VG25"/>
    <s v="DVE"/>
    <n v="575"/>
    <s v="MT en diversen "/>
    <s v="Gefactureerd"/>
    <m/>
    <m/>
    <m/>
    <m/>
    <m/>
    <m/>
    <m/>
  </r>
  <r>
    <s v="do"/>
    <s v="15"/>
    <x v="1"/>
    <x v="0"/>
    <n v="19"/>
    <n v="30"/>
    <n v="24"/>
    <n v="0"/>
    <s v="T"/>
    <n v="8"/>
    <s v="DA"/>
    <x v="0"/>
    <s v="Dirk Vander Eyken"/>
    <s v="ORG"/>
    <m/>
    <s v="DVE"/>
    <m/>
    <s v="Bespreking samenwerking met Wilfried"/>
    <s v="Gefactureerd"/>
    <m/>
    <m/>
    <m/>
    <m/>
    <m/>
    <m/>
    <m/>
  </r>
  <r>
    <s v="Vr"/>
    <s v="16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Vr"/>
    <s v="16"/>
    <x v="1"/>
    <x v="0"/>
    <n v="8"/>
    <n v="0"/>
    <n v="18"/>
    <n v="0"/>
    <s v="V"/>
    <n v="8"/>
    <s v="DA"/>
    <x v="2"/>
    <s v="Kris Motmans "/>
    <s v="TNL"/>
    <s v="TNL"/>
    <s v="DVE"/>
    <n v="1000"/>
    <s v="Functiebeschrijvingen "/>
    <s v="Gefactureerd"/>
    <m/>
    <m/>
    <m/>
    <m/>
    <m/>
    <m/>
    <m/>
  </r>
  <r>
    <s v="za"/>
    <s v="17"/>
    <x v="1"/>
    <x v="0"/>
    <n v="14"/>
    <n v="30"/>
    <n v="15"/>
    <n v="15"/>
    <s v="T"/>
    <n v="1"/>
    <s v="U"/>
    <x v="1"/>
    <s v="Nicolas van der Aa"/>
    <s v="TNL"/>
    <s v="TNL"/>
    <s v="IVT"/>
    <n v="115"/>
    <s v="Opstellen ontslagbrief en check wettelijkheid OHA"/>
    <s v="Gefactureerd"/>
    <m/>
    <m/>
    <m/>
    <m/>
    <m/>
    <m/>
    <m/>
  </r>
  <r>
    <s v="ma"/>
    <s v="19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ma"/>
    <s v="19"/>
    <x v="1"/>
    <x v="0"/>
    <n v="8"/>
    <n v="30"/>
    <n v="13"/>
    <n v="0"/>
    <s v="V"/>
    <n v="4"/>
    <s v="DD"/>
    <x v="2"/>
    <s v="Kris Motmans "/>
    <s v="TNL"/>
    <s v="TNL"/>
    <s v="DVE"/>
    <n v="600"/>
    <s v="Functiebeschrijvingen "/>
    <s v="Gefactureerd"/>
    <m/>
    <m/>
    <m/>
    <m/>
    <m/>
    <m/>
    <m/>
  </r>
  <r>
    <s v="ma"/>
    <s v="19"/>
    <x v="1"/>
    <x v="0"/>
    <n v="14"/>
    <n v="0"/>
    <n v="18"/>
    <n v="0"/>
    <s v="V"/>
    <n v="4"/>
    <s v="DD"/>
    <x v="1"/>
    <s v="Nicolas van der Aa"/>
    <s v="TNL"/>
    <s v="VG25"/>
    <s v="DVE"/>
    <n v="575"/>
    <s v="Ontslag OHA voorbereiding en diversen "/>
    <s v="Gefactureerd"/>
    <m/>
    <m/>
    <m/>
    <m/>
    <m/>
    <m/>
    <m/>
  </r>
  <r>
    <s v="ma"/>
    <s v="19"/>
    <x v="1"/>
    <x v="0"/>
    <n v="18"/>
    <n v="0"/>
    <n v="20"/>
    <n v="0"/>
    <s v="V"/>
    <n v="2"/>
    <s v="U"/>
    <x v="8"/>
    <s v="Paul Robrechts "/>
    <s v="P16/015"/>
    <s v="SEC 2.0"/>
    <s v="DVE"/>
    <n v="200"/>
    <s v="Planning overlopen + diversen CHTH + projectstructuur Sibelga PARO/CHTH/DVE"/>
    <s v="Gefactureerd"/>
    <m/>
    <m/>
    <m/>
    <m/>
    <m/>
    <m/>
    <m/>
  </r>
  <r>
    <s v="di"/>
    <s v="20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i"/>
    <s v="20"/>
    <x v="1"/>
    <x v="0"/>
    <n v="8"/>
    <n v="0"/>
    <n v="12"/>
    <n v="0"/>
    <s v="V"/>
    <n v="4"/>
    <s v="DD"/>
    <x v="3"/>
    <s v="Bert Verbeeck"/>
    <s v="TNL"/>
    <s v="HR2.0"/>
    <s v="DVE"/>
    <n v="575"/>
    <s v="Bespreking Functiebeschrijvingen Erie + missie en waarden NGO/LWE"/>
    <s v="Gefactureerd"/>
    <m/>
    <m/>
    <m/>
    <m/>
    <m/>
    <m/>
    <m/>
  </r>
  <r>
    <s v="di"/>
    <s v="20"/>
    <x v="1"/>
    <x v="0"/>
    <n v="14"/>
    <n v="0"/>
    <n v="19"/>
    <n v="0"/>
    <s v="V"/>
    <n v="4"/>
    <s v="DD"/>
    <x v="1"/>
    <s v="Nicolas van der Aa"/>
    <s v="TNL"/>
    <s v="VG25"/>
    <s v="DVE"/>
    <n v="575"/>
    <s v="MT + strategische bespreking Sales Manager "/>
    <s v="Gefactureerd"/>
    <m/>
    <m/>
    <m/>
    <m/>
    <m/>
    <m/>
    <m/>
  </r>
  <r>
    <s v="wo"/>
    <s v="21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s v="22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s v="22"/>
    <x v="1"/>
    <x v="0"/>
    <n v="10"/>
    <n v="0"/>
    <n v="14"/>
    <n v="0"/>
    <s v="T"/>
    <n v="3.5"/>
    <s v="U"/>
    <x v="1"/>
    <s v="Nicolas van der Aa"/>
    <s v="TNL"/>
    <s v="VG25"/>
    <s v="DVE"/>
    <n v="437.5"/>
    <s v="Voorbereiding ontslag OHA + Planning RvA + Planning + voorbereiding project Iserplan + opstarten met Joke functie van salesmanager "/>
    <s v="Gefactureerd"/>
    <m/>
    <m/>
    <m/>
    <m/>
    <m/>
    <m/>
    <m/>
  </r>
  <r>
    <s v="do"/>
    <s v="22"/>
    <x v="1"/>
    <x v="0"/>
    <n v="14"/>
    <n v="0"/>
    <n v="15"/>
    <n v="0"/>
    <s v="T"/>
    <n v="1"/>
    <s v="U"/>
    <x v="8"/>
    <s v="Paul Robrechts "/>
    <s v="P16/015"/>
    <s v="SEC 2.0"/>
    <s v="DVE"/>
    <n v="100"/>
    <s v="Contact Wilfried Frensch + organiseren afspraak "/>
    <s v="Gefactureerd"/>
    <m/>
    <m/>
    <m/>
    <m/>
    <m/>
    <m/>
    <m/>
  </r>
  <r>
    <s v="do"/>
    <s v="22"/>
    <x v="1"/>
    <x v="0"/>
    <n v="15"/>
    <n v="0"/>
    <n v="16"/>
    <n v="0"/>
    <s v="T"/>
    <n v="1"/>
    <s v="U"/>
    <x v="3"/>
    <s v="Bert Verbeeck"/>
    <s v="TNL"/>
    <s v="HR2.0"/>
    <s v="DVE"/>
    <n v="118.5"/>
    <s v="Voorbereiding Functiebeschrijvingen en functioneringsgesprekkken + voorbereiding missie + verslag meeting met NGO (missie)"/>
    <s v="Gefactureerd"/>
    <m/>
    <m/>
    <m/>
    <m/>
    <m/>
    <m/>
    <m/>
  </r>
  <r>
    <s v="do"/>
    <s v="22"/>
    <x v="1"/>
    <x v="0"/>
    <n v="17"/>
    <n v="0"/>
    <n v="18"/>
    <n v="0"/>
    <s v="T"/>
    <n v="1"/>
    <s v="U"/>
    <x v="2"/>
    <s v="Kris Motmans "/>
    <s v="TNL"/>
    <s v="TNL"/>
    <s v="DVE"/>
    <n v="125"/>
    <s v="Functiebeschrijvingen afwerking gesprekken en opbouwen van de functiebeschrijvingen Labo Smeets Model + voorbereiding opzetten van Functioneringsgesprekken"/>
    <s v="Gefactureerd"/>
    <m/>
    <m/>
    <m/>
    <m/>
    <m/>
    <m/>
    <m/>
  </r>
  <r>
    <s v="Vr"/>
    <s v="23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Vr"/>
    <s v="23"/>
    <x v="1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26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i"/>
    <s v="27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wo"/>
    <s v="28"/>
    <x v="1"/>
    <x v="0"/>
    <n v="7"/>
    <n v="0"/>
    <n v="16"/>
    <n v="0"/>
    <s v="V"/>
    <n v="8"/>
    <s v="DA"/>
    <x v="1"/>
    <s v="Nicolas van der Aa"/>
    <s v="TNL"/>
    <s v="VG25"/>
    <s v="MCO"/>
    <n v="750"/>
    <m/>
    <s v="Gefactureerd"/>
    <m/>
    <m/>
    <m/>
    <m/>
    <m/>
    <m/>
    <m/>
  </r>
  <r>
    <s v="do"/>
    <n v="1"/>
    <x v="2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Vr"/>
    <n v="2"/>
    <x v="2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n v="5"/>
    <x v="2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n v="6"/>
    <x v="2"/>
    <x v="0"/>
    <n v="8"/>
    <n v="30"/>
    <n v="12"/>
    <n v="30"/>
    <s v="V"/>
    <n v="4"/>
    <s v="DD"/>
    <x v="3"/>
    <s v="Bert Verbeeck"/>
    <s v="TNL"/>
    <s v="HR2.0"/>
    <s v="DVE"/>
    <n v="575"/>
    <s v="HR 2.0 project meeting Lore Weets + diversen "/>
    <s v="Gefactureerd"/>
    <m/>
    <m/>
    <m/>
    <m/>
    <m/>
    <m/>
    <m/>
  </r>
  <r>
    <s v="di"/>
    <n v="6"/>
    <x v="2"/>
    <x v="0"/>
    <n v="13"/>
    <n v="0"/>
    <n v="17"/>
    <n v="0"/>
    <s v="V"/>
    <n v="4"/>
    <s v="DD"/>
    <x v="1"/>
    <s v="Nicolas van der Aa"/>
    <s v="TNL"/>
    <s v="VG25"/>
    <s v="DVE"/>
    <n v="575"/>
    <s v="MT Vitesske "/>
    <s v="Gefactureerd"/>
    <m/>
    <m/>
    <m/>
    <m/>
    <m/>
    <m/>
    <m/>
  </r>
  <r>
    <s v="wo"/>
    <n v="7"/>
    <x v="2"/>
    <x v="0"/>
    <n v="9"/>
    <n v="0"/>
    <n v="17"/>
    <n v="0"/>
    <s v="V"/>
    <n v="8"/>
    <s v="DA"/>
    <x v="2"/>
    <s v="Kris Motmans "/>
    <s v="TNL"/>
    <s v="TNL"/>
    <s v="DVE"/>
    <n v="1000"/>
    <s v="Functiebeschrijvingen + diversen "/>
    <s v="Gefactureerd"/>
    <m/>
    <m/>
    <m/>
    <m/>
    <m/>
    <m/>
    <m/>
  </r>
  <r>
    <s v="do"/>
    <n v="8"/>
    <x v="2"/>
    <x v="0"/>
    <n v="9"/>
    <n v="0"/>
    <n v="17"/>
    <n v="0"/>
    <s v="V"/>
    <n v="8"/>
    <s v="DA"/>
    <x v="1"/>
    <s v="Nicolas van der Aa"/>
    <s v="TNL"/>
    <s v="VG25"/>
    <s v="DVE"/>
    <n v="1050"/>
    <s v="MT Vitesske "/>
    <s v="Gefactureerd"/>
    <m/>
    <m/>
    <m/>
    <m/>
    <m/>
    <m/>
    <m/>
  </r>
  <r>
    <s v="Vr"/>
    <n v="9"/>
    <x v="2"/>
    <x v="0"/>
    <n v="12"/>
    <n v="0"/>
    <n v="16"/>
    <n v="0"/>
    <s v="V"/>
    <n v="4"/>
    <s v="DD"/>
    <x v="3"/>
    <s v="Bert Verbeeck"/>
    <s v="TNL"/>
    <s v="HR2.0"/>
    <s v="DVE"/>
    <n v="575"/>
    <s v="HR 2.0 project meeting Lore Weets + diversen "/>
    <s v="Gefactureerd"/>
    <m/>
    <m/>
    <m/>
    <m/>
    <m/>
    <m/>
    <m/>
  </r>
  <r>
    <s v="ma"/>
    <s v="12"/>
    <x v="2"/>
    <x v="0"/>
    <n v="8"/>
    <n v="30"/>
    <n v="10"/>
    <n v="0"/>
    <s v="T"/>
    <n v="1.5"/>
    <s v="U"/>
    <x v="1"/>
    <s v="Nicolas van der Aa"/>
    <s v="TNL"/>
    <s v="VG25"/>
    <s v="DVE"/>
    <n v="187.5"/>
    <s v="Voorbereiding dossier advocaat (documenten,  vergaderveslagen, verduidelijken ontslag motivatie…)"/>
    <s v="Gefactureerd"/>
    <m/>
    <m/>
    <m/>
    <m/>
    <m/>
    <m/>
    <m/>
  </r>
  <r>
    <s v="ma"/>
    <s v="12"/>
    <x v="2"/>
    <x v="0"/>
    <n v="10"/>
    <n v="0"/>
    <n v="10"/>
    <n v="30"/>
    <s v="T"/>
    <n v="1"/>
    <s v="U"/>
    <x v="3"/>
    <s v="Bert Verbeeck"/>
    <s v="TNL"/>
    <s v="HR2.0"/>
    <s v="DVE"/>
    <n v="118.75"/>
    <s v="Samenvatting en afwerken voorstel Missie &amp; Visie (voorbereiding bespreking met LWE)"/>
    <s v="Gefactureerd"/>
    <m/>
    <m/>
    <m/>
    <m/>
    <m/>
    <m/>
    <m/>
  </r>
  <r>
    <s v="ma"/>
    <s v="12"/>
    <x v="2"/>
    <x v="0"/>
    <n v="10"/>
    <n v="30"/>
    <n v="11"/>
    <n v="30"/>
    <s v="T"/>
    <n v="1"/>
    <s v="U"/>
    <x v="8"/>
    <s v="Paul Robrechts "/>
    <s v="TNL"/>
    <m/>
    <s v="DVE"/>
    <n v="100"/>
    <s v="Dossier ISO 9001 Scope "/>
    <s v="Gefactureerd"/>
    <m/>
    <m/>
    <m/>
    <m/>
    <m/>
    <m/>
    <m/>
  </r>
  <r>
    <s v="di"/>
    <s v="13"/>
    <x v="2"/>
    <x v="0"/>
    <n v="8"/>
    <n v="30"/>
    <n v="12"/>
    <n v="30"/>
    <s v="V"/>
    <n v="4"/>
    <s v="DD"/>
    <x v="3"/>
    <s v="Bert Verbeeck"/>
    <s v="TNL"/>
    <s v="HR2.0"/>
    <s v="DVE"/>
    <n v="575"/>
    <s v="HR 2.0 project meeting Lore Weets + diversen "/>
    <s v="Gefactureerd"/>
    <m/>
    <m/>
    <m/>
    <m/>
    <m/>
    <m/>
    <m/>
  </r>
  <r>
    <s v="di"/>
    <s v="13"/>
    <x v="2"/>
    <x v="0"/>
    <n v="13"/>
    <n v="0"/>
    <n v="17"/>
    <n v="0"/>
    <s v="V"/>
    <n v="4"/>
    <s v="DD"/>
    <x v="1"/>
    <s v="Nicolas van der Aa"/>
    <s v="TNL"/>
    <s v="VG25"/>
    <s v="DVE"/>
    <n v="575"/>
    <s v="MT Vitesske "/>
    <s v="Gefactureerd"/>
    <m/>
    <m/>
    <m/>
    <m/>
    <m/>
    <m/>
    <m/>
  </r>
  <r>
    <s v="wo"/>
    <s v="14"/>
    <x v="2"/>
    <x v="0"/>
    <n v="9"/>
    <n v="0"/>
    <n v="17"/>
    <n v="0"/>
    <s v="V"/>
    <n v="8"/>
    <s v="DA"/>
    <x v="2"/>
    <s v="Kris Motmans "/>
    <s v="TNL"/>
    <s v="TNL"/>
    <s v="DVE"/>
    <n v="1000"/>
    <s v="Functiebeschrijvingen + diversen "/>
    <s v="Gefactureerd"/>
    <m/>
    <m/>
    <m/>
    <m/>
    <m/>
    <m/>
    <m/>
  </r>
  <r>
    <s v="wo"/>
    <s v="14"/>
    <x v="2"/>
    <x v="0"/>
    <n v="10"/>
    <n v="0"/>
    <n v="12"/>
    <n v="0"/>
    <s v="T"/>
    <n v="2"/>
    <s v="U"/>
    <x v="1"/>
    <s v="Nicolas van der Aa"/>
    <s v="TNL"/>
    <s v="TNL"/>
    <s v="IVT"/>
    <n v="237.5"/>
    <s v="bellen en opsturen subsidie; eindverslag Advies"/>
    <s v="Gefactureerd"/>
    <m/>
    <m/>
    <m/>
    <m/>
    <m/>
    <m/>
    <m/>
  </r>
  <r>
    <s v="do"/>
    <s v="15"/>
    <x v="2"/>
    <x v="0"/>
    <n v="8"/>
    <n v="30"/>
    <n v="10"/>
    <n v="0"/>
    <s v="T"/>
    <n v="1.5"/>
    <s v="U"/>
    <x v="8"/>
    <s v="Paul Robrechts "/>
    <s v="TNL"/>
    <m/>
    <s v="DVE"/>
    <n v="150"/>
    <s v="Voorbereiden transitie ISO 9001 Scope 2015 - Overzicht acties met Olivia (ISO 9001 voor scope +)"/>
    <s v="Gefactureerd"/>
    <m/>
    <m/>
    <m/>
    <m/>
    <m/>
    <m/>
    <m/>
  </r>
  <r>
    <s v="do"/>
    <s v="15"/>
    <x v="2"/>
    <x v="0"/>
    <n v="10"/>
    <n v="0"/>
    <n v="11"/>
    <n v="0"/>
    <s v="T"/>
    <n v="0.5"/>
    <s v="U"/>
    <x v="3"/>
    <s v="Bert Verbeeck"/>
    <s v="TNL"/>
    <s v="HR2.0"/>
    <s v="DVE"/>
    <n v="59.375"/>
    <s v="Verwerken notities missie visie + bekijken inpassen in HR beleid"/>
    <s v="Gefactureerd"/>
    <m/>
    <m/>
    <m/>
    <m/>
    <m/>
    <m/>
    <m/>
  </r>
  <r>
    <s v="do"/>
    <s v="15"/>
    <x v="2"/>
    <x v="0"/>
    <n v="14"/>
    <n v="0"/>
    <n v="16"/>
    <n v="30"/>
    <s v="T"/>
    <n v="2.5"/>
    <s v="U"/>
    <x v="2"/>
    <s v="Kris Motmans "/>
    <s v="TNL"/>
    <s v="TNL"/>
    <s v="DVE"/>
    <n v="312.5"/>
    <s v="Aanvullen verantwoordelijkheden en competenties nav van besproken functiebeschrijvigen QC coordinator, Verantw Admin en Verant. Boekhouding"/>
    <s v="Gefactureerd"/>
    <m/>
    <m/>
    <m/>
    <m/>
    <m/>
    <m/>
    <m/>
  </r>
  <r>
    <s v="Vr"/>
    <s v="16"/>
    <x v="2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19"/>
    <x v="2"/>
    <x v="0"/>
    <n v="8"/>
    <n v="30"/>
    <n v="14"/>
    <n v="30"/>
    <s v="T"/>
    <n v="6"/>
    <s v="U"/>
    <x v="2"/>
    <s v="Kris Motmans "/>
    <s v="TNL"/>
    <s v="TNL"/>
    <s v="DVE"/>
    <n v="750"/>
    <s v="Opmaken documenten voor functiebeschrijvingen (auto systeem )"/>
    <s v="Gefactureerd"/>
    <m/>
    <m/>
    <m/>
    <m/>
    <m/>
    <m/>
    <m/>
  </r>
  <r>
    <s v="di"/>
    <s v="20"/>
    <x v="2"/>
    <x v="0"/>
    <n v="8"/>
    <n v="30"/>
    <n v="12"/>
    <n v="30"/>
    <s v="V"/>
    <n v="4"/>
    <s v="DD"/>
    <x v="3"/>
    <s v="Bert Verbeeck"/>
    <s v="TNL"/>
    <s v="HR2.0"/>
    <s v="DVE"/>
    <n v="575"/>
    <s v="HR 2.0 project meeting Lore Weets + diversen "/>
    <s v="Gefactureerd"/>
    <m/>
    <m/>
    <m/>
    <m/>
    <m/>
    <m/>
    <m/>
  </r>
  <r>
    <s v="di"/>
    <s v="20"/>
    <x v="2"/>
    <x v="0"/>
    <n v="13"/>
    <n v="0"/>
    <n v="17"/>
    <n v="0"/>
    <s v="V"/>
    <n v="4"/>
    <s v="DD"/>
    <x v="1"/>
    <s v="Nicolas van der Aa"/>
    <s v="TNL"/>
    <s v="VG25"/>
    <s v="DVE"/>
    <n v="575"/>
    <s v="MT Vitesske "/>
    <s v="Gefactureerd"/>
    <m/>
    <m/>
    <m/>
    <m/>
    <m/>
    <m/>
    <m/>
  </r>
  <r>
    <s v="wo"/>
    <s v="21"/>
    <x v="2"/>
    <x v="0"/>
    <n v="9"/>
    <n v="0"/>
    <n v="17"/>
    <n v="0"/>
    <s v="V"/>
    <n v="8"/>
    <s v="DA"/>
    <x v="2"/>
    <s v="Kris Motmans "/>
    <s v="TNL"/>
    <s v="TNL"/>
    <s v="DVE"/>
    <n v="1000"/>
    <s v="Functiebeschrijvingen + diversen "/>
    <s v="Gefactureerd"/>
    <m/>
    <m/>
    <m/>
    <m/>
    <m/>
    <m/>
    <m/>
  </r>
  <r>
    <s v="do"/>
    <s v="22"/>
    <x v="2"/>
    <x v="0"/>
    <n v="13"/>
    <n v="0"/>
    <n v="17"/>
    <n v="0"/>
    <s v="V"/>
    <n v="4"/>
    <s v="DD"/>
    <x v="8"/>
    <s v="Paul Robrechts "/>
    <s v="P16/015"/>
    <s v="SEC 2.0"/>
    <s v="DVE"/>
    <n v="400"/>
    <s v="Bespreking projectsturctuur SIBELGA PARO/DVE/CHTH/JEHO"/>
    <s v="Gefactureerd"/>
    <m/>
    <m/>
    <m/>
    <m/>
    <m/>
    <m/>
    <m/>
  </r>
  <r>
    <s v="Vr"/>
    <s v="23"/>
    <x v="2"/>
    <x v="0"/>
    <n v="8"/>
    <n v="30"/>
    <n v="12"/>
    <n v="30"/>
    <s v="V"/>
    <n v="4"/>
    <s v="DD"/>
    <x v="3"/>
    <s v="Bert Verbeeck"/>
    <s v="TNL"/>
    <s v="HR2.0"/>
    <s v="DVE"/>
    <n v="575"/>
    <s v="PMO bespreking met Nick Govaert "/>
    <s v="Gefactureerd"/>
    <m/>
    <m/>
    <m/>
    <m/>
    <m/>
    <m/>
    <m/>
  </r>
  <r>
    <s v="ma"/>
    <s v="26"/>
    <x v="2"/>
    <x v="0"/>
    <n v="13"/>
    <n v="0"/>
    <n v="15"/>
    <n v="0"/>
    <s v="T"/>
    <n v="2"/>
    <s v="U"/>
    <x v="8"/>
    <s v="Paul Robrechts "/>
    <s v="P16/015"/>
    <s v="SEC 2.0"/>
    <s v="DVE"/>
    <n v="200"/>
    <s v="Diversen oplossing projecstructuur Sibelga "/>
    <s v="Gefactureerd"/>
    <m/>
    <m/>
    <m/>
    <m/>
    <m/>
    <m/>
    <m/>
  </r>
  <r>
    <s v="di"/>
    <s v="27"/>
    <x v="2"/>
    <x v="0"/>
    <n v="8"/>
    <n v="30"/>
    <n v="16"/>
    <n v="0"/>
    <s v="V"/>
    <n v="7.5"/>
    <s v="U"/>
    <x v="3"/>
    <s v="Bert Verbeeck"/>
    <s v="TNL"/>
    <s v="HR2.0"/>
    <s v="DVE"/>
    <n v="890.625"/>
    <s v="Functiebeschrijvingen Erie on site + ingave functie beschrijving Waarden en GM + opzetten systeem "/>
    <s v="Gefactureerd"/>
    <m/>
    <m/>
    <m/>
    <m/>
    <m/>
    <m/>
    <m/>
  </r>
  <r>
    <s v="wo"/>
    <s v="28"/>
    <x v="2"/>
    <x v="0"/>
    <n v="13"/>
    <n v="0"/>
    <n v="18"/>
    <n v="0"/>
    <s v="V"/>
    <n v="4"/>
    <s v="DD"/>
    <x v="2"/>
    <s v="Kris Motmans "/>
    <s v="TNL"/>
    <s v="TNL"/>
    <s v="DVE"/>
    <n v="600"/>
    <s v="Voorbereiding en uitvoering Missie Visie waarden + competenties Verantwoordelijke administratie "/>
    <s v="Gefactureerd"/>
    <m/>
    <m/>
    <m/>
    <m/>
    <m/>
    <m/>
    <m/>
  </r>
  <r>
    <s v="do"/>
    <s v="29"/>
    <x v="2"/>
    <x v="0"/>
    <n v="9"/>
    <n v="0"/>
    <n v="10"/>
    <n v="30"/>
    <s v="T"/>
    <n v="1"/>
    <s v="U"/>
    <x v="2"/>
    <s v="Kris Motmans "/>
    <s v="TNL"/>
    <s v="TNL"/>
    <s v="DVE"/>
    <n v="125"/>
    <s v="Voorbereiding uitschrijven waarden DVE/IVT - ingave competenties  Verantwoordelijke Administratie "/>
    <s v="Gefactureerd"/>
    <m/>
    <m/>
    <m/>
    <m/>
    <m/>
    <m/>
    <m/>
  </r>
  <r>
    <s v="do"/>
    <s v="29"/>
    <x v="2"/>
    <x v="0"/>
    <n v="10"/>
    <n v="0"/>
    <n v="11"/>
    <n v="0"/>
    <s v="T"/>
    <n v="1"/>
    <s v="U"/>
    <x v="2"/>
    <s v="Kris Motmans "/>
    <s v="TNL"/>
    <s v="TNL"/>
    <s v="IVT"/>
    <n v="125"/>
    <s v="waarden uitschrijven "/>
    <s v="Gefactureerd"/>
    <m/>
    <m/>
    <m/>
    <m/>
    <m/>
    <m/>
    <m/>
  </r>
  <r>
    <s v="do"/>
    <s v="29"/>
    <x v="2"/>
    <x v="0"/>
    <n v="10"/>
    <n v="30"/>
    <n v="11"/>
    <n v="30"/>
    <s v="T"/>
    <n v="1"/>
    <s v="U"/>
    <x v="3"/>
    <s v="Bert Verbeeck"/>
    <s v="TNL"/>
    <s v="HR2.0"/>
    <s v="DVE"/>
    <n v="118.75"/>
    <s v="Functiebeschrijvingen Erie administreren FB Supply Chain Emp - Purch lead"/>
    <s v="Gefactureerd"/>
    <m/>
    <m/>
    <m/>
    <m/>
    <m/>
    <m/>
    <m/>
  </r>
  <r>
    <s v="do"/>
    <s v="29"/>
    <x v="2"/>
    <x v="0"/>
    <n v="13"/>
    <n v="0"/>
    <n v="18"/>
    <n v="0"/>
    <s v="V"/>
    <n v="4"/>
    <s v="DD"/>
    <x v="2"/>
    <s v="Kris Motmans "/>
    <s v="TNL"/>
    <s v="TNL"/>
    <s v="DVE"/>
    <n v="600"/>
    <s v="Functiebeschrijvingen operations ALI/DVE + 2 functiebeschrijvingen Operator/ print"/>
    <s v="Gefactureerd"/>
    <m/>
    <m/>
    <m/>
    <m/>
    <m/>
    <m/>
    <m/>
  </r>
  <r>
    <s v="Vr"/>
    <s v="30"/>
    <x v="2"/>
    <x v="0"/>
    <n v="9"/>
    <n v="0"/>
    <n v="13"/>
    <n v="0"/>
    <s v="V"/>
    <n v="4"/>
    <s v="DD"/>
    <x v="1"/>
    <s v="Nicolas van der Aa"/>
    <s v="TNL"/>
    <s v="VG25"/>
    <s v="DVE"/>
    <n v="575"/>
    <s v="RvA Vitesske "/>
    <s v="Gefactureerd"/>
    <m/>
    <m/>
    <m/>
    <m/>
    <m/>
    <m/>
    <m/>
  </r>
  <r>
    <s v="za"/>
    <s v="31"/>
    <x v="2"/>
    <x v="0"/>
    <m/>
    <m/>
    <m/>
    <m/>
    <s v="V"/>
    <m/>
    <m/>
    <x v="1"/>
    <s v="Nicolas van der Aa"/>
    <s v="TNL"/>
    <s v="VG25"/>
    <s v="MCO"/>
    <n v="16500"/>
    <s v="22 dagen  MCO"/>
    <s v="Gefactureerd"/>
    <m/>
    <m/>
    <m/>
    <m/>
    <m/>
    <m/>
    <m/>
  </r>
  <r>
    <s v="ma"/>
    <n v="2"/>
    <x v="3"/>
    <x v="0"/>
    <n v="8"/>
    <n v="0"/>
    <n v="11"/>
    <n v="0"/>
    <s v="T"/>
    <n v="3"/>
    <s v="U"/>
    <x v="3"/>
    <s v="Nick Govaert "/>
    <s v="TNL"/>
    <s v="PMO @ erie"/>
    <s v="DVE"/>
    <n v="356.25"/>
    <s v="Opzetten PMO @ Erie - concept en methodiek - opvolging projecten - aanmaken Project Summary"/>
    <s v="Gefactureerd"/>
    <m/>
    <m/>
    <m/>
    <m/>
    <m/>
    <m/>
    <m/>
  </r>
  <r>
    <s v="ma"/>
    <n v="2"/>
    <x v="3"/>
    <x v="0"/>
    <n v="11"/>
    <n v="0"/>
    <n v="14"/>
    <n v="0"/>
    <s v="T"/>
    <n v="3"/>
    <s v="U"/>
    <x v="3"/>
    <s v="Bert Verbeeck"/>
    <s v="TNL"/>
    <s v="HR2.0"/>
    <s v="DVE"/>
    <n v="356.25"/>
    <s v="Overzetten functiebeschrijvingen (reeds bestaande) + opzoeken competenties + alligneren verantwoordelijkheden en meetbare doelstellingen "/>
    <s v="Gefactureerd"/>
    <m/>
    <m/>
    <m/>
    <m/>
    <m/>
    <m/>
    <m/>
  </r>
  <r>
    <s v="ma"/>
    <n v="2"/>
    <x v="3"/>
    <x v="0"/>
    <n v="14"/>
    <n v="0"/>
    <n v="15"/>
    <n v="0"/>
    <s v="T"/>
    <n v="1"/>
    <s v="U"/>
    <x v="2"/>
    <s v="Kris Motmans "/>
    <s v="TNL"/>
    <s v="TNL"/>
    <s v="DVE"/>
    <n v="125"/>
    <s v="Aanvullen opgemaakte functiebeschrijvingen Prod empl I, II en III +  waarden integreren en doorsturen + correct zetten overzicht functie beschrijvingen "/>
    <s v="Gefactureerd"/>
    <m/>
    <m/>
    <m/>
    <m/>
    <m/>
    <m/>
    <m/>
  </r>
  <r>
    <s v="ma"/>
    <n v="2"/>
    <x v="3"/>
    <x v="0"/>
    <n v="15"/>
    <n v="30"/>
    <n v="16"/>
    <n v="30"/>
    <s v="T"/>
    <n v="1"/>
    <s v="U"/>
    <x v="3"/>
    <s v="Bert Verbeeck"/>
    <s v="TNL"/>
    <s v="HR2.0"/>
    <s v="DVE"/>
    <n v="118.75"/>
    <s v="Overzetten manuele files naar automatische template "/>
    <s v="Gefactureerd"/>
    <m/>
    <m/>
    <m/>
    <m/>
    <m/>
    <m/>
    <m/>
  </r>
  <r>
    <s v="di"/>
    <n v="3"/>
    <x v="3"/>
    <x v="0"/>
    <n v="8"/>
    <n v="30"/>
    <n v="12"/>
    <n v="30"/>
    <s v="V"/>
    <n v="4"/>
    <s v="DD"/>
    <x v="3"/>
    <s v="Bert Verbeeck"/>
    <s v="TNL"/>
    <s v="HR2.0"/>
    <s v="DVE"/>
    <n v="575"/>
    <s v="Vervolledigen tabel functiebeschrijvingen (new model)"/>
    <s v="Gefactureerd"/>
    <m/>
    <m/>
    <m/>
    <m/>
    <m/>
    <m/>
    <m/>
  </r>
  <r>
    <s v="di"/>
    <n v="3"/>
    <x v="3"/>
    <x v="0"/>
    <n v="14"/>
    <n v="0"/>
    <n v="18"/>
    <n v="0"/>
    <s v="V"/>
    <n v="4"/>
    <s v="DD"/>
    <x v="1"/>
    <s v="Nicolas van der Aa"/>
    <s v="TNL"/>
    <s v="VG25"/>
    <s v="DVE"/>
    <n v="575"/>
    <s v="MT + gesprek OHA + voorbereiden strategische keuzes volgende maanden. "/>
    <s v="Gefactureerd"/>
    <m/>
    <m/>
    <m/>
    <m/>
    <m/>
    <m/>
    <m/>
  </r>
  <r>
    <s v="wo"/>
    <n v="4"/>
    <x v="3"/>
    <x v="0"/>
    <n v="9"/>
    <n v="0"/>
    <n v="12"/>
    <n v="0"/>
    <s v="V"/>
    <n v="4"/>
    <s v="DD"/>
    <x v="2"/>
    <s v="Kris Motmans "/>
    <s v="TNL"/>
    <s v="TNL"/>
    <s v="DVE"/>
    <n v="600"/>
    <s v="Opmaken functiebeschrijvingen LF/Poetsman, Warehouse operator met Nicky, Marc en (deels Laure) + ingeven thuis van de verzamelde informatie (verantwoordelijkheden en competenties)(2uur)"/>
    <s v="Gefactureerd"/>
    <m/>
    <m/>
    <m/>
    <m/>
    <m/>
    <m/>
    <m/>
  </r>
  <r>
    <s v="wo"/>
    <n v="4"/>
    <x v="3"/>
    <x v="0"/>
    <n v="16"/>
    <n v="0"/>
    <n v="18"/>
    <n v="30"/>
    <s v="T"/>
    <n v="2.5"/>
    <s v="U"/>
    <x v="3"/>
    <s v="Nick Govaert "/>
    <s v="TNL"/>
    <s v="PMO @ erie"/>
    <s v="DVE"/>
    <n v="296.875"/>
    <s v="Opzetten concept PMO @ Erie opvolging projecten voor Erie (voorbereiding meeting vrijdag)"/>
    <s v="Gefactureerd"/>
    <m/>
    <m/>
    <m/>
    <m/>
    <m/>
    <m/>
    <m/>
  </r>
  <r>
    <s v="do"/>
    <n v="5"/>
    <x v="3"/>
    <x v="0"/>
    <n v="9"/>
    <n v="0"/>
    <n v="12"/>
    <n v="30"/>
    <s v="V"/>
    <n v="3.5"/>
    <s v="U"/>
    <x v="8"/>
    <s v="Paul Robrechts "/>
    <s v="TNL"/>
    <s v="TNL"/>
    <s v="DVE"/>
    <n v="350"/>
    <s v="Bespreking Olivia &amp; Kathleen"/>
    <s v="Gefactureerd"/>
    <m/>
    <m/>
    <m/>
    <m/>
    <m/>
    <m/>
    <m/>
  </r>
  <r>
    <s v="do"/>
    <n v="5"/>
    <x v="3"/>
    <x v="0"/>
    <n v="12"/>
    <n v="30"/>
    <n v="17"/>
    <n v="0"/>
    <s v="V"/>
    <n v="4.5"/>
    <s v="U"/>
    <x v="8"/>
    <s v="Paul Robrechts "/>
    <s v="P16/015"/>
    <s v="SEC 2.0"/>
    <s v="DVE"/>
    <n v="450"/>
    <s v="Bespreking  CHTH en DVE introductie Wilfried Frensch"/>
    <s v="Gefactureerd"/>
    <m/>
    <m/>
    <m/>
    <m/>
    <m/>
    <m/>
    <m/>
  </r>
  <r>
    <s v="Vr"/>
    <n v="6"/>
    <x v="3"/>
    <x v="0"/>
    <n v="8"/>
    <n v="0"/>
    <n v="11"/>
    <n v="0"/>
    <s v="V"/>
    <n v="3"/>
    <s v="U"/>
    <x v="3"/>
    <s v="Nick Govaert "/>
    <s v="TNL"/>
    <s v="PMO @ erie"/>
    <s v="DVE"/>
    <n v="575"/>
    <s v="PMO bespreking met Nick Govaert + projectleiders overlopen projecten "/>
    <s v="Gefactureerd"/>
    <m/>
    <m/>
    <m/>
    <m/>
    <m/>
    <m/>
    <m/>
  </r>
  <r>
    <s v="za "/>
    <n v="7"/>
    <x v="3"/>
    <x v="0"/>
    <n v="9"/>
    <n v="0"/>
    <n v="12"/>
    <n v="0"/>
    <s v="T"/>
    <n v="2"/>
    <s v="U"/>
    <x v="2"/>
    <s v="Kris Motmans "/>
    <s v="TNL"/>
    <s v="TNL"/>
    <s v="DVE"/>
    <n v="250"/>
    <s v="Ingave  functiebeschrijvingen LF/Poetsman, Warehouse operator (zie meeting wo 4/4)"/>
    <s v="Gefactureerd"/>
    <m/>
    <m/>
    <m/>
    <m/>
    <m/>
    <m/>
    <m/>
  </r>
  <r>
    <s v="ma"/>
    <n v="9"/>
    <x v="3"/>
    <x v="0"/>
    <n v="13"/>
    <n v="0"/>
    <n v="17"/>
    <n v="0"/>
    <s v="T"/>
    <n v="4"/>
    <s v="DD"/>
    <x v="1"/>
    <s v="Nicolas van der Aa"/>
    <s v="TNL"/>
    <s v="VG25"/>
    <s v="DVE"/>
    <n v="575"/>
    <s v="Herberekenen en aanpassen Budget 2018 en rapportering verschillen (locatie CHE)"/>
    <s v="Gefactureerd"/>
    <m/>
    <m/>
    <m/>
    <m/>
    <m/>
    <m/>
    <m/>
  </r>
  <r>
    <s v="di"/>
    <s v="10"/>
    <x v="3"/>
    <x v="0"/>
    <n v="8"/>
    <n v="30"/>
    <n v="12"/>
    <n v="30"/>
    <s v="V"/>
    <n v="4"/>
    <s v="DD"/>
    <x v="3"/>
    <s v="Bert Verbeeck"/>
    <s v="TNL"/>
    <s v="HR2.0"/>
    <s v="DVE"/>
    <n v="575"/>
    <s v="Bespreking Lore functiebeschrijvingen en opmaak van Project Summaries HR projecten "/>
    <s v="Gefactureerd"/>
    <m/>
    <m/>
    <m/>
    <m/>
    <m/>
    <m/>
    <m/>
  </r>
  <r>
    <s v="di"/>
    <s v="10"/>
    <x v="3"/>
    <x v="0"/>
    <n v="15"/>
    <n v="0"/>
    <n v="18"/>
    <n v="0"/>
    <s v="T"/>
    <n v="2"/>
    <s v="U"/>
    <x v="3"/>
    <s v="Bert Verbeeck"/>
    <s v="TNL"/>
    <s v="HR2.0"/>
    <s v="DVE"/>
    <n v="237.5"/>
    <s v="Vervolledigen verantwoordelijkheden + klaarzetten tabel 450 verantwoordelijkheden ter vervollediging- voorbereiding vergadering 19/4 + doorsturen aanvullingen voor GM"/>
    <s v="Gefactureerd"/>
    <m/>
    <m/>
    <m/>
    <m/>
    <m/>
    <m/>
    <m/>
  </r>
  <r>
    <s v="wo"/>
    <s v="11"/>
    <x v="3"/>
    <x v="0"/>
    <n v="10"/>
    <n v="0"/>
    <n v="16"/>
    <n v="0"/>
    <s v="T"/>
    <n v="4"/>
    <s v="U"/>
    <x v="3"/>
    <s v="Nick Govaert "/>
    <s v="TNL"/>
    <s v="PMO @ erie"/>
    <s v="DVE"/>
    <n v="475"/>
    <s v="Omzetten van oude projectaanvragen naar nieuwe template - voorbereiding bespreking Project summaries met betrokken Pl's -  inplannen afspraken projectaanvragen met de betrokken projectleiders "/>
    <s v="Gefactureerd"/>
    <m/>
    <m/>
    <m/>
    <m/>
    <m/>
    <m/>
    <m/>
  </r>
  <r>
    <s v="do"/>
    <s v="12"/>
    <x v="3"/>
    <x v="0"/>
    <n v="9"/>
    <n v="0"/>
    <n v="10"/>
    <n v="30"/>
    <s v="T"/>
    <n v="2"/>
    <s v="U"/>
    <x v="3"/>
    <s v="Nick Govaert "/>
    <s v="TNL"/>
    <s v="PMO @ erie"/>
    <s v="DVE"/>
    <n v="237.5"/>
    <s v="Aanmaken projectsummary &quot;2018-001 PMO @ Erie &quot;"/>
    <s v="Gefactureerd"/>
    <m/>
    <m/>
    <m/>
    <m/>
    <m/>
    <m/>
    <m/>
  </r>
  <r>
    <s v="do"/>
    <s v="12"/>
    <x v="3"/>
    <x v="0"/>
    <n v="11"/>
    <n v="0"/>
    <n v="13"/>
    <n v="0"/>
    <s v="V"/>
    <n v="2"/>
    <s v="U"/>
    <x v="3"/>
    <s v="Nick Govaert "/>
    <s v="TNL"/>
    <s v="PMO @ erie"/>
    <s v="DVE"/>
    <n v="237.5"/>
    <s v="Inplannen PMO - afspreken en starten met overlopen projectaanvragen "/>
    <s v="Gefactureerd"/>
    <m/>
    <m/>
    <m/>
    <m/>
    <m/>
    <m/>
    <m/>
  </r>
  <r>
    <s v="do"/>
    <s v="12"/>
    <x v="3"/>
    <x v="0"/>
    <n v="14"/>
    <n v="30"/>
    <n v="17"/>
    <n v="30"/>
    <s v="V"/>
    <n v="3"/>
    <s v="U"/>
    <x v="8"/>
    <s v="Paul Robrechts "/>
    <s v="P16/015"/>
    <s v="SEC 2.0"/>
    <s v="DVE"/>
    <n v="300"/>
    <s v="Bespreking  CHTH/DVE/JWFR"/>
    <s v="Gefactureerd"/>
    <m/>
    <m/>
    <m/>
    <m/>
    <m/>
    <m/>
    <m/>
  </r>
  <r>
    <s v="Vr"/>
    <s v="13"/>
    <x v="3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16"/>
    <x v="3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17"/>
    <x v="3"/>
    <x v="0"/>
    <n v="8"/>
    <n v="0"/>
    <n v="12"/>
    <n v="0"/>
    <s v="T"/>
    <n v="4"/>
    <s v="U"/>
    <x v="3"/>
    <s v="Bert Verbeeck"/>
    <s v="TNL"/>
    <s v="HR2.0"/>
    <s v="DVE"/>
    <n v="475"/>
    <s v="Aanmaken proces 'organiseren van functioneringsgesprekken- opmaken template functiebeschrijvingen - aanvullen van FB (zie mail LWE 16/04)"/>
    <s v="Gefactureerd"/>
    <m/>
    <m/>
    <m/>
    <m/>
    <m/>
    <m/>
    <m/>
  </r>
  <r>
    <s v="di"/>
    <s v="17"/>
    <x v="3"/>
    <x v="0"/>
    <n v="13"/>
    <n v="30"/>
    <n v="17"/>
    <n v="30"/>
    <s v="V"/>
    <n v="4"/>
    <s v="DD"/>
    <x v="1"/>
    <s v="Nicolas van der Aa"/>
    <s v="TNL"/>
    <s v="VG25"/>
    <s v="DVE"/>
    <n v="575"/>
    <s v="MT vitesske "/>
    <s v="Gefactureerd"/>
    <m/>
    <m/>
    <m/>
    <m/>
    <m/>
    <m/>
    <m/>
  </r>
  <r>
    <s v="wo"/>
    <s v="18"/>
    <x v="3"/>
    <x v="0"/>
    <n v="8"/>
    <n v="0"/>
    <n v="12"/>
    <n v="0"/>
    <s v="V"/>
    <n v="4"/>
    <s v="U"/>
    <x v="3"/>
    <s v="Nick Govaert "/>
    <s v="TNL"/>
    <s v="PMO @ erie"/>
    <s v="DVE"/>
    <n v="475"/>
    <s v="Opmaken project summaries Dieter en Michiel "/>
    <s v="Gefactureerd"/>
    <m/>
    <m/>
    <m/>
    <m/>
    <m/>
    <m/>
    <m/>
  </r>
  <r>
    <s v="wo"/>
    <s v="18"/>
    <x v="3"/>
    <x v="0"/>
    <n v="12"/>
    <n v="0"/>
    <n v="13"/>
    <n v="0"/>
    <s v="V"/>
    <n v="1"/>
    <s v="U"/>
    <x v="3"/>
    <s v="Nick Govaert "/>
    <s v="TNL"/>
    <s v="PMO @ erie"/>
    <s v="DVE"/>
    <n v="118.75"/>
    <s v="MT mbt heraanwerving Bjorn Verschaeve"/>
    <s v="Gefactureerd"/>
    <m/>
    <m/>
    <m/>
    <m/>
    <m/>
    <m/>
    <m/>
  </r>
  <r>
    <s v="do"/>
    <s v="19"/>
    <x v="3"/>
    <x v="0"/>
    <n v="8"/>
    <n v="0"/>
    <n v="12"/>
    <n v="0"/>
    <s v="V"/>
    <n v="4"/>
    <s v="U"/>
    <x v="3"/>
    <s v="Nick Govaert "/>
    <s v="TNL"/>
    <s v="PMO @ erie"/>
    <s v="DVE"/>
    <n v="475"/>
    <s v="Opmaken project Summaries Tim &amp; David "/>
    <s v="Gefactureerd"/>
    <m/>
    <m/>
    <m/>
    <m/>
    <m/>
    <m/>
    <m/>
  </r>
  <r>
    <s v="do"/>
    <s v="19"/>
    <x v="3"/>
    <x v="0"/>
    <n v="13"/>
    <n v="0"/>
    <n v="17"/>
    <n v="0"/>
    <s v="V"/>
    <n v="4"/>
    <s v="U"/>
    <x v="3"/>
    <s v="Nick Govaert "/>
    <s v="TNL"/>
    <s v="HR2.0"/>
    <s v="DVE"/>
    <n v="475"/>
    <s v="Voorstelling functiebeschrijvingen en functioneringsgesprekken aan uitgebreid MT + bespreking HR -issues LWE"/>
    <s v="Gefactureerd"/>
    <m/>
    <m/>
    <m/>
    <m/>
    <m/>
    <m/>
    <m/>
  </r>
  <r>
    <s v="Vr"/>
    <s v="20"/>
    <x v="3"/>
    <x v="0"/>
    <m/>
    <m/>
    <m/>
    <m/>
    <s v="T"/>
    <n v="8"/>
    <m/>
    <x v="0"/>
    <s v="Dirk Vander Eyken"/>
    <s v="Verlof"/>
    <m/>
    <s v="DVE"/>
    <m/>
    <m/>
    <s v="Gepresteerd "/>
    <m/>
    <m/>
    <m/>
    <m/>
    <m/>
    <m/>
    <m/>
  </r>
  <r>
    <s v="ma"/>
    <s v="23"/>
    <x v="3"/>
    <x v="0"/>
    <n v="15"/>
    <n v="0"/>
    <n v="19"/>
    <n v="0"/>
    <s v="V"/>
    <n v="4"/>
    <s v="DD"/>
    <x v="1"/>
    <s v="Nicolas van der Aa"/>
    <s v="TNL"/>
    <s v="VG25"/>
    <s v="DVE"/>
    <n v="575"/>
    <s v="Strategische bespreing organisatie Vitesske Group "/>
    <s v="Gefactureerd"/>
    <m/>
    <m/>
    <m/>
    <m/>
    <m/>
    <m/>
    <m/>
  </r>
  <r>
    <s v="di"/>
    <s v="24"/>
    <x v="3"/>
    <x v="0"/>
    <n v="8"/>
    <n v="0"/>
    <n v="12"/>
    <n v="0"/>
    <s v="V"/>
    <n v="4"/>
    <s v="DD"/>
    <x v="2"/>
    <s v="Kris Motmans "/>
    <s v="TNL"/>
    <s v="TNL"/>
    <s v="DVE"/>
    <n v="600"/>
    <s v="FB Viktor/QC en QC mgr Neerland "/>
    <s v="Gefactureerd"/>
    <m/>
    <m/>
    <m/>
    <m/>
    <m/>
    <m/>
    <m/>
  </r>
  <r>
    <s v="di"/>
    <s v="24"/>
    <x v="3"/>
    <x v="0"/>
    <n v="13"/>
    <n v="0"/>
    <n v="17"/>
    <n v="0"/>
    <s v="V"/>
    <n v="4"/>
    <s v="DD"/>
    <x v="3"/>
    <s v="Nick Govaert "/>
    <s v="TNL"/>
    <s v="PMO @ erie"/>
    <s v="DVE"/>
    <n v="575"/>
    <s v="Voorbereiding presentatie loonbeleid en excel met ranges en categoriën invullen Erie gegevens "/>
    <s v="Gefactureerd"/>
    <m/>
    <m/>
    <m/>
    <m/>
    <m/>
    <m/>
    <m/>
  </r>
  <r>
    <s v="wo"/>
    <s v="25"/>
    <x v="3"/>
    <x v="0"/>
    <n v="9"/>
    <n v="0"/>
    <n v="14"/>
    <n v="0"/>
    <s v="V"/>
    <n v="6"/>
    <s v="U"/>
    <x v="1"/>
    <s v="Nicolas van der Aa"/>
    <s v="TNL"/>
    <s v="VG25"/>
    <s v="DVE"/>
    <n v="787.5"/>
    <s v="MT DVE/BSC/MCO/CHE + verslag meeting "/>
    <s v="Gefactureerd"/>
    <m/>
    <m/>
    <m/>
    <m/>
    <m/>
    <m/>
    <m/>
  </r>
  <r>
    <s v="wo"/>
    <s v="25"/>
    <x v="3"/>
    <x v="0"/>
    <n v="17"/>
    <n v="0"/>
    <n v="22"/>
    <n v="0"/>
    <s v="V"/>
    <n v="4"/>
    <s v="U"/>
    <x v="0"/>
    <s v="Dirk Vander Eyken"/>
    <s v="Verlof"/>
    <m/>
    <s v="DVE"/>
    <m/>
    <s v="Strategische keuze aansturing bedrijf gratis voor ENDO Cédric Daems "/>
    <s v="Gefactureerd"/>
    <m/>
    <m/>
    <m/>
    <m/>
    <m/>
    <m/>
    <m/>
  </r>
  <r>
    <s v="do"/>
    <s v="26"/>
    <x v="3"/>
    <x v="0"/>
    <n v="9"/>
    <n v="0"/>
    <n v="13"/>
    <n v="0"/>
    <s v="V"/>
    <n v="4"/>
    <s v="DD"/>
    <x v="8"/>
    <s v="Paul Robrechts "/>
    <s v="TNL"/>
    <s v="TNL"/>
    <s v="DVE"/>
    <n v="400"/>
    <s v="ISO 9001 gesprek met Ann Mievis/Olivia"/>
    <s v="Gefactureerd"/>
    <m/>
    <m/>
    <m/>
    <m/>
    <m/>
    <m/>
    <m/>
  </r>
  <r>
    <s v="do"/>
    <s v="26"/>
    <x v="3"/>
    <x v="0"/>
    <n v="12"/>
    <n v="30"/>
    <n v="17"/>
    <n v="0"/>
    <s v="V"/>
    <n v="4"/>
    <s v="DD"/>
    <x v="3"/>
    <s v="Nick Govaert "/>
    <s v="TNL"/>
    <s v="PMO @ erie"/>
    <s v="DVE"/>
    <n v="575"/>
    <s v="PMO: overlopen projecten van Bert Verbeeck + diversen loonbeleid …"/>
    <s v="Gefactureerd"/>
    <m/>
    <m/>
    <m/>
    <m/>
    <m/>
    <m/>
    <m/>
  </r>
  <r>
    <s v="Vr"/>
    <s v="27"/>
    <x v="3"/>
    <x v="0"/>
    <n v="9"/>
    <n v="0"/>
    <n v="15"/>
    <n v="0"/>
    <s v="V"/>
    <n v="6"/>
    <s v="U"/>
    <x v="3"/>
    <s v="Nick Govaert "/>
    <s v="TNL"/>
    <s v="PMO @ erie"/>
    <s v="DVE"/>
    <n v="712.5"/>
    <s v="Project Summaries &gt;+ RGA's NGO + Loonbeleid voorstellen aan MT"/>
    <s v="Gefactureerd"/>
    <m/>
    <m/>
    <m/>
    <m/>
    <m/>
    <m/>
    <m/>
  </r>
  <r>
    <s v="zo"/>
    <s v="29"/>
    <x v="3"/>
    <x v="0"/>
    <n v="1"/>
    <n v="0"/>
    <n v="23"/>
    <n v="0"/>
    <s v="T"/>
    <n v="22"/>
    <s v="U"/>
    <x v="3"/>
    <s v="Nick Govaert "/>
    <s v="TNL"/>
    <s v="PMO @ erie"/>
    <s v="DVE"/>
    <n v="1100"/>
    <s v="Ontwikkeling PMO + Tool functiebeschrijvingen (totaal ontwikkeling 66 u verdeeld over drie klanten )"/>
    <s v="Gefactureerd"/>
    <m/>
    <m/>
    <m/>
    <m/>
    <m/>
    <m/>
    <m/>
  </r>
  <r>
    <s v="zo"/>
    <s v="29"/>
    <x v="3"/>
    <x v="0"/>
    <n v="1"/>
    <n v="0"/>
    <n v="14"/>
    <n v="0"/>
    <s v="T"/>
    <n v="13"/>
    <s v="U"/>
    <x v="2"/>
    <s v="Kris Motmans "/>
    <s v="TNL"/>
    <s v="TNL"/>
    <s v="DVE"/>
    <n v="650"/>
    <s v="Ontwikkeling Tool functiebeschrijvingen (totaal ontwikkeling 39 u verdeeld over drie klanten )"/>
    <s v="Gefactureerd"/>
    <m/>
    <m/>
    <m/>
    <m/>
    <m/>
    <m/>
    <m/>
  </r>
  <r>
    <s v="ma"/>
    <s v="30"/>
    <x v="3"/>
    <x v="0"/>
    <n v="13"/>
    <n v="0"/>
    <n v="17"/>
    <n v="0"/>
    <s v="V"/>
    <n v="4"/>
    <s v="DD"/>
    <x v="3"/>
    <s v="Bert Verbeeck"/>
    <s v="TNL"/>
    <s v="HR2.0"/>
    <s v="DVE"/>
    <n v="475"/>
    <s v="HR 2.0 met LWE/DVE"/>
    <s v="Gefactureerd"/>
    <m/>
    <m/>
    <m/>
    <m/>
    <m/>
    <m/>
    <m/>
  </r>
  <r>
    <s v="ma"/>
    <s v="30"/>
    <x v="3"/>
    <x v="0"/>
    <m/>
    <m/>
    <m/>
    <m/>
    <s v="V"/>
    <m/>
    <m/>
    <x v="1"/>
    <s v="Nicolas van der Aa"/>
    <s v="TNL"/>
    <s v="VG25"/>
    <s v="MCO"/>
    <n v="11250"/>
    <s v="15 dagen  MCO"/>
    <s v="Gefactureerd"/>
    <m/>
    <m/>
    <m/>
    <m/>
    <m/>
    <m/>
    <m/>
  </r>
  <r>
    <s v="di"/>
    <n v="1"/>
    <x v="4"/>
    <x v="0"/>
    <n v="9"/>
    <n v="0"/>
    <n v="13"/>
    <n v="0"/>
    <s v="V"/>
    <n v="4"/>
    <s v="U"/>
    <x v="0"/>
    <s v="Dirk Vander Eyken"/>
    <s v="Verlof"/>
    <m/>
    <s v="DVE"/>
    <n v="0"/>
    <s v="Bespreking strategisch plan CDA/DVE Endo Porjects ENDO Cédric Daems "/>
    <s v="Gefactureerd"/>
    <m/>
    <m/>
    <m/>
    <m/>
    <m/>
    <m/>
    <m/>
  </r>
  <r>
    <s v="di"/>
    <n v="1"/>
    <x v="4"/>
    <x v="0"/>
    <n v="13"/>
    <n v="0"/>
    <n v="17"/>
    <n v="0"/>
    <s v="V"/>
    <n v="4"/>
    <s v="DD"/>
    <x v="1"/>
    <s v="Nicolas van der Aa"/>
    <s v="TNL"/>
    <s v="VG25"/>
    <s v="DVE"/>
    <n v="575"/>
    <s v="Berekening en update budget Bij CHE met DVE/CHE"/>
    <s v="Gefactureerd"/>
    <m/>
    <m/>
    <m/>
    <m/>
    <m/>
    <m/>
    <m/>
  </r>
  <r>
    <s v="wo"/>
    <n v="2"/>
    <x v="4"/>
    <x v="0"/>
    <n v="9"/>
    <n v="0"/>
    <n v="12"/>
    <n v="0"/>
    <s v="T"/>
    <n v="3"/>
    <s v="U"/>
    <x v="6"/>
    <s v="Cédric Daems "/>
    <s v="TNL"/>
    <s v="TNL"/>
    <s v="DVE"/>
    <n v="337.5"/>
    <s v="Voorbereiding meetings Endo - To DO lijst - Actieplan - Opdracht CHE mbt P&amp;L"/>
    <s v="Gefactureerd"/>
    <m/>
    <m/>
    <m/>
    <m/>
    <m/>
    <m/>
    <m/>
  </r>
  <r>
    <s v="wo"/>
    <n v="2"/>
    <x v="4"/>
    <x v="0"/>
    <n v="15"/>
    <n v="0"/>
    <n v="19"/>
    <n v="0"/>
    <s v="T"/>
    <n v="4"/>
    <s v="U"/>
    <x v="1"/>
    <s v="Nicolas van der Aa"/>
    <s v="TNL"/>
    <s v="VG25"/>
    <s v="DVE"/>
    <n v="500"/>
    <s v="Overlopen updated budget  met MCO en bespreking diversen "/>
    <s v="Gefactureerd"/>
    <m/>
    <m/>
    <m/>
    <m/>
    <m/>
    <m/>
    <m/>
  </r>
  <r>
    <s v="do"/>
    <n v="3"/>
    <x v="4"/>
    <x v="0"/>
    <n v="8"/>
    <n v="30"/>
    <n v="12"/>
    <n v="30"/>
    <s v="V"/>
    <n v="4"/>
    <s v="DD"/>
    <x v="6"/>
    <s v="Cédric Daems "/>
    <s v="TNL"/>
    <s v="TNL"/>
    <s v="DVE"/>
    <n v="450"/>
    <s v="1e interventie dag diversen - bespreking FVE/Karen/ verhuis burelen - beslssingen Operations "/>
    <s v="Gefactureerd"/>
    <m/>
    <m/>
    <m/>
    <m/>
    <m/>
    <m/>
    <m/>
  </r>
  <r>
    <s v="do"/>
    <n v="3"/>
    <x v="4"/>
    <x v="0"/>
    <m/>
    <m/>
    <m/>
    <m/>
    <s v="V"/>
    <n v="8"/>
    <s v="DA"/>
    <x v="2"/>
    <s v="Kris Motmans "/>
    <s v="TNL"/>
    <m/>
    <s v="DVE"/>
    <m/>
    <s v="Bespreking KMO + LVD demonstreren functiebeschrijvinen en funtioneringsgesprekken. "/>
    <s v="Gepresteerd "/>
    <m/>
    <m/>
    <m/>
    <m/>
    <m/>
    <m/>
    <m/>
  </r>
  <r>
    <s v="Vr"/>
    <n v="4"/>
    <x v="4"/>
    <x v="0"/>
    <n v="9"/>
    <n v="0"/>
    <n v="15"/>
    <n v="0"/>
    <s v="V"/>
    <n v="6"/>
    <s v="U"/>
    <x v="3"/>
    <s v="Nick Govaert "/>
    <s v="TNL"/>
    <s v="PMO @ erie"/>
    <s v="DVE"/>
    <n v="712.5"/>
    <s v="Demonstreren + proces PMO + overlopen projectaanvragen Bjorn Verschaeve "/>
    <s v="Gefactureerd"/>
    <m/>
    <m/>
    <m/>
    <m/>
    <m/>
    <m/>
    <m/>
  </r>
  <r>
    <s v="ma"/>
    <n v="7"/>
    <x v="4"/>
    <x v="0"/>
    <n v="9"/>
    <n v="0"/>
    <n v="13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ma"/>
    <n v="7"/>
    <x v="4"/>
    <x v="0"/>
    <n v="14"/>
    <n v="0"/>
    <n v="17"/>
    <n v="0"/>
    <s v="T"/>
    <n v="3"/>
    <s v="U"/>
    <x v="1"/>
    <s v="Nicolas van der Aa"/>
    <s v="TNL"/>
    <s v="VG25"/>
    <s v="DVE"/>
    <n v="375"/>
    <s v="Voorbereiding meeting waardebepaling - vermindering kostenstructuur - samenwerkingsvverband en MT agendapunten + ToDo"/>
    <s v="Gefactureerd"/>
    <m/>
    <m/>
    <m/>
    <m/>
    <m/>
    <m/>
    <m/>
  </r>
  <r>
    <s v="di"/>
    <n v="8"/>
    <x v="4"/>
    <x v="0"/>
    <n v="8"/>
    <n v="30"/>
    <n v="13"/>
    <n v="30"/>
    <s v="V"/>
    <n v="4"/>
    <s v="DD"/>
    <x v="1"/>
    <s v="Nicolas van der Aa"/>
    <s v="TNL"/>
    <s v="VG25"/>
    <s v="DVE"/>
    <n v="575"/>
    <s v="Strategische meeting waarde bepaling BSC/DVE/CHE + meeting kostenbesparing + MCO"/>
    <s v="Gefactureerd"/>
    <m/>
    <m/>
    <m/>
    <m/>
    <m/>
    <m/>
    <m/>
  </r>
  <r>
    <s v="di"/>
    <n v="8"/>
    <x v="4"/>
    <x v="0"/>
    <n v="13"/>
    <n v="0"/>
    <n v="17"/>
    <n v="0"/>
    <s v="V"/>
    <n v="4"/>
    <s v="DD"/>
    <x v="3"/>
    <s v="Bert Verbeeck"/>
    <s v="TNL"/>
    <s v="HR2.0"/>
    <s v="DVE"/>
    <n v="575"/>
    <m/>
    <s v="Gefactureerd"/>
    <m/>
    <m/>
    <m/>
    <m/>
    <m/>
    <m/>
    <m/>
  </r>
  <r>
    <s v="wo"/>
    <n v="9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wo"/>
    <n v="9"/>
    <x v="4"/>
    <x v="0"/>
    <n v="13"/>
    <n v="0"/>
    <n v="17"/>
    <n v="0"/>
    <s v="V"/>
    <n v="2"/>
    <s v="U"/>
    <x v="6"/>
    <s v="Cédric Daems "/>
    <s v="TNL"/>
    <s v="TNL"/>
    <s v="DVE"/>
    <n v="225"/>
    <m/>
    <s v="Gefactureerd"/>
    <m/>
    <m/>
    <m/>
    <m/>
    <m/>
    <m/>
    <m/>
  </r>
  <r>
    <s v="do"/>
    <s v="10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Vr"/>
    <s v="11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14"/>
    <x v="4"/>
    <x v="0"/>
    <n v="9"/>
    <n v="0"/>
    <n v="13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ma"/>
    <s v="14"/>
    <x v="4"/>
    <x v="0"/>
    <n v="13"/>
    <n v="0"/>
    <n v="17"/>
    <n v="0"/>
    <s v="V"/>
    <n v="4"/>
    <s v="DD"/>
    <x v="1"/>
    <s v="Nicolas van der Aa"/>
    <s v="TNL"/>
    <s v="VG25"/>
    <s v="DVE"/>
    <n v="575"/>
    <m/>
    <s v="Gefactureerd"/>
    <m/>
    <m/>
    <m/>
    <m/>
    <m/>
    <m/>
    <m/>
  </r>
  <r>
    <s v="di"/>
    <s v="15"/>
    <x v="4"/>
    <x v="0"/>
    <n v="9"/>
    <n v="0"/>
    <n v="13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di"/>
    <s v="15"/>
    <x v="4"/>
    <x v="0"/>
    <n v="13"/>
    <n v="0"/>
    <n v="16"/>
    <n v="0"/>
    <s v="V"/>
    <n v="3"/>
    <s v="U"/>
    <x v="3"/>
    <s v="Bert Verbeeck"/>
    <s v="TNL"/>
    <s v="HR2.0"/>
    <s v="DVE"/>
    <n v="356.25"/>
    <m/>
    <s v="Gefactureerd"/>
    <m/>
    <m/>
    <m/>
    <m/>
    <m/>
    <m/>
    <m/>
  </r>
  <r>
    <s v="wo"/>
    <s v="16"/>
    <x v="4"/>
    <x v="0"/>
    <n v="14"/>
    <n v="0"/>
    <n v="16"/>
    <n v="0"/>
    <s v="V"/>
    <n v="2"/>
    <s v="U"/>
    <x v="6"/>
    <s v="Cédric Daems "/>
    <s v="TNL"/>
    <s v="TNL"/>
    <s v="DVE"/>
    <n v="225"/>
    <m/>
    <s v="Gefactureerd"/>
    <m/>
    <m/>
    <m/>
    <m/>
    <m/>
    <m/>
    <m/>
  </r>
  <r>
    <s v="wo"/>
    <s v="16"/>
    <x v="4"/>
    <x v="0"/>
    <n v="16"/>
    <n v="0"/>
    <n v="18"/>
    <n v="0"/>
    <s v="V"/>
    <n v="2"/>
    <s v="U"/>
    <x v="1"/>
    <s v="Nicolas van der Aa"/>
    <s v="TNL"/>
    <s v="VG25"/>
    <s v="DVE"/>
    <n v="262.5"/>
    <m/>
    <s v="Gefactureerd"/>
    <m/>
    <m/>
    <m/>
    <m/>
    <m/>
    <m/>
    <m/>
  </r>
  <r>
    <s v="do"/>
    <s v="17"/>
    <x v="4"/>
    <x v="0"/>
    <n v="9"/>
    <n v="0"/>
    <n v="13"/>
    <n v="0"/>
    <s v="V"/>
    <n v="4"/>
    <s v="DD"/>
    <x v="1"/>
    <s v="Nicolas van der Aa"/>
    <s v="TNL"/>
    <s v="VG25"/>
    <s v="DVE"/>
    <n v="575"/>
    <m/>
    <s v="Gefactureerd"/>
    <m/>
    <m/>
    <m/>
    <m/>
    <m/>
    <m/>
    <m/>
  </r>
  <r>
    <s v="Vr"/>
    <s v="18"/>
    <x v="4"/>
    <x v="0"/>
    <n v="9"/>
    <n v="0"/>
    <n v="13"/>
    <n v="0"/>
    <s v="V"/>
    <n v="4"/>
    <s v="DD"/>
    <x v="3"/>
    <s v="Nick Govaert "/>
    <s v="TNL"/>
    <s v="PMO @ erie"/>
    <s v="DVE"/>
    <n v="575"/>
    <m/>
    <s v="Gefactureerd"/>
    <m/>
    <m/>
    <m/>
    <m/>
    <m/>
    <m/>
    <m/>
  </r>
  <r>
    <s v="ma"/>
    <s v="21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22"/>
    <x v="4"/>
    <x v="0"/>
    <n v="9"/>
    <n v="0"/>
    <n v="13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di"/>
    <s v="22"/>
    <x v="4"/>
    <x v="0"/>
    <n v="13"/>
    <n v="0"/>
    <n v="17"/>
    <n v="0"/>
    <s v="V"/>
    <n v="4"/>
    <s v="DD"/>
    <x v="3"/>
    <s v="Bert Verbeeck"/>
    <s v="TNL"/>
    <s v="HR2.0"/>
    <s v="DVE"/>
    <n v="575"/>
    <m/>
    <s v="Gefactureerd"/>
    <m/>
    <m/>
    <m/>
    <m/>
    <m/>
    <m/>
    <m/>
  </r>
  <r>
    <s v="wo"/>
    <s v="23"/>
    <x v="4"/>
    <x v="0"/>
    <n v="9"/>
    <n v="0"/>
    <n v="12"/>
    <n v="0"/>
    <s v="V"/>
    <n v="3"/>
    <s v="U"/>
    <x v="2"/>
    <s v="Kris Motmans "/>
    <s v="TNL"/>
    <s v="TNL"/>
    <s v="DVE"/>
    <n v="600"/>
    <m/>
    <s v="Gefactureerd"/>
    <m/>
    <m/>
    <m/>
    <m/>
    <m/>
    <m/>
    <m/>
  </r>
  <r>
    <s v="wo"/>
    <s v="23"/>
    <x v="4"/>
    <x v="0"/>
    <n v="13"/>
    <n v="0"/>
    <n v="17"/>
    <n v="0"/>
    <s v="V"/>
    <n v="4"/>
    <s v="DD"/>
    <x v="1"/>
    <s v="Nicolas van der Aa"/>
    <s v="TNL"/>
    <s v="VG25"/>
    <s v="DVE"/>
    <n v="575"/>
    <m/>
    <s v="Gefactureerd"/>
    <m/>
    <m/>
    <m/>
    <m/>
    <m/>
    <m/>
    <m/>
  </r>
  <r>
    <s v="do"/>
    <s v="24"/>
    <x v="4"/>
    <x v="0"/>
    <n v="9"/>
    <n v="0"/>
    <n v="13"/>
    <n v="0"/>
    <s v="V"/>
    <n v="4"/>
    <s v="DD"/>
    <x v="1"/>
    <s v="Nicolas van der Aa"/>
    <s v="TNL"/>
    <s v="VG25"/>
    <s v="DVE"/>
    <n v="575"/>
    <m/>
    <s v="Gefactureerd"/>
    <m/>
    <m/>
    <m/>
    <m/>
    <m/>
    <m/>
    <m/>
  </r>
  <r>
    <s v="do"/>
    <s v="24"/>
    <x v="4"/>
    <x v="0"/>
    <n v="13"/>
    <n v="0"/>
    <n v="17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Vr"/>
    <s v="25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28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29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wo"/>
    <s v="30"/>
    <x v="4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o"/>
    <s v="31"/>
    <x v="4"/>
    <x v="0"/>
    <n v="9"/>
    <n v="0"/>
    <n v="13"/>
    <n v="0"/>
    <s v="V"/>
    <n v="4"/>
    <s v="DD"/>
    <x v="6"/>
    <s v="Cédric Daems "/>
    <s v="TNL"/>
    <s v="TNL"/>
    <s v="DVE"/>
    <n v="450"/>
    <m/>
    <s v="Gefactureerd"/>
    <m/>
    <m/>
    <m/>
    <m/>
    <m/>
    <m/>
    <m/>
  </r>
  <r>
    <s v="do"/>
    <s v="31"/>
    <x v="4"/>
    <x v="0"/>
    <n v="13"/>
    <n v="0"/>
    <n v="17"/>
    <n v="0"/>
    <s v="V"/>
    <n v="4"/>
    <s v="DD"/>
    <x v="1"/>
    <s v="Nicolas van der Aa"/>
    <s v="TNL"/>
    <s v="VG25"/>
    <s v="DVE"/>
    <n v="575"/>
    <m/>
    <s v="Gefactureerd"/>
    <m/>
    <m/>
    <m/>
    <m/>
    <m/>
    <m/>
    <m/>
  </r>
  <r>
    <s v="do"/>
    <s v="31"/>
    <x v="4"/>
    <x v="0"/>
    <m/>
    <m/>
    <m/>
    <m/>
    <s v="V"/>
    <n v="18.5"/>
    <s v="D "/>
    <x v="1"/>
    <s v="Nicolas van der Aa"/>
    <s v="TNL"/>
    <s v="VG25"/>
    <s v="MCO"/>
    <n v="13875"/>
    <m/>
    <s v="Gefactureerd"/>
    <m/>
    <m/>
    <m/>
    <m/>
    <m/>
    <m/>
    <m/>
  </r>
  <r>
    <s v="do"/>
    <s v="31"/>
    <x v="4"/>
    <x v="0"/>
    <m/>
    <m/>
    <m/>
    <m/>
    <s v="V"/>
    <m/>
    <m/>
    <x v="15"/>
    <s v="Wilfried Fransch "/>
    <s v="TNL"/>
    <m/>
    <s v="WFR"/>
    <n v="990.63"/>
    <m/>
    <s v="Gefactureerd"/>
    <m/>
    <m/>
    <m/>
    <m/>
    <m/>
    <m/>
    <m/>
  </r>
  <r>
    <s v="Vr"/>
    <n v="1"/>
    <x v="5"/>
    <x v="0"/>
    <n v="8"/>
    <n v="30"/>
    <n v="11"/>
    <n v="30"/>
    <s v="V"/>
    <n v="3"/>
    <s v="U"/>
    <x v="3"/>
    <s v="Bert Verbeeck"/>
    <s v="TNL"/>
    <s v="HR2.0"/>
    <s v="DVE"/>
    <n v="356.25"/>
    <m/>
    <s v="Gefactureerd"/>
    <m/>
    <m/>
    <m/>
    <m/>
    <m/>
    <m/>
    <m/>
  </r>
  <r>
    <s v="ma"/>
    <n v="4"/>
    <x v="5"/>
    <x v="0"/>
    <n v="8"/>
    <n v="0"/>
    <n v="9"/>
    <n v="0"/>
    <s v="T"/>
    <n v="1"/>
    <s v="U"/>
    <x v="2"/>
    <s v="Kris Motmans "/>
    <s v="TNL"/>
    <s v="TNL"/>
    <s v="DVE"/>
    <n v="125"/>
    <s v="Overlopen en vervolledigen TO DO's, FB Victor overlopen, Competenties QC coordinator , Actie plan opstellen + plannen "/>
    <s v="Gefactureerd"/>
    <m/>
    <m/>
    <m/>
    <m/>
    <m/>
    <m/>
    <m/>
  </r>
  <r>
    <s v="ma"/>
    <n v="4"/>
    <x v="5"/>
    <x v="0"/>
    <n v="9"/>
    <n v="0"/>
    <n v="11"/>
    <n v="30"/>
    <s v="T"/>
    <n v="2.5"/>
    <s v="U"/>
    <x v="1"/>
    <s v="Nicolas van der Aa"/>
    <s v="TNL"/>
    <s v="VG25"/>
    <s v="DVE"/>
    <n v="312.5"/>
    <s v="Voorbereiden MT, Dossier Hainaut opnemen met SD worx, Cedric van Moerenhout. "/>
    <s v="Gefactureerd"/>
    <m/>
    <m/>
    <m/>
    <m/>
    <m/>
    <m/>
    <m/>
  </r>
  <r>
    <s v="ma"/>
    <n v="4"/>
    <x v="5"/>
    <x v="0"/>
    <n v="13"/>
    <n v="0"/>
    <n v="17"/>
    <n v="0"/>
    <s v="V"/>
    <n v="4"/>
    <s v="DD"/>
    <x v="1"/>
    <s v="Nicolas van der Aa"/>
    <s v="TNL"/>
    <s v="VG25"/>
    <s v="DVE"/>
    <n v="575"/>
    <s v="Bespreking bij Vitesske "/>
    <s v="Gefactureerd"/>
    <m/>
    <m/>
    <m/>
    <m/>
    <m/>
    <m/>
    <m/>
  </r>
  <r>
    <s v="di"/>
    <n v="5"/>
    <x v="5"/>
    <x v="0"/>
    <n v="9"/>
    <n v="0"/>
    <n v="13"/>
    <n v="0"/>
    <s v="V"/>
    <n v="4"/>
    <s v="DD"/>
    <x v="6"/>
    <s v="Cédric Daems "/>
    <s v="TNL"/>
    <s v="TNL"/>
    <s v="DVE"/>
    <n v="450"/>
    <s v="Besprekingen diverse "/>
    <s v="Gefactureerd"/>
    <m/>
    <m/>
    <m/>
    <m/>
    <m/>
    <m/>
    <m/>
  </r>
  <r>
    <s v="di"/>
    <n v="5"/>
    <x v="5"/>
    <x v="0"/>
    <n v="13"/>
    <n v="0"/>
    <n v="17"/>
    <n v="0"/>
    <s v="V"/>
    <n v="4"/>
    <s v="DD"/>
    <x v="1"/>
    <s v="Nicolas van der Aa"/>
    <s v="TNL"/>
    <s v="VG25"/>
    <s v="DVE"/>
    <n v="575"/>
    <s v="Bespreking bij Vitesske"/>
    <s v="Gefactureerd"/>
    <m/>
    <m/>
    <m/>
    <m/>
    <m/>
    <m/>
    <m/>
  </r>
  <r>
    <s v="wo"/>
    <n v="6"/>
    <x v="5"/>
    <x v="0"/>
    <m/>
    <m/>
    <m/>
    <m/>
    <s v="T"/>
    <n v="8"/>
    <m/>
    <x v="0"/>
    <s v="Dirk Vander Eyken"/>
    <s v="Verlof"/>
    <m/>
    <s v="DVE"/>
    <m/>
    <m/>
    <s v="Gepresteerd "/>
    <m/>
    <m/>
    <m/>
    <m/>
    <m/>
    <m/>
    <m/>
  </r>
  <r>
    <s v="do"/>
    <n v="7"/>
    <x v="5"/>
    <x v="0"/>
    <n v="9"/>
    <n v="0"/>
    <n v="13"/>
    <n v="0"/>
    <s v="V"/>
    <n v="4"/>
    <s v="DD"/>
    <x v="1"/>
    <s v="Nicolas van der Aa"/>
    <s v="TNL"/>
    <s v="VG25"/>
    <s v="DVE"/>
    <n v="575"/>
    <s v="Commercieel plan BSC"/>
    <s v="Gefactureerd"/>
    <m/>
    <m/>
    <m/>
    <m/>
    <m/>
    <m/>
    <m/>
  </r>
  <r>
    <s v="do"/>
    <n v="7"/>
    <x v="5"/>
    <x v="0"/>
    <n v="13"/>
    <n v="0"/>
    <n v="17"/>
    <n v="0"/>
    <s v="V"/>
    <n v="4"/>
    <s v="DD"/>
    <x v="6"/>
    <s v="Cédric Daems "/>
    <s v="TNL"/>
    <s v="TNL"/>
    <s v="DVE"/>
    <n v="450"/>
    <s v="RvA + Financële resultaten "/>
    <s v="Gefactureerd"/>
    <m/>
    <m/>
    <m/>
    <m/>
    <m/>
    <m/>
    <m/>
  </r>
  <r>
    <s v="Vr"/>
    <n v="8"/>
    <x v="5"/>
    <x v="0"/>
    <n v="9"/>
    <n v="0"/>
    <n v="12"/>
    <n v="0"/>
    <s v="V"/>
    <n v="3"/>
    <s v="U"/>
    <x v="3"/>
    <s v="Bert Verbeeck"/>
    <s v="TNL"/>
    <s v="HR2.0"/>
    <s v="DVE"/>
    <n v="356.25"/>
    <m/>
    <s v="Gefactureerd"/>
    <m/>
    <m/>
    <m/>
    <m/>
    <m/>
    <m/>
    <m/>
  </r>
  <r>
    <s v="ma"/>
    <s v="11"/>
    <x v="5"/>
    <x v="0"/>
    <n v="9"/>
    <n v="0"/>
    <n v="13"/>
    <n v="0"/>
    <s v="V"/>
    <n v="4"/>
    <s v="DD"/>
    <x v="6"/>
    <s v="Cédric Daems "/>
    <s v="TNL"/>
    <s v="TNL"/>
    <s v="DVE"/>
    <n v="450"/>
    <s v="Sales meeting "/>
    <s v="Gefactureerd"/>
    <m/>
    <m/>
    <m/>
    <m/>
    <m/>
    <m/>
    <m/>
  </r>
  <r>
    <s v="ma"/>
    <s v="11"/>
    <x v="5"/>
    <x v="0"/>
    <n v="13"/>
    <n v="0"/>
    <n v="17"/>
    <n v="0"/>
    <s v="V"/>
    <n v="4"/>
    <s v="DD"/>
    <x v="1"/>
    <s v="Nicolas van der Aa"/>
    <s v="TNL"/>
    <s v="VG25"/>
    <s v="DVE"/>
    <n v="575"/>
    <s v="MT MCO + Verslag Commerciëel plan "/>
    <s v="Gefactureerd"/>
    <m/>
    <m/>
    <m/>
    <m/>
    <m/>
    <m/>
    <m/>
  </r>
  <r>
    <s v="di"/>
    <s v="12"/>
    <x v="5"/>
    <x v="0"/>
    <n v="9"/>
    <n v="0"/>
    <n v="13"/>
    <n v="0"/>
    <s v="V"/>
    <n v="3"/>
    <s v="U"/>
    <x v="1"/>
    <s v="Nicolas van der Aa"/>
    <s v="TNL"/>
    <s v="VG25"/>
    <s v="DVE"/>
    <n v="575"/>
    <s v="Bespreking Meester Mergits mbt Ontslag OHA in Antwerpen "/>
    <s v="Gefactureerd"/>
    <m/>
    <m/>
    <m/>
    <m/>
    <m/>
    <m/>
    <m/>
  </r>
  <r>
    <s v="di"/>
    <s v="12"/>
    <x v="5"/>
    <x v="0"/>
    <m/>
    <m/>
    <m/>
    <m/>
    <s v="V"/>
    <m/>
    <m/>
    <x v="1"/>
    <s v="Nicolas van der Aa"/>
    <s v="TNL"/>
    <s v="VG25"/>
    <s v="DVE"/>
    <n v="200"/>
    <s v="Kosten Mergits raadpleging (second opinion)"/>
    <s v="Gefactureerd"/>
    <m/>
    <m/>
    <m/>
    <m/>
    <m/>
    <m/>
    <m/>
  </r>
  <r>
    <s v="wo"/>
    <s v="13"/>
    <x v="5"/>
    <x v="0"/>
    <n v="11"/>
    <n v="0"/>
    <n v="12"/>
    <n v="0"/>
    <s v="T"/>
    <n v="1"/>
    <s v="U"/>
    <x v="6"/>
    <s v="Cédric Daems "/>
    <s v="TNL"/>
    <s v="TNL"/>
    <s v="DVE"/>
    <n v="112.5"/>
    <s v="Opzetten Opvolging Sales (cfr lijst Cindy en Isabelle) - Functionele analyse "/>
    <s v="Gefactureerd"/>
    <m/>
    <m/>
    <m/>
    <m/>
    <m/>
    <m/>
    <m/>
  </r>
  <r>
    <s v="do"/>
    <s v="14"/>
    <x v="5"/>
    <x v="0"/>
    <n v="9"/>
    <n v="0"/>
    <n v="13"/>
    <n v="0"/>
    <s v="V"/>
    <n v="4"/>
    <s v="DD"/>
    <x v="1"/>
    <s v="Nicolas van der Aa"/>
    <s v="TNL"/>
    <s v="VG25"/>
    <s v="DVE"/>
    <n v="575"/>
    <s v="4D Vision Stuur groep + diversen "/>
    <s v="Gefactureerd"/>
    <m/>
    <m/>
    <m/>
    <m/>
    <m/>
    <m/>
    <m/>
  </r>
  <r>
    <s v="do"/>
    <s v="14"/>
    <x v="5"/>
    <x v="0"/>
    <n v="13"/>
    <n v="0"/>
    <n v="17"/>
    <n v="0"/>
    <s v="V"/>
    <n v="4"/>
    <s v="DD"/>
    <x v="6"/>
    <s v="Cédric Daems "/>
    <s v="TNL"/>
    <s v="TNL"/>
    <s v="DVE"/>
    <n v="450"/>
    <s v="Sales opvolgingssysteem + diversen "/>
    <s v="Gefactureerd"/>
    <m/>
    <m/>
    <m/>
    <m/>
    <m/>
    <m/>
    <m/>
  </r>
  <r>
    <s v="Vr"/>
    <s v="15"/>
    <x v="5"/>
    <x v="0"/>
    <n v="9"/>
    <n v="0"/>
    <n v="10"/>
    <n v="30"/>
    <s v="T"/>
    <n v="1"/>
    <s v="U"/>
    <x v="2"/>
    <s v="Kris Motmans "/>
    <s v="TNL"/>
    <s v="TNL"/>
    <s v="DVE"/>
    <n v="125"/>
    <s v="werken aan Tool FB + Functioneringsgesprekken nav bespreking met Louis (voorbereiding op 13/06/18)"/>
    <s v="Gefactureerd"/>
    <m/>
    <m/>
    <m/>
    <m/>
    <m/>
    <m/>
    <m/>
  </r>
  <r>
    <s v="Vr"/>
    <s v="15"/>
    <x v="5"/>
    <x v="0"/>
    <n v="10"/>
    <n v="30"/>
    <n v="12"/>
    <n v="0"/>
    <s v="T"/>
    <n v="1"/>
    <s v="U"/>
    <x v="3"/>
    <s v="Bert Verbeeck"/>
    <s v="TNL"/>
    <s v="HR2.0"/>
    <s v="DVE"/>
    <n v="118.75"/>
    <s v="werken aan Tool FB + Functioneringsgesprekken nav bespreking met Lore (voorbereiding op 13/06/18) + voorbereiding PMO automatisatie en opvolging "/>
    <s v="Gefactureerd"/>
    <m/>
    <m/>
    <m/>
    <m/>
    <m/>
    <m/>
    <m/>
  </r>
  <r>
    <s v="ma"/>
    <s v="18"/>
    <x v="5"/>
    <x v="0"/>
    <n v="8"/>
    <n v="30"/>
    <n v="11"/>
    <n v="30"/>
    <s v="T"/>
    <n v="3"/>
    <s v="U"/>
    <x v="3"/>
    <s v="Bert Verbeeck"/>
    <s v="TNL"/>
    <s v="HR2.0"/>
    <s v="DVE"/>
    <n v="356.25"/>
    <s v="Voorbereiding presentatie PMO op MT: Schrijven handleiding gebruik en opvolging PMO - aanpassingen PMO tabel (alles correct zetten - aanpassen VBA)"/>
    <s v="Gefactureerd"/>
    <m/>
    <m/>
    <m/>
    <m/>
    <m/>
    <m/>
    <m/>
  </r>
  <r>
    <s v="ma"/>
    <s v="18"/>
    <x v="5"/>
    <x v="0"/>
    <n v="11"/>
    <n v="30"/>
    <n v="12"/>
    <n v="30"/>
    <s v="T"/>
    <n v="1"/>
    <s v="U"/>
    <x v="2"/>
    <s v="Kris Motmans "/>
    <s v="TNL"/>
    <s v="TNL"/>
    <s v="DVE"/>
    <n v="125"/>
    <s v="Voorbereiding missie/visie - agenda - inhoud.  "/>
    <s v="Gefactureerd"/>
    <m/>
    <m/>
    <m/>
    <m/>
    <m/>
    <m/>
    <m/>
  </r>
  <r>
    <s v="di"/>
    <s v="19"/>
    <x v="5"/>
    <x v="0"/>
    <n v="8"/>
    <n v="0"/>
    <n v="12"/>
    <n v="0"/>
    <s v="V"/>
    <n v="4"/>
    <s v="DD"/>
    <x v="6"/>
    <s v="Cédric Daems "/>
    <s v="TNL"/>
    <s v="TNL"/>
    <s v="DVE"/>
    <n v="450"/>
    <s v="Bespreking diverse "/>
    <s v="Gefactureerd"/>
    <m/>
    <m/>
    <m/>
    <m/>
    <m/>
    <m/>
    <m/>
  </r>
  <r>
    <s v="di"/>
    <s v="19"/>
    <x v="5"/>
    <x v="0"/>
    <n v="12"/>
    <n v="0"/>
    <n v="14"/>
    <n v="0"/>
    <s v="V"/>
    <n v="2"/>
    <s v="U"/>
    <x v="1"/>
    <s v="Nicolas van der Aa"/>
    <s v="TNL"/>
    <s v="VG25"/>
    <s v="DVE"/>
    <n v="262.5"/>
    <s v="MT + versturen verslag "/>
    <s v="Gefactureerd"/>
    <m/>
    <m/>
    <m/>
    <m/>
    <m/>
    <m/>
    <m/>
  </r>
  <r>
    <s v="di"/>
    <s v="19"/>
    <x v="5"/>
    <x v="0"/>
    <m/>
    <m/>
    <m/>
    <m/>
    <s v="T"/>
    <n v="8"/>
    <m/>
    <x v="0"/>
    <s v="Dirk Vander Eyken"/>
    <s v="Verlof"/>
    <m/>
    <s v="DVE"/>
    <m/>
    <s v="Jan Brackx "/>
    <s v="Gepresteerd "/>
    <m/>
    <m/>
    <m/>
    <m/>
    <m/>
    <m/>
    <m/>
  </r>
  <r>
    <s v="wo"/>
    <s v="20"/>
    <x v="5"/>
    <x v="0"/>
    <m/>
    <m/>
    <m/>
    <m/>
    <s v="T"/>
    <n v="8"/>
    <m/>
    <x v="0"/>
    <s v="Dirk Vander Eyken"/>
    <s v="Verlof"/>
    <m/>
    <s v="DVE"/>
    <m/>
    <m/>
    <s v="Gepresteerd "/>
    <m/>
    <m/>
    <m/>
    <m/>
    <m/>
    <m/>
    <m/>
  </r>
  <r>
    <s v="do"/>
    <s v="21"/>
    <x v="5"/>
    <x v="0"/>
    <n v="9"/>
    <n v="0"/>
    <n v="13"/>
    <n v="0"/>
    <s v="V"/>
    <n v="4"/>
    <s v="DD"/>
    <x v="1"/>
    <s v="Nicolas van der Aa"/>
    <s v="TNL"/>
    <s v="VG25"/>
    <s v="DVE"/>
    <n v="575"/>
    <s v="Bespreking dossier OHA bij Meester Moerenhout."/>
    <s v="Gefactureerd"/>
    <m/>
    <m/>
    <m/>
    <m/>
    <m/>
    <m/>
    <m/>
  </r>
  <r>
    <s v="do"/>
    <s v="21"/>
    <x v="5"/>
    <x v="0"/>
    <n v="13"/>
    <n v="0"/>
    <n v="17"/>
    <n v="0"/>
    <s v="V"/>
    <n v="4"/>
    <s v="DD"/>
    <x v="2"/>
    <s v="Kris Motmans "/>
    <s v="TNL"/>
    <s v="TNL"/>
    <s v="DVE"/>
    <n v="600"/>
    <s v="Diverse besprekingen "/>
    <s v="Gefactureerd"/>
    <m/>
    <m/>
    <m/>
    <m/>
    <m/>
    <m/>
    <m/>
  </r>
  <r>
    <s v="Vr"/>
    <n v="22"/>
    <x v="5"/>
    <x v="0"/>
    <n v="8"/>
    <n v="0"/>
    <n v="10"/>
    <n v="0"/>
    <s v="T"/>
    <n v="2"/>
    <s v="U"/>
    <x v="16"/>
    <s v="Marleen Van Zele"/>
    <s v="TNL"/>
    <m/>
    <s v="CHE"/>
    <n v="250"/>
    <s v="Voorbereiding rapportage files "/>
    <s v="Gepresteerd"/>
    <m/>
    <n v="1000"/>
    <n v="220"/>
    <n v="9.625"/>
    <n v="9.625"/>
    <n v="0"/>
    <n v="200.75"/>
  </r>
  <r>
    <s v="Vr"/>
    <s v="22"/>
    <x v="5"/>
    <x v="0"/>
    <n v="9"/>
    <n v="0"/>
    <n v="13"/>
    <n v="0"/>
    <s v="V"/>
    <n v="4"/>
    <s v="DD"/>
    <x v="3"/>
    <s v="Bert Verbeeck"/>
    <s v="TNL"/>
    <s v="HR2.0"/>
    <s v="DVE"/>
    <n v="575"/>
    <s v="Voorbereiding en voorstelling PMO aan MT ERIE. Project Summarie Bjorn"/>
    <s v="Gefactureerd"/>
    <m/>
    <m/>
    <m/>
    <m/>
    <m/>
    <m/>
    <m/>
  </r>
  <r>
    <s v="ma"/>
    <s v="25"/>
    <x v="5"/>
    <x v="0"/>
    <n v="8"/>
    <n v="0"/>
    <n v="10"/>
    <n v="30"/>
    <s v="V"/>
    <n v="2.5"/>
    <s v="U"/>
    <x v="2"/>
    <s v="Kris Motmans "/>
    <s v="TNL"/>
    <s v="TNL"/>
    <s v="DVE"/>
    <n v="312.5"/>
    <s v="Voorbereiding Strategic Workshop 29/06"/>
    <s v="Gefactureerd"/>
    <m/>
    <m/>
    <m/>
    <m/>
    <m/>
    <m/>
    <m/>
  </r>
  <r>
    <s v="ma"/>
    <n v="25"/>
    <x v="5"/>
    <x v="0"/>
    <n v="8"/>
    <n v="0"/>
    <n v="12"/>
    <n v="0"/>
    <s v="V"/>
    <n v="4"/>
    <s v="DD"/>
    <x v="16"/>
    <s v="Marleen Van Zele"/>
    <s v="TNL"/>
    <m/>
    <s v="CHE"/>
    <n v="650"/>
    <s v="Opmaak rapporteringsfiles samen met Marleen"/>
    <s v="Gepresteerd"/>
    <m/>
    <n v="1300"/>
    <n v="250"/>
    <n v="21.875"/>
    <n v="21.875"/>
    <n v="0"/>
    <n v="206.25"/>
  </r>
  <r>
    <s v="ma"/>
    <s v="25"/>
    <x v="5"/>
    <x v="0"/>
    <n v="14"/>
    <n v="30"/>
    <n v="17"/>
    <n v="0"/>
    <s v="V"/>
    <n v="2.5"/>
    <s v="U"/>
    <x v="6"/>
    <s v="Cédric Daems "/>
    <s v="TNL"/>
    <s v="TNL"/>
    <s v="DVE"/>
    <n v="281.25"/>
    <s v="Interview sollicitant Endo "/>
    <s v="Gefactureerd"/>
    <m/>
    <m/>
    <m/>
    <m/>
    <m/>
    <m/>
    <m/>
  </r>
  <r>
    <s v="di"/>
    <s v="26"/>
    <x v="5"/>
    <x v="0"/>
    <n v="9"/>
    <n v="0"/>
    <n v="13"/>
    <n v="0"/>
    <s v="V"/>
    <n v="4"/>
    <s v="DD"/>
    <x v="6"/>
    <s v="Cédric Daems "/>
    <s v="TNL"/>
    <s v="TNL"/>
    <s v="DVE"/>
    <n v="450"/>
    <s v="RvA"/>
    <s v="Gefactureerd"/>
    <m/>
    <m/>
    <m/>
    <m/>
    <m/>
    <m/>
    <m/>
  </r>
  <r>
    <s v="di"/>
    <s v="26"/>
    <x v="5"/>
    <x v="0"/>
    <n v="13"/>
    <n v="0"/>
    <n v="16"/>
    <n v="0"/>
    <s v="V"/>
    <n v="3"/>
    <s v="U"/>
    <x v="1"/>
    <s v="Nicolas van der Aa"/>
    <s v="TNL"/>
    <s v="VG25"/>
    <s v="DVE"/>
    <n v="393.75"/>
    <s v="MT + Verslag"/>
    <s v="Gefactureerd"/>
    <m/>
    <m/>
    <m/>
    <m/>
    <m/>
    <m/>
    <m/>
  </r>
  <r>
    <s v="wo"/>
    <s v="27"/>
    <x v="5"/>
    <x v="0"/>
    <n v="8"/>
    <n v="0"/>
    <n v="12"/>
    <n v="0"/>
    <s v="T"/>
    <n v="4"/>
    <s v="DD"/>
    <x v="2"/>
    <s v="Kris Motmans "/>
    <s v="TNL"/>
    <s v="TNL"/>
    <s v="DVE"/>
    <n v="500"/>
    <s v="Voorbereiding Strategic Workshop 29/06"/>
    <s v="Gefactureerd"/>
    <m/>
    <m/>
    <m/>
    <m/>
    <m/>
    <m/>
    <m/>
  </r>
  <r>
    <s v="do"/>
    <s v="28"/>
    <x v="5"/>
    <x v="0"/>
    <n v="8"/>
    <n v="0"/>
    <n v="10"/>
    <n v="0"/>
    <s v="V"/>
    <n v="2"/>
    <s v="U"/>
    <x v="2"/>
    <s v="Kris Motmans "/>
    <s v="TNL"/>
    <s v="TNL"/>
    <s v="DVE"/>
    <n v="250"/>
    <s v="Voorbereiding Strategic Workshop 29/06"/>
    <s v="Gefactureerd"/>
    <m/>
    <m/>
    <m/>
    <m/>
    <m/>
    <m/>
    <m/>
  </r>
  <r>
    <s v="do"/>
    <n v="28"/>
    <x v="5"/>
    <x v="0"/>
    <n v="8"/>
    <n v="0"/>
    <n v="16"/>
    <n v="0"/>
    <s v="V"/>
    <n v="8"/>
    <s v="DA"/>
    <x v="17"/>
    <s v="Anneliese Simoens"/>
    <s v="TNL"/>
    <m/>
    <s v="IVT"/>
    <n v="1150"/>
    <m/>
    <s v="Gepresteerd"/>
    <m/>
    <n v="1150"/>
    <n v="250"/>
    <n v="43.75"/>
    <n v="43.75"/>
    <n v="0"/>
    <n v="162.5"/>
  </r>
  <r>
    <s v="do"/>
    <s v="28"/>
    <x v="5"/>
    <x v="0"/>
    <n v="10"/>
    <n v="30"/>
    <n v="17"/>
    <n v="0"/>
    <s v="V"/>
    <n v="6.5"/>
    <s v="U"/>
    <x v="6"/>
    <s v="Cédric Daems "/>
    <s v="TNL"/>
    <s v="TNL"/>
    <s v="DVE"/>
    <n v="731.25"/>
    <s v="Bespreking diverse "/>
    <s v="Gefactureerd"/>
    <m/>
    <m/>
    <m/>
    <m/>
    <m/>
    <m/>
    <m/>
  </r>
  <r>
    <s v="Vr"/>
    <s v="29"/>
    <x v="5"/>
    <x v="0"/>
    <n v="10"/>
    <n v="0"/>
    <n v="18"/>
    <n v="0"/>
    <s v="V"/>
    <n v="8"/>
    <s v="DA"/>
    <x v="2"/>
    <s v="Kris Motmans "/>
    <s v="TNL"/>
    <s v="TNL"/>
    <s v="DVE"/>
    <n v="1000"/>
    <s v=" Strategic Workshop 29/06"/>
    <s v="Gefactureerd"/>
    <m/>
    <m/>
    <m/>
    <m/>
    <m/>
    <m/>
    <m/>
  </r>
  <r>
    <s v="Vr"/>
    <s v="29"/>
    <x v="5"/>
    <x v="0"/>
    <m/>
    <m/>
    <m/>
    <m/>
    <s v="V"/>
    <n v="20"/>
    <s v="D "/>
    <x v="1"/>
    <s v="Nicolas van der Aa"/>
    <s v="TNL"/>
    <s v="VG25"/>
    <s v="MCO"/>
    <n v="15000"/>
    <s v="Diensten Michael Costermans "/>
    <s v="Gefactureerd"/>
    <m/>
    <m/>
    <m/>
    <m/>
    <m/>
    <m/>
    <m/>
  </r>
  <r>
    <s v="Vr"/>
    <s v="29"/>
    <x v="5"/>
    <x v="0"/>
    <m/>
    <m/>
    <m/>
    <m/>
    <s v="V"/>
    <m/>
    <m/>
    <x v="15"/>
    <s v="Wilfried Fransch "/>
    <s v="TNL"/>
    <m/>
    <s v="WFR"/>
    <n v="837.5"/>
    <m/>
    <s v="Gefactureerd"/>
    <m/>
    <m/>
    <m/>
    <m/>
    <m/>
    <m/>
    <m/>
  </r>
  <r>
    <s v="ma"/>
    <n v="2"/>
    <x v="6"/>
    <x v="0"/>
    <n v="9"/>
    <n v="0"/>
    <n v="17"/>
    <n v="0"/>
    <s v="V"/>
    <n v="8"/>
    <s v="DA"/>
    <x v="16"/>
    <s v="Jan Keersmaekers "/>
    <s v="TNL"/>
    <s v="TNL"/>
    <s v="DVE"/>
    <n v="1150"/>
    <s v="Quick Scan "/>
    <s v="Gefactureerd"/>
    <m/>
    <n v="1150"/>
    <n v="250"/>
    <n v="43.75"/>
    <n v="43.75"/>
    <n v="0"/>
    <n v="162.5"/>
  </r>
  <r>
    <s v="di"/>
    <n v="3"/>
    <x v="6"/>
    <x v="0"/>
    <n v="8"/>
    <n v="0"/>
    <n v="11"/>
    <n v="0"/>
    <s v="V"/>
    <n v="3"/>
    <s v="U"/>
    <x v="6"/>
    <s v="Cédric Daems "/>
    <s v="TNL"/>
    <s v="TNL"/>
    <s v="DVE"/>
    <n v="337.5"/>
    <s v="Ontslag Karen "/>
    <s v="Gefactureerd"/>
    <m/>
    <m/>
    <m/>
    <m/>
    <m/>
    <m/>
    <m/>
  </r>
  <r>
    <s v="do"/>
    <n v="3"/>
    <x v="6"/>
    <x v="0"/>
    <n v="8"/>
    <n v="0"/>
    <n v="16"/>
    <n v="0"/>
    <s v="V"/>
    <n v="8"/>
    <s v="DA"/>
    <x v="17"/>
    <s v="Anneliese Simoens"/>
    <s v="TNL"/>
    <m/>
    <s v="IVT"/>
    <n v="1150"/>
    <m/>
    <s v="Gepresteerd"/>
    <m/>
    <n v="1150"/>
    <n v="250"/>
    <n v="43.75"/>
    <n v="43.75"/>
    <n v="0"/>
    <n v="162.5"/>
  </r>
  <r>
    <s v="di"/>
    <n v="3"/>
    <x v="6"/>
    <x v="0"/>
    <n v="13"/>
    <n v="0"/>
    <n v="16"/>
    <n v="0"/>
    <s v="V"/>
    <n v="4"/>
    <s v="DD"/>
    <x v="1"/>
    <s v="Nicolas van der Aa"/>
    <s v="TNL"/>
    <s v="VG25"/>
    <s v="DVE"/>
    <n v="575"/>
    <s v="MT meeting "/>
    <s v="Gefactureerd"/>
    <m/>
    <m/>
    <m/>
    <m/>
    <m/>
    <m/>
    <m/>
  </r>
  <r>
    <s v="di"/>
    <n v="3"/>
    <x v="6"/>
    <x v="0"/>
    <m/>
    <m/>
    <m/>
    <m/>
    <s v="T"/>
    <n v="6"/>
    <s v="U"/>
    <x v="1"/>
    <s v="Nicolas van der Aa"/>
    <s v="TNL"/>
    <s v="VG25"/>
    <s v="IVT"/>
    <n v="690"/>
    <s v="Ondersteuning Ilse bij dossier OHA juridisch in juni 2018"/>
    <s v="Gefactureerd"/>
    <m/>
    <m/>
    <m/>
    <m/>
    <m/>
    <m/>
    <m/>
  </r>
  <r>
    <s v="wo"/>
    <n v="4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o"/>
    <n v="5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Vr"/>
    <n v="6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n v="9"/>
    <x v="6"/>
    <x v="0"/>
    <n v="8"/>
    <n v="30"/>
    <n v="12"/>
    <n v="30"/>
    <s v="T"/>
    <n v="4"/>
    <s v="U"/>
    <x v="3"/>
    <s v="Nick Govaert "/>
    <s v="TNL"/>
    <s v="PMO @ erie"/>
    <s v="DVE"/>
    <n v="475"/>
    <s v="Aanpassen PMO tabel nav voorstelling aan MT - uploaden naar Sharepoint "/>
    <s v="Gefactureerd"/>
    <m/>
    <m/>
    <m/>
    <m/>
    <m/>
    <m/>
    <m/>
  </r>
  <r>
    <s v="do"/>
    <n v="9"/>
    <x v="6"/>
    <x v="0"/>
    <n v="8"/>
    <n v="0"/>
    <n v="16"/>
    <n v="0"/>
    <s v="V"/>
    <n v="8"/>
    <s v="DA"/>
    <x v="17"/>
    <s v="Anneliese Simoens"/>
    <s v="TNL"/>
    <m/>
    <s v="IVT"/>
    <n v="1150"/>
    <m/>
    <s v="Gepresteerd"/>
    <m/>
    <n v="1150"/>
    <n v="250"/>
    <n v="43.75"/>
    <n v="43.75"/>
    <n v="0"/>
    <n v="162.5"/>
  </r>
  <r>
    <s v="do"/>
    <n v="10"/>
    <x v="6"/>
    <x v="0"/>
    <n v="8"/>
    <n v="0"/>
    <n v="16"/>
    <n v="0"/>
    <s v="V"/>
    <n v="8"/>
    <s v="DA"/>
    <x v="17"/>
    <s v="Anneliese Simoens"/>
    <s v="TNL"/>
    <m/>
    <s v="IVT"/>
    <n v="1150"/>
    <m/>
    <s v="Gepresteerd"/>
    <m/>
    <n v="1150"/>
    <n v="250"/>
    <n v="43.75"/>
    <n v="43.75"/>
    <n v="0"/>
    <n v="162.5"/>
  </r>
  <r>
    <s v="di"/>
    <s v="10"/>
    <x v="6"/>
    <x v="0"/>
    <n v="13"/>
    <n v="0"/>
    <n v="16"/>
    <n v="0"/>
    <s v="V"/>
    <n v="4"/>
    <s v="DD"/>
    <x v="1"/>
    <s v="Nicolas van der Aa"/>
    <s v="TNL"/>
    <s v="VG25"/>
    <s v="DVE"/>
    <n v="575"/>
    <s v="Wekelijkse meeting "/>
    <s v="Gefactureerd"/>
    <m/>
    <m/>
    <m/>
    <m/>
    <m/>
    <m/>
    <m/>
  </r>
  <r>
    <s v="wo"/>
    <s v="11"/>
    <x v="6"/>
    <x v="0"/>
    <n v="8"/>
    <n v="30"/>
    <n v="12"/>
    <n v="30"/>
    <s v="V"/>
    <n v="4"/>
    <s v="DD"/>
    <x v="3"/>
    <s v="Bert Verbeeck"/>
    <s v="TNL"/>
    <s v="HR2.0"/>
    <s v="DVE"/>
    <n v="575"/>
    <s v="Meeting Lore "/>
    <s v="Gefactureerd"/>
    <m/>
    <m/>
    <m/>
    <m/>
    <m/>
    <m/>
    <m/>
  </r>
  <r>
    <s v="do"/>
    <s v="12"/>
    <x v="6"/>
    <x v="0"/>
    <n v="13"/>
    <n v="0"/>
    <n v="17"/>
    <n v="0"/>
    <s v="V"/>
    <n v="4"/>
    <s v="DD"/>
    <x v="6"/>
    <s v="Cédric Daems "/>
    <s v="TNL"/>
    <s v="TNL"/>
    <s v="DVE"/>
    <n v="450"/>
    <s v="Sales en marketing meeting "/>
    <s v="Gefactureerd"/>
    <m/>
    <m/>
    <m/>
    <m/>
    <m/>
    <m/>
    <m/>
  </r>
  <r>
    <s v="Vr"/>
    <s v="13"/>
    <x v="6"/>
    <x v="0"/>
    <n v="11"/>
    <n v="0"/>
    <n v="13"/>
    <n v="0"/>
    <s v="T"/>
    <n v="2"/>
    <s v="U"/>
    <x v="16"/>
    <s v="Jan Keersmaekers "/>
    <s v="TNL"/>
    <s v="TNL"/>
    <s v="DVE"/>
    <n v="250"/>
    <s v="PMO opzetten, Management meeting report - Iyopro opzetten - Quick Scan finaliseren en actieplan opzetten "/>
    <s v="Gefactureerd"/>
    <m/>
    <n v="1000"/>
    <n v="220"/>
    <n v="9.625"/>
    <n v="9.625"/>
    <n v="0"/>
    <n v="200.75"/>
  </r>
  <r>
    <s v="ma"/>
    <s v="16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17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wo"/>
    <s v="18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o"/>
    <s v="19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Vr"/>
    <s v="20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23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24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wo"/>
    <s v="25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o"/>
    <s v="26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Vr"/>
    <s v="27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ma"/>
    <s v="30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di"/>
    <s v="31"/>
    <x v="6"/>
    <x v="0"/>
    <n v="9"/>
    <n v="0"/>
    <n v="17"/>
    <n v="0"/>
    <s v="T"/>
    <n v="8"/>
    <s v="DA"/>
    <x v="0"/>
    <s v="Dirk Vander Eyken"/>
    <s v="Verlof"/>
    <m/>
    <s v="DVE"/>
    <m/>
    <m/>
    <s v="Gefactureerd"/>
    <m/>
    <m/>
    <m/>
    <m/>
    <m/>
    <m/>
    <m/>
  </r>
  <r>
    <s v="wo"/>
    <n v="1"/>
    <x v="7"/>
    <x v="0"/>
    <n v="8"/>
    <n v="0"/>
    <n v="12"/>
    <n v="0"/>
    <s v="T"/>
    <n v="4"/>
    <s v="U"/>
    <x v="18"/>
    <s v="Tim Culot "/>
    <s v="TNL"/>
    <s v="TNL"/>
    <s v="CHE"/>
    <n v="500"/>
    <m/>
    <s v="Gepresteerd"/>
    <m/>
    <n v="1000"/>
    <n v="220"/>
    <n v="19.25"/>
    <n v="19.25"/>
    <n v="0"/>
    <n v="181.5"/>
  </r>
  <r>
    <s v="wo"/>
    <n v="1"/>
    <x v="7"/>
    <x v="0"/>
    <n v="9"/>
    <n v="0"/>
    <n v="17"/>
    <n v="0"/>
    <s v="T"/>
    <n v="8"/>
    <s v="DA"/>
    <x v="0"/>
    <s v="Dirk Vander Eyken"/>
    <s v="Verlof"/>
    <m/>
    <s v="DVE"/>
    <m/>
    <m/>
    <s v="Gepresteerd "/>
    <m/>
    <m/>
    <m/>
    <m/>
    <m/>
    <m/>
    <m/>
  </r>
  <r>
    <s v="do"/>
    <n v="2"/>
    <x v="7"/>
    <x v="0"/>
    <n v="8"/>
    <n v="0"/>
    <n v="12"/>
    <n v="0"/>
    <s v="T"/>
    <n v="4"/>
    <s v="U"/>
    <x v="18"/>
    <s v="Tim Culot "/>
    <s v="TNL"/>
    <s v="TNL"/>
    <s v="CHE"/>
    <n v="500"/>
    <m/>
    <s v="Gepresteerd"/>
    <m/>
    <n v="1000"/>
    <n v="220"/>
    <n v="19.25"/>
    <n v="19.25"/>
    <n v="0"/>
    <n v="181.5"/>
  </r>
  <r>
    <s v="do"/>
    <n v="2"/>
    <x v="7"/>
    <x v="0"/>
    <n v="9"/>
    <n v="0"/>
    <n v="17"/>
    <n v="0"/>
    <s v="T"/>
    <n v="8"/>
    <s v="DA"/>
    <x v="0"/>
    <s v="Dirk Vander Eyken"/>
    <s v="Verlof"/>
    <m/>
    <s v="DVE"/>
    <m/>
    <m/>
    <s v="Gepresteerd "/>
    <m/>
    <m/>
    <m/>
    <m/>
    <m/>
    <m/>
    <m/>
  </r>
  <r>
    <s v="Vr"/>
    <n v="3"/>
    <x v="7"/>
    <x v="0"/>
    <n v="8"/>
    <n v="0"/>
    <n v="12"/>
    <n v="0"/>
    <s v="T"/>
    <n v="4"/>
    <s v="U"/>
    <x v="19"/>
    <s v="Gino Dierckx"/>
    <s v="TNL"/>
    <m/>
    <s v="CHE"/>
    <n v="500"/>
    <s v="Voorbereiding rapportage files "/>
    <s v="Gefactureerd"/>
    <m/>
    <m/>
    <m/>
    <m/>
    <m/>
    <m/>
    <m/>
  </r>
  <r>
    <s v="Vr"/>
    <n v="3"/>
    <x v="7"/>
    <x v="0"/>
    <n v="9"/>
    <n v="0"/>
    <n v="17"/>
    <n v="0"/>
    <s v="T"/>
    <n v="8"/>
    <s v="DA"/>
    <x v="0"/>
    <s v="Dirk Vander Eyken"/>
    <s v="Verlof"/>
    <m/>
    <s v="DVE"/>
    <m/>
    <m/>
    <s v="Gepresteerd "/>
    <m/>
    <m/>
    <m/>
    <m/>
    <m/>
    <m/>
    <m/>
  </r>
  <r>
    <s v="ma"/>
    <n v="6"/>
    <x v="7"/>
    <x v="0"/>
    <n v="9"/>
    <n v="0"/>
    <n v="17"/>
    <n v="0"/>
    <s v="T"/>
    <n v="8"/>
    <s v="DA"/>
    <x v="0"/>
    <s v="Dirk Vander Eyken"/>
    <s v="Verlof"/>
    <m/>
    <s v="DVE"/>
    <m/>
    <m/>
    <s v="Gepresteerd "/>
    <m/>
    <m/>
    <m/>
    <m/>
    <m/>
    <m/>
    <m/>
  </r>
  <r>
    <s v="di"/>
    <n v="7"/>
    <x v="7"/>
    <x v="0"/>
    <n v="8"/>
    <n v="0"/>
    <n v="10"/>
    <n v="0"/>
    <s v="T"/>
    <n v="2"/>
    <s v="U"/>
    <x v="19"/>
    <s v="Gino Dierckx"/>
    <s v="TNL"/>
    <s v="TNL"/>
    <s v="DVE"/>
    <n v="250"/>
    <s v="Voorbereiden P&amp;L - EDMS met Carlos "/>
    <s v="Gefactureerd"/>
    <m/>
    <m/>
    <m/>
    <m/>
    <m/>
    <m/>
    <m/>
  </r>
  <r>
    <s v="di"/>
    <n v="7"/>
    <x v="7"/>
    <x v="0"/>
    <n v="8"/>
    <n v="0"/>
    <n v="10"/>
    <n v="0"/>
    <s v="T"/>
    <n v="2"/>
    <s v="U"/>
    <x v="20"/>
    <s v="Tim Culot "/>
    <s v="TNL"/>
    <s v="TNL"/>
    <s v="DVE"/>
    <n v="250"/>
    <s v="Voorbereiden P&amp;L - Culot met Carlos "/>
    <s v="Gepresteerd "/>
    <m/>
    <n v="1000"/>
    <n v="220"/>
    <n v="9.625"/>
    <n v="9.625"/>
    <n v="0"/>
    <n v="200.75"/>
  </r>
  <r>
    <s v="di"/>
    <n v="7"/>
    <x v="7"/>
    <x v="0"/>
    <n v="8"/>
    <n v="0"/>
    <n v="16"/>
    <n v="0"/>
    <s v="V"/>
    <n v="8"/>
    <s v="DA"/>
    <x v="17"/>
    <s v="Anneliese Simoens"/>
    <s v="TNL"/>
    <m/>
    <s v="CHE"/>
    <n v="1150"/>
    <s v="P&amp;L RvA"/>
    <s v="Gepresteerd"/>
    <m/>
    <n v="1150"/>
    <n v="250"/>
    <n v="43.75"/>
    <n v="43.75"/>
    <n v="0"/>
    <n v="162.5"/>
  </r>
  <r>
    <s v="di"/>
    <n v="7"/>
    <x v="7"/>
    <x v="0"/>
    <n v="13"/>
    <n v="0"/>
    <n v="17"/>
    <n v="0"/>
    <s v="V"/>
    <n v="4"/>
    <s v="DD"/>
    <x v="21"/>
    <s v="Anneliese Simoens "/>
    <s v="TNL"/>
    <s v="TNL"/>
    <s v="DVE"/>
    <n v="650"/>
    <s v="Voorbereiden en Toelichten P&amp;L - Advas "/>
    <s v="Gefactureerd"/>
    <m/>
    <n v="1300"/>
    <n v="250"/>
    <n v="21.875"/>
    <n v="21.875"/>
    <n v="0"/>
    <n v="206.25"/>
  </r>
  <r>
    <s v="wo"/>
    <n v="8"/>
    <x v="7"/>
    <x v="0"/>
    <n v="9"/>
    <n v="0"/>
    <n v="17"/>
    <n v="0"/>
    <s v="V"/>
    <n v="8"/>
    <s v="DA"/>
    <x v="20"/>
    <s v="Tim Culot "/>
    <s v="TNL"/>
    <s v="TNL"/>
    <s v="DVE"/>
    <n v="1150"/>
    <s v="Functiebeschrijving Planner - Waarden - Interviews planner - Lange termijn doelstellingen "/>
    <s v="Gepresteerd "/>
    <m/>
    <n v="1150"/>
    <n v="250"/>
    <n v="43.75"/>
    <n v="43.75"/>
    <n v="0"/>
    <n v="162.5"/>
  </r>
  <r>
    <s v="do"/>
    <n v="9"/>
    <x v="7"/>
    <x v="0"/>
    <n v="7"/>
    <n v="30"/>
    <n v="8"/>
    <n v="0"/>
    <s v="T"/>
    <n v="0.5"/>
    <s v="U"/>
    <x v="20"/>
    <s v="Tim Culot "/>
    <s v="TNL"/>
    <s v="TNL"/>
    <s v="DVE"/>
    <n v="62.5"/>
    <s v="Management Report invullen en TO do lijst actualiseren - Project Opzetten - planning maken en uitnodiging sturen "/>
    <s v="Gepresteerd "/>
    <m/>
    <n v="1000"/>
    <n v="220"/>
    <n v="2.40625"/>
    <n v="2.40625"/>
    <n v="0"/>
    <n v="215.1875"/>
  </r>
  <r>
    <s v="do"/>
    <n v="9"/>
    <x v="7"/>
    <x v="0"/>
    <n v="8"/>
    <n v="0"/>
    <n v="12"/>
    <n v="0"/>
    <s v="V"/>
    <n v="4"/>
    <s v="DD"/>
    <x v="19"/>
    <s v="Gino Dierckx"/>
    <s v="TNL"/>
    <m/>
    <s v="CHE"/>
    <n v="650"/>
    <s v="Bespreking rapportage files "/>
    <s v="Gefactureerd"/>
    <m/>
    <m/>
    <m/>
    <m/>
    <m/>
    <m/>
    <m/>
  </r>
  <r>
    <s v="do"/>
    <n v="9"/>
    <x v="7"/>
    <x v="0"/>
    <n v="9"/>
    <n v="0"/>
    <n v="13"/>
    <n v="0"/>
    <s v="V"/>
    <n v="4"/>
    <s v="DD"/>
    <x v="22"/>
    <s v="Ben Langers "/>
    <s v="TNL"/>
    <m/>
    <s v="DVE"/>
    <n v="650"/>
    <s v="Quick Scan "/>
    <s v="Gefactureerd"/>
    <m/>
    <n v="1300"/>
    <n v="250"/>
    <n v="21.875"/>
    <n v="21.875"/>
    <n v="0"/>
    <n v="206.25"/>
  </r>
  <r>
    <s v="do"/>
    <n v="9"/>
    <x v="7"/>
    <x v="0"/>
    <n v="9"/>
    <n v="0"/>
    <n v="17"/>
    <n v="0"/>
    <s v="V"/>
    <n v="8"/>
    <s v="DA"/>
    <x v="17"/>
    <s v="Anneliese Simoens"/>
    <s v="TNL"/>
    <s v="Fase 2"/>
    <s v="IVT"/>
    <n v="1150"/>
    <s v="Voorbereiding Kick-off  + gesprek VP"/>
    <s v="Gepresteerd"/>
    <m/>
    <n v="1150"/>
    <n v="250"/>
    <n v="43.75"/>
    <n v="43.75"/>
    <n v="0"/>
    <n v="162.5"/>
  </r>
  <r>
    <s v="do"/>
    <n v="9"/>
    <x v="7"/>
    <x v="0"/>
    <n v="14"/>
    <n v="0"/>
    <n v="18"/>
    <n v="0"/>
    <s v="V"/>
    <n v="4"/>
    <s v="DD"/>
    <x v="19"/>
    <s v="Gino Dierckx"/>
    <s v="TNL"/>
    <s v="TNL"/>
    <s v="DVE"/>
    <n v="650"/>
    <s v="Toelichten P&amp;L - EDMS"/>
    <s v="Gefactureerd"/>
    <m/>
    <m/>
    <m/>
    <m/>
    <m/>
    <m/>
    <m/>
  </r>
  <r>
    <s v="Vr"/>
    <s v="10"/>
    <x v="7"/>
    <x v="0"/>
    <n v="8"/>
    <n v="30"/>
    <n v="12"/>
    <n v="30"/>
    <s v="V"/>
    <n v="3"/>
    <s v="U"/>
    <x v="3"/>
    <s v="Bert Verbeeck"/>
    <s v="TNL"/>
    <s v="HR2.0"/>
    <s v="DVE"/>
    <n v="356.25"/>
    <s v="Bespreking Lore - processen Iyopro + diversen + PMO projecten "/>
    <s v="Gefactureerd"/>
    <m/>
    <m/>
    <m/>
    <m/>
    <m/>
    <m/>
    <m/>
  </r>
  <r>
    <s v="Vr"/>
    <n v="10"/>
    <x v="7"/>
    <x v="0"/>
    <n v="8"/>
    <n v="0"/>
    <n v="12"/>
    <n v="0"/>
    <s v="V"/>
    <n v="4"/>
    <s v="DD"/>
    <x v="17"/>
    <s v="Anneliese Simoens"/>
    <s v="TNL"/>
    <s v="Fase 2"/>
    <s v="IVT"/>
    <n v="650"/>
    <s v="Kick-off DeBemiddelaar"/>
    <s v="Gepresteerd"/>
    <m/>
    <n v="1300"/>
    <n v="250"/>
    <n v="21.875"/>
    <n v="21.875"/>
    <n v="0"/>
    <n v="206.25"/>
  </r>
  <r>
    <s v="ma"/>
    <s v="13"/>
    <x v="7"/>
    <x v="0"/>
    <n v="8"/>
    <n v="0"/>
    <n v="10"/>
    <n v="0"/>
    <s v="T"/>
    <n v="1.5"/>
    <s v="U"/>
    <x v="20"/>
    <s v="Tim Culot "/>
    <s v="TNL"/>
    <s v="TNL"/>
    <s v="DVE"/>
    <n v="187.5"/>
    <s v="Functiebeschrijving Planner + ingeven waarden in TNL Tool "/>
    <s v="Gepresteerd "/>
    <m/>
    <n v="1000"/>
    <n v="220"/>
    <n v="7.21875"/>
    <n v="7.21875"/>
    <n v="0"/>
    <n v="205.5625"/>
  </r>
  <r>
    <s v="ma"/>
    <s v="13"/>
    <x v="7"/>
    <x v="0"/>
    <m/>
    <m/>
    <m/>
    <m/>
    <s v="V"/>
    <m/>
    <m/>
    <x v="15"/>
    <s v="Wilfried Fransch "/>
    <s v="TNL"/>
    <m/>
    <s v="WFR"/>
    <n v="906.25"/>
    <m/>
    <s v="Gefactureerd"/>
    <m/>
    <m/>
    <m/>
    <m/>
    <m/>
    <m/>
    <m/>
  </r>
  <r>
    <s v="di"/>
    <s v="14"/>
    <x v="7"/>
    <x v="0"/>
    <n v="8"/>
    <n v="0"/>
    <n v="12"/>
    <n v="0"/>
    <s v="V"/>
    <n v="4"/>
    <s v="DD"/>
    <x v="20"/>
    <s v="Tim Culot "/>
    <s v="TNL"/>
    <s v="TNL"/>
    <s v="DVE"/>
    <n v="650"/>
    <s v="Functiebeschrijving en bespreking Eddy Van Dam "/>
    <s v="Gepresteerd "/>
    <m/>
    <n v="1300"/>
    <n v="250"/>
    <n v="21.875"/>
    <n v="21.875"/>
    <n v="0"/>
    <n v="206.25"/>
  </r>
  <r>
    <s v="wo"/>
    <s v="15"/>
    <x v="7"/>
    <x v="0"/>
    <n v="9"/>
    <n v="0"/>
    <n v="17"/>
    <n v="0"/>
    <s v="T"/>
    <n v="8"/>
    <s v="DA"/>
    <x v="0"/>
    <s v="Dirk Vander Eyken"/>
    <s v="Verlof"/>
    <m/>
    <s v="DVE"/>
    <m/>
    <m/>
    <s v="Gepresteerd "/>
    <m/>
    <m/>
    <m/>
    <m/>
    <m/>
    <m/>
    <m/>
  </r>
  <r>
    <s v="do"/>
    <s v="16"/>
    <x v="7"/>
    <x v="0"/>
    <n v="8"/>
    <n v="0"/>
    <n v="14"/>
    <n v="0"/>
    <s v="V"/>
    <n v="6"/>
    <s v="U"/>
    <x v="6"/>
    <s v="Cédric Daems "/>
    <s v="TNL"/>
    <s v="TNL"/>
    <s v="DVE"/>
    <n v="675"/>
    <s v="Bezoek Rescope "/>
    <s v="Gefactureerd"/>
    <m/>
    <m/>
    <m/>
    <m/>
    <m/>
    <m/>
    <m/>
  </r>
  <r>
    <s v="do"/>
    <n v="16"/>
    <x v="7"/>
    <x v="0"/>
    <n v="8"/>
    <n v="0"/>
    <n v="13"/>
    <n v="0"/>
    <s v="T"/>
    <n v="5"/>
    <s v="U"/>
    <x v="23"/>
    <s v="David  De Smedt"/>
    <s v="TNL"/>
    <m/>
    <s v="CHE"/>
    <n v="625"/>
    <m/>
    <s v="Gefactureerd"/>
    <m/>
    <n v="1000"/>
    <n v="220"/>
    <n v="24.0625"/>
    <n v="24.0625"/>
    <n v="0"/>
    <n v="171.875"/>
  </r>
  <r>
    <s v="Vr"/>
    <s v="17"/>
    <x v="7"/>
    <x v="0"/>
    <n v="8"/>
    <n v="30"/>
    <n v="12"/>
    <n v="30"/>
    <s v="V"/>
    <n v="4"/>
    <s v="DD"/>
    <x v="3"/>
    <s v="Bert Verbeeck"/>
    <s v="TNL"/>
    <s v="HR2.0"/>
    <s v="DVE"/>
    <n v="575"/>
    <s v="Bespreking Lore - processen Iyopro + diversen"/>
    <s v="Gefactureerd"/>
    <m/>
    <m/>
    <m/>
    <m/>
    <m/>
    <m/>
    <m/>
  </r>
  <r>
    <s v="Vr"/>
    <n v="17"/>
    <x v="7"/>
    <x v="0"/>
    <n v="8"/>
    <n v="0"/>
    <n v="12"/>
    <n v="0"/>
    <s v="V"/>
    <n v="4"/>
    <s v="DD"/>
    <x v="18"/>
    <s v="Tim Culot "/>
    <s v="TNL"/>
    <s v="TNL"/>
    <s v="CHE"/>
    <n v="650"/>
    <m/>
    <s v="Gepresteerd"/>
    <m/>
    <n v="1300"/>
    <n v="250"/>
    <n v="21.875"/>
    <n v="21.875"/>
    <n v="0"/>
    <n v="206.25"/>
  </r>
  <r>
    <s v="Vr"/>
    <n v="17"/>
    <x v="7"/>
    <x v="0"/>
    <n v="8"/>
    <n v="0"/>
    <n v="12"/>
    <n v="0"/>
    <s v="V"/>
    <n v="4"/>
    <s v="DD"/>
    <x v="17"/>
    <s v="Anneliese Simoens"/>
    <s v="TNL"/>
    <s v="Fase 2"/>
    <s v="IVT"/>
    <n v="650"/>
    <s v="Voorbereiding Kleos Opleiding met Jan en Veerle P."/>
    <s v="Gepresteerd"/>
    <m/>
    <n v="1300"/>
    <n v="250"/>
    <n v="21.875"/>
    <n v="21.875"/>
    <n v="0"/>
    <n v="206.25"/>
  </r>
  <r>
    <s v="za"/>
    <n v="17"/>
    <x v="7"/>
    <x v="0"/>
    <n v="13"/>
    <n v="30"/>
    <n v="16"/>
    <n v="30"/>
    <s v="V"/>
    <n v="4"/>
    <s v="DD"/>
    <x v="20"/>
    <s v="Tim Culot "/>
    <s v="TNL"/>
    <s v="TNL"/>
    <s v="DVE"/>
    <n v="650"/>
    <s v="Bespreking P&amp;L - Budget - langetermijn doelstellingen "/>
    <s v="Gepresteerd "/>
    <m/>
    <n v="1300"/>
    <n v="250"/>
    <n v="21.875"/>
    <n v="21.875"/>
    <n v="0"/>
    <n v="206.25"/>
  </r>
  <r>
    <s v="Vr"/>
    <n v="17"/>
    <x v="7"/>
    <x v="0"/>
    <n v="15"/>
    <n v="0"/>
    <n v="17"/>
    <n v="30"/>
    <s v="T"/>
    <s v="2,5"/>
    <s v="U"/>
    <x v="17"/>
    <s v="Anneliese Simoens"/>
    <s v="TNL"/>
    <s v="Fase 2"/>
    <s v="IVT"/>
    <n v="312.5"/>
    <s v="Ontwerp en afdruk Kleos Remindertool"/>
    <s v="Gepresteerd"/>
    <m/>
    <n v="1000"/>
    <n v="220"/>
    <n v="12.03125"/>
    <n v="12.03125"/>
    <n v="0"/>
    <n v="195.9375"/>
  </r>
  <r>
    <s v="ma"/>
    <s v="20"/>
    <x v="7"/>
    <x v="0"/>
    <n v="8"/>
    <n v="0"/>
    <n v="17"/>
    <n v="0"/>
    <s v="V"/>
    <n v="8"/>
    <s v="DA"/>
    <x v="24"/>
    <s v="Nancy Steenbakkers "/>
    <s v="TNL"/>
    <s v="TNL"/>
    <s v="DVE"/>
    <n v="1250"/>
    <m/>
    <s v="Gefactureerd"/>
    <m/>
    <n v="1250"/>
    <n v="250"/>
    <n v="43.75"/>
    <n v="43.75"/>
    <n v="0"/>
    <n v="162.5"/>
  </r>
  <r>
    <s v="ma"/>
    <n v="20"/>
    <x v="7"/>
    <x v="0"/>
    <n v="8"/>
    <n v="0"/>
    <n v="13"/>
    <n v="30"/>
    <s v="T"/>
    <s v="5,5"/>
    <s v="U"/>
    <x v="17"/>
    <s v="Anneliese Simoens"/>
    <s v="TNL"/>
    <s v="Fase 2"/>
    <s v="IVT"/>
    <n v="687.5"/>
    <s v="Voorbereiding Projectmatig Werken Opleiding"/>
    <s v="Gepresteerd"/>
    <m/>
    <n v="1000"/>
    <n v="220"/>
    <n v="26.46875"/>
    <n v="26.46875"/>
    <n v="0"/>
    <n v="167.0625"/>
  </r>
  <r>
    <s v="di"/>
    <s v="21"/>
    <x v="7"/>
    <x v="0"/>
    <n v="8"/>
    <n v="30"/>
    <n v="12"/>
    <n v="30"/>
    <s v="V"/>
    <n v="4"/>
    <s v="DD"/>
    <x v="3"/>
    <s v="Bert Verbeeck"/>
    <s v="TNL"/>
    <s v="PMO 2.0"/>
    <s v="DVE"/>
    <n v="575"/>
    <s v="Bespreking Nick  Overdracht PMO"/>
    <s v="Gefactureerd"/>
    <m/>
    <m/>
    <m/>
    <m/>
    <m/>
    <m/>
    <m/>
  </r>
  <r>
    <s v="di"/>
    <n v="21"/>
    <x v="7"/>
    <x v="0"/>
    <n v="8"/>
    <n v="0"/>
    <n v="12"/>
    <n v="0"/>
    <s v="T"/>
    <n v="4"/>
    <s v="U"/>
    <x v="19"/>
    <s v="Gino Dierckx"/>
    <s v="TNL"/>
    <m/>
    <s v="CHE"/>
    <n v="500"/>
    <s v="Voorbereiding, opmaak file driejarenplan "/>
    <s v="Gefactureerd"/>
    <m/>
    <m/>
    <m/>
    <m/>
    <m/>
    <m/>
    <m/>
  </r>
  <r>
    <s v="di"/>
    <n v="21"/>
    <x v="7"/>
    <x v="0"/>
    <n v="8"/>
    <n v="0"/>
    <n v="10"/>
    <n v="0"/>
    <s v="T"/>
    <n v="2"/>
    <s v="U"/>
    <x v="23"/>
    <s v="David  De Smedt"/>
    <s v="TNL"/>
    <m/>
    <s v="CHE"/>
    <n v="250"/>
    <m/>
    <s v="Gefactureerd"/>
    <m/>
    <n v="1000"/>
    <n v="220"/>
    <n v="9.625"/>
    <n v="9.625"/>
    <n v="0"/>
    <n v="200.75"/>
  </r>
  <r>
    <s v="di"/>
    <s v="21"/>
    <x v="7"/>
    <x v="0"/>
    <n v="13"/>
    <n v="0"/>
    <n v="15"/>
    <n v="0"/>
    <s v="V"/>
    <n v="2"/>
    <s v="U"/>
    <x v="24"/>
    <s v="Nancy Steenbakkers "/>
    <s v="TNL"/>
    <s v="TNL"/>
    <s v="DVE"/>
    <n v="370"/>
    <m/>
    <s v="Gefactureerd"/>
    <m/>
    <n v="1480"/>
    <n v="250"/>
    <n v="10.9375"/>
    <n v="10.9375"/>
    <n v="0"/>
    <n v="228.125"/>
  </r>
  <r>
    <s v="di"/>
    <n v="21"/>
    <x v="7"/>
    <x v="0"/>
    <n v="13"/>
    <n v="0"/>
    <n v="13"/>
    <n v="30"/>
    <s v="T"/>
    <n v="0.5"/>
    <s v="U"/>
    <x v="17"/>
    <s v="Anneliese Simoens"/>
    <s v="TNL"/>
    <s v="Fase 2"/>
    <s v="IVT"/>
    <n v="62.5"/>
    <s v="Kleos: drukkerij contact en reset WORD doc"/>
    <s v="Gepresteerd"/>
    <m/>
    <n v="1000"/>
    <n v="220"/>
    <n v="2.40625"/>
    <n v="2.40625"/>
    <n v="0"/>
    <n v="215.1875"/>
  </r>
  <r>
    <s v="di"/>
    <s v="21"/>
    <x v="7"/>
    <x v="0"/>
    <n v="15"/>
    <n v="0"/>
    <n v="16"/>
    <n v="30"/>
    <s v="V"/>
    <n v="1.5"/>
    <s v="U"/>
    <x v="19"/>
    <s v="Gino Dierckx"/>
    <s v="TNL"/>
    <s v="TNL"/>
    <s v="DVE"/>
    <n v="262.5"/>
    <s v="Voorbereiding en opzet budget EDMS @ CHE Sinai"/>
    <s v="Gefactureerd"/>
    <m/>
    <m/>
    <m/>
    <m/>
    <m/>
    <m/>
    <m/>
  </r>
  <r>
    <s v="wo"/>
    <n v="22"/>
    <x v="7"/>
    <x v="0"/>
    <n v="8"/>
    <n v="0"/>
    <n v="12"/>
    <n v="0"/>
    <s v="T"/>
    <n v="4"/>
    <s v="U"/>
    <x v="22"/>
    <s v="Ben Langers "/>
    <s v="TNL"/>
    <m/>
    <s v="CHE"/>
    <n v="500"/>
    <m/>
    <s v="Gefactureerd"/>
    <m/>
    <n v="1000"/>
    <n v="220"/>
    <n v="19.25"/>
    <n v="19.25"/>
    <n v="0"/>
    <n v="181.5"/>
  </r>
  <r>
    <s v="wo"/>
    <s v="22"/>
    <x v="7"/>
    <x v="0"/>
    <n v="9"/>
    <n v="0"/>
    <n v="17"/>
    <n v="0"/>
    <s v="V"/>
    <n v="8"/>
    <s v="DA"/>
    <x v="16"/>
    <s v="Jan Keersmaekers "/>
    <s v="TNL"/>
    <s v="TNL"/>
    <s v="DVE"/>
    <n v="1150"/>
    <s v="Implementatie elementen TNL Metroplan"/>
    <s v="Gefactureerd"/>
    <m/>
    <n v="1150"/>
    <n v="250"/>
    <n v="43.75"/>
    <n v="43.75"/>
    <n v="0"/>
    <n v="162.5"/>
  </r>
  <r>
    <s v="do"/>
    <n v="23"/>
    <x v="7"/>
    <x v="0"/>
    <n v="8"/>
    <n v="0"/>
    <n v="12"/>
    <n v="0"/>
    <s v="V"/>
    <n v="4"/>
    <s v="DD"/>
    <x v="22"/>
    <s v="Ben Langers "/>
    <s v="TNL"/>
    <m/>
    <s v="CHE"/>
    <n v="650"/>
    <m/>
    <s v="Gefactureerd"/>
    <m/>
    <n v="1300"/>
    <n v="250"/>
    <n v="21.875"/>
    <n v="21.875"/>
    <n v="0"/>
    <n v="206.25"/>
  </r>
  <r>
    <s v="do"/>
    <n v="23"/>
    <x v="7"/>
    <x v="0"/>
    <n v="8"/>
    <n v="0"/>
    <n v="11"/>
    <n v="0"/>
    <s v="V"/>
    <n v="3"/>
    <s v="U"/>
    <x v="23"/>
    <s v="David  De Smedt"/>
    <s v="TNL"/>
    <m/>
    <s v="CHE"/>
    <n v="525"/>
    <m/>
    <s v="Gefactureerd"/>
    <m/>
    <n v="1400"/>
    <n v="250"/>
    <n v="16.40625"/>
    <n v="16.40625"/>
    <n v="0"/>
    <n v="217.1875"/>
  </r>
  <r>
    <s v="do"/>
    <s v="23"/>
    <x v="7"/>
    <x v="0"/>
    <n v="9"/>
    <n v="0"/>
    <n v="12"/>
    <n v="30"/>
    <s v="V"/>
    <n v="4"/>
    <s v="DD"/>
    <x v="22"/>
    <s v="Ben Langers "/>
    <s v="TNL"/>
    <s v="TNL"/>
    <s v="DVE"/>
    <n v="650"/>
    <s v="Overlopen P&amp;L ism Carlos Herman + bespreking diverse voortgang project TNL"/>
    <s v="Gefactureerd"/>
    <m/>
    <n v="1300"/>
    <n v="250"/>
    <n v="21.875"/>
    <n v="21.875"/>
    <n v="0"/>
    <n v="206.25"/>
  </r>
  <r>
    <s v="do"/>
    <n v="23"/>
    <x v="7"/>
    <x v="0"/>
    <n v="14"/>
    <n v="30"/>
    <n v="17"/>
    <n v="30"/>
    <s v="V"/>
    <n v="3"/>
    <s v="U"/>
    <x v="23"/>
    <s v="David  De Smedt"/>
    <s v="TNL"/>
    <s v="TNL"/>
    <s v="DVE"/>
    <n v="525"/>
    <s v="Overlopen P&amp;L en strategisch advies mbt aankoop extra pand. "/>
    <s v="Gefactureerd"/>
    <m/>
    <n v="1400"/>
    <n v="250"/>
    <n v="16.40625"/>
    <n v="16.40625"/>
    <n v="0"/>
    <n v="217.1875"/>
  </r>
  <r>
    <s v="do"/>
    <n v="23"/>
    <x v="7"/>
    <x v="0"/>
    <n v="15"/>
    <n v="0"/>
    <n v="15"/>
    <n v="15"/>
    <s v="T"/>
    <s v="0,25"/>
    <s v="U"/>
    <x v="17"/>
    <s v="Anneliese Simoens"/>
    <s v="TNL"/>
    <s v="Fase 2"/>
    <s v="IVT"/>
    <n v="31.25"/>
    <s v="Drukkerij: finaal contact"/>
    <s v="Gepresteerd"/>
    <m/>
    <n v="1000"/>
    <n v="220"/>
    <n v="1.203125"/>
    <n v="1.203125"/>
    <n v="0"/>
    <n v="217.59375"/>
  </r>
  <r>
    <s v="do"/>
    <s v="23"/>
    <x v="7"/>
    <x v="0"/>
    <n v="19"/>
    <n v="30"/>
    <n v="22"/>
    <n v="30"/>
    <s v="V"/>
    <n v="3"/>
    <s v="U"/>
    <x v="24"/>
    <s v="Nancy Steenbakkers "/>
    <s v="TNL"/>
    <s v="TNL"/>
    <s v="DVE"/>
    <n v="555"/>
    <s v="Voorstelling 5 jaren budget aan shareholders "/>
    <s v="Gefactureerd"/>
    <m/>
    <n v="1480"/>
    <n v="250"/>
    <n v="16.40625"/>
    <n v="16.40625"/>
    <n v="0"/>
    <n v="217.1875"/>
  </r>
  <r>
    <s v="Vr"/>
    <n v="24"/>
    <x v="7"/>
    <x v="0"/>
    <n v="8"/>
    <n v="30"/>
    <n v="11"/>
    <n v="30"/>
    <s v="V"/>
    <n v="3"/>
    <s v="U"/>
    <x v="3"/>
    <s v="Bert Verbeeck"/>
    <s v="TNL"/>
    <s v="HR2.0"/>
    <s v="DVE"/>
    <n v="356.25"/>
    <s v="Bespreking Lore - processen Iyopro + diversen + PMO projecten "/>
    <s v="Gefactureerd"/>
    <m/>
    <m/>
    <m/>
    <m/>
    <m/>
    <m/>
    <m/>
  </r>
  <r>
    <s v="Vr"/>
    <n v="24"/>
    <x v="7"/>
    <x v="0"/>
    <n v="13"/>
    <n v="30"/>
    <n v="17"/>
    <n v="0"/>
    <s v="V"/>
    <n v="4"/>
    <s v="DD"/>
    <x v="20"/>
    <s v="Tim Culot "/>
    <s v="TNL"/>
    <s v="TNL"/>
    <s v="DVE"/>
    <n v="650"/>
    <s v="Bespreking strategie en voorstelling Jan Brackx "/>
    <s v="Gepresteerd "/>
    <m/>
    <n v="1300"/>
    <n v="250"/>
    <n v="21.875"/>
    <n v="21.875"/>
    <n v="0"/>
    <n v="206.25"/>
  </r>
  <r>
    <s v="ma"/>
    <n v="27"/>
    <x v="7"/>
    <x v="0"/>
    <n v="8"/>
    <n v="0"/>
    <n v="17"/>
    <n v="0"/>
    <s v="V"/>
    <n v="8"/>
    <s v="DA"/>
    <x v="24"/>
    <s v="Nancy Steenbakkers "/>
    <s v="TNL"/>
    <s v="TNL"/>
    <s v="DVE"/>
    <n v="1250"/>
    <s v="Voorbereiding PowerPoint en Voorstelling 5 jaren budget aan Banken "/>
    <s v="Gefactureerd"/>
    <m/>
    <n v="1250"/>
    <n v="250"/>
    <n v="43.75"/>
    <n v="43.75"/>
    <n v="0"/>
    <n v="162.5"/>
  </r>
  <r>
    <s v="ma"/>
    <n v="27"/>
    <x v="7"/>
    <x v="0"/>
    <n v="14"/>
    <n v="0"/>
    <n v="16"/>
    <n v="0"/>
    <s v="T"/>
    <n v="2"/>
    <s v="U"/>
    <x v="17"/>
    <s v="Anneliese Simoens"/>
    <s v="TNL"/>
    <s v="Fase 2"/>
    <s v="IVT"/>
    <n v="250"/>
    <s v="Opleiding Projectmatig Werken: voorbereiding en afdrukken"/>
    <s v="Gepresteerd"/>
    <m/>
    <n v="1000"/>
    <n v="220"/>
    <n v="9.625"/>
    <n v="9.625"/>
    <n v="0"/>
    <n v="200.75"/>
  </r>
  <r>
    <s v="di"/>
    <n v="28"/>
    <x v="7"/>
    <x v="0"/>
    <n v="8"/>
    <n v="0"/>
    <n v="14"/>
    <n v="0"/>
    <s v="T"/>
    <n v="6"/>
    <s v="U"/>
    <x v="19"/>
    <s v="Gino Dierckx"/>
    <s v="TNL"/>
    <m/>
    <s v="CHE"/>
    <n v="750"/>
    <s v="Voorbereiding, opmaak file driejarenplan"/>
    <s v="Gefactureerd"/>
    <m/>
    <m/>
    <m/>
    <m/>
    <m/>
    <m/>
    <m/>
  </r>
  <r>
    <s v="di"/>
    <n v="28"/>
    <x v="7"/>
    <x v="0"/>
    <n v="9"/>
    <n v="0"/>
    <n v="13"/>
    <n v="0"/>
    <s v="V"/>
    <n v="4"/>
    <s v="DD"/>
    <x v="16"/>
    <s v="Jan Keersmaekers "/>
    <s v="TNL"/>
    <s v="TNL"/>
    <s v="DVE"/>
    <n v="650"/>
    <s v="Missie &amp; visie samen met Ben Langers Solid Networks "/>
    <s v="Gefactureerd"/>
    <m/>
    <n v="1300"/>
    <n v="250"/>
    <n v="21.875"/>
    <n v="21.875"/>
    <n v="0"/>
    <n v="206.25"/>
  </r>
  <r>
    <s v="di"/>
    <n v="28"/>
    <x v="7"/>
    <x v="0"/>
    <n v="14"/>
    <n v="0"/>
    <n v="17"/>
    <n v="30"/>
    <s v="T"/>
    <n v="3.5"/>
    <s v="U"/>
    <x v="3"/>
    <s v="Bert Verbeeck"/>
    <s v="TNL"/>
    <s v="HR2.0"/>
    <s v="DVE"/>
    <n v="415.625"/>
    <s v="Bespreking Lore - Finalisering Functiebeschrijvigen - 300 verantwoordelijkheden lijst "/>
    <s v="Gefactureerd"/>
    <m/>
    <m/>
    <m/>
    <m/>
    <m/>
    <m/>
    <m/>
  </r>
  <r>
    <s v="wo"/>
    <n v="29"/>
    <x v="7"/>
    <x v="0"/>
    <n v="9"/>
    <n v="0"/>
    <n v="17"/>
    <n v="0"/>
    <s v="V"/>
    <n v="8"/>
    <s v="DA"/>
    <x v="18"/>
    <s v="Tim  Culot"/>
    <s v="TNL"/>
    <s v="TNL"/>
    <s v="DVE"/>
    <n v="1150"/>
    <s v="Missie &amp; Visie Culot "/>
    <s v="Gepresteerd"/>
    <m/>
    <n v="1150"/>
    <n v="250"/>
    <n v="43.75"/>
    <n v="43.75"/>
    <n v="0"/>
    <n v="162.5"/>
  </r>
  <r>
    <s v="do"/>
    <n v="30"/>
    <x v="7"/>
    <x v="0"/>
    <n v="8"/>
    <n v="0"/>
    <n v="16"/>
    <n v="0"/>
    <s v="V"/>
    <n v="8"/>
    <s v="DA"/>
    <x v="19"/>
    <s v="Gino Dierckx"/>
    <s v="TNL"/>
    <m/>
    <s v="CHE"/>
    <n v="1150"/>
    <s v="Opbouw, afwerking driejarenplan"/>
    <s v="Gefactureerd"/>
    <m/>
    <m/>
    <m/>
    <m/>
    <m/>
    <m/>
    <m/>
  </r>
  <r>
    <s v="do"/>
    <n v="30"/>
    <x v="7"/>
    <x v="0"/>
    <n v="8"/>
    <n v="0"/>
    <n v="16"/>
    <n v="0"/>
    <s v="V"/>
    <n v="8"/>
    <s v="DA"/>
    <x v="17"/>
    <s v="Anneliese Simoens"/>
    <s v="TNL"/>
    <s v="Fase 2"/>
    <s v="IVT"/>
    <n v="1150"/>
    <s v="Opleiding Projectmatig Werken"/>
    <s v="Gepresteerd"/>
    <m/>
    <n v="1150"/>
    <n v="250"/>
    <n v="43.75"/>
    <n v="43.75"/>
    <n v="0"/>
    <n v="162.5"/>
  </r>
  <r>
    <s v="do"/>
    <n v="30"/>
    <x v="7"/>
    <x v="0"/>
    <n v="9"/>
    <n v="0"/>
    <n v="17"/>
    <n v="0"/>
    <s v="V"/>
    <n v="8"/>
    <s v="DA"/>
    <x v="19"/>
    <s v="Gino Dierckx"/>
    <s v="TNL"/>
    <s v="TNL"/>
    <s v="DVE"/>
    <n v="1150"/>
    <s v="Voorbereiding en opzet budget EDMS + 3 jaren plan "/>
    <s v="Gefactureerd"/>
    <m/>
    <m/>
    <m/>
    <m/>
    <m/>
    <m/>
    <m/>
  </r>
  <r>
    <s v="wo"/>
    <n v="5"/>
    <x v="8"/>
    <x v="0"/>
    <n v="8"/>
    <n v="0"/>
    <n v="16"/>
    <n v="0"/>
    <s v="V"/>
    <n v="8"/>
    <s v="DA"/>
    <x v="16"/>
    <s v="Marleen Van Zele"/>
    <s v="TNL"/>
    <m/>
    <s v="DVE"/>
    <n v="1150"/>
    <s v="Budgetten + 3 jaarplan eagle IT samen met CHE en MVZ"/>
    <s v="Gepresteerd"/>
    <m/>
    <n v="1150"/>
    <n v="220"/>
    <n v="38.5"/>
    <n v="38.5"/>
    <n v="0"/>
    <n v="143"/>
  </r>
  <r>
    <s v="Vr"/>
    <n v="7"/>
    <x v="8"/>
    <x v="0"/>
    <n v="10"/>
    <n v="0"/>
    <n v="15"/>
    <n v="0"/>
    <s v="T"/>
    <n v="5"/>
    <s v="U"/>
    <x v="25"/>
    <s v="Bert Verbeeck"/>
    <s v="TNL"/>
    <m/>
    <s v="DVE"/>
    <n v="593.75"/>
    <s v="Afwerken functiebeschrijvingen 300 + Agenda MT met toelichting van de item HR2.0"/>
    <s v="Gepresteerd"/>
    <m/>
    <m/>
    <m/>
    <m/>
    <m/>
    <m/>
    <m/>
  </r>
  <r>
    <s v="Vr"/>
    <n v="7"/>
    <x v="8"/>
    <x v="0"/>
    <n v="18"/>
    <n v="0"/>
    <n v="21"/>
    <n v="0"/>
    <s v="T"/>
    <n v="3"/>
    <s v="U"/>
    <x v="25"/>
    <s v="Bert Verbeeck"/>
    <s v="TNL"/>
    <m/>
    <s v="DVE"/>
    <n v="356.25"/>
    <s v="aanpassen docs functioneringsgesprekken (klaar voor afdruk) + programmatie "/>
    <s v="Gepresteerd"/>
    <m/>
    <m/>
    <m/>
    <m/>
    <m/>
    <m/>
    <m/>
  </r>
  <r>
    <s v="za"/>
    <n v="8"/>
    <x v="8"/>
    <x v="0"/>
    <n v="8"/>
    <n v="0"/>
    <n v="10"/>
    <n v="0"/>
    <s v="T"/>
    <n v="2"/>
    <s v="U"/>
    <x v="25"/>
    <s v="Bert Verbeeck"/>
    <s v="TNL"/>
    <m/>
    <s v="DVE"/>
    <n v="237.5"/>
    <s v="Aanassen afdrukversie viir functioneringsgesprekken"/>
    <s v="Gepresteerd"/>
    <m/>
    <m/>
    <m/>
    <n v="813.203125"/>
    <n v="813.203125"/>
    <n v="0"/>
    <n v="6763.59375"/>
  </r>
  <r>
    <s v="ma"/>
    <n v="10"/>
    <x v="8"/>
    <x v="0"/>
    <n v="9"/>
    <n v="0"/>
    <n v="10"/>
    <n v="0"/>
    <s v="T"/>
    <n v="1"/>
    <s v="U"/>
    <x v="0"/>
    <s v=" "/>
    <s v="TNL"/>
    <m/>
    <s v="DVE"/>
    <n v="0"/>
    <s v="mails en diverse "/>
    <s v="Gepresteerd"/>
    <m/>
    <m/>
    <m/>
    <m/>
    <m/>
    <m/>
    <m/>
  </r>
  <r>
    <s v="ma"/>
    <n v="10"/>
    <x v="8"/>
    <x v="0"/>
    <n v="11"/>
    <n v="0"/>
    <n v="13"/>
    <n v="0"/>
    <s v="T"/>
    <n v="2"/>
    <s v="U"/>
    <x v="0"/>
    <s v=" "/>
    <s v="TNL"/>
    <m/>
    <s v="DVE"/>
    <n v="0"/>
    <s v="overdracht info FB - PMO @ IVT"/>
    <s v="Gepresteerd"/>
    <m/>
    <m/>
    <m/>
    <m/>
    <m/>
    <m/>
    <m/>
  </r>
  <r>
    <s v="ma"/>
    <n v="10"/>
    <x v="8"/>
    <x v="0"/>
    <n v="14"/>
    <n v="0"/>
    <n v="18"/>
    <n v="0"/>
    <s v="T"/>
    <n v="4"/>
    <s v="U"/>
    <x v="0"/>
    <s v=" "/>
    <s v="TNL"/>
    <m/>
    <s v="DVE"/>
    <n v="0"/>
    <s v="Intake gesprek consultant GVB (gwen)"/>
    <s v="Gepresteerd"/>
    <m/>
    <m/>
    <m/>
    <m/>
    <m/>
    <m/>
    <m/>
  </r>
  <r>
    <s v="di"/>
    <n v="11"/>
    <x v="8"/>
    <x v="0"/>
    <n v="9"/>
    <n v="0"/>
    <n v="13"/>
    <n v="0"/>
    <s v="V"/>
    <n v="4"/>
    <s v="DD"/>
    <x v="16"/>
    <s v="Marleen Van Zele"/>
    <s v="TNL"/>
    <m/>
    <s v="DVE"/>
    <n v="650"/>
    <s v="Processen in Iyopro samen met Melissa en Jan "/>
    <s v="Gepresteerd"/>
    <m/>
    <n v="1300"/>
    <n v="250"/>
    <n v="21.875"/>
    <n v="21.875"/>
    <n v="0"/>
    <n v="206.25"/>
  </r>
  <r>
    <s v="di"/>
    <n v="11"/>
    <x v="8"/>
    <x v="0"/>
    <n v="14"/>
    <n v="0"/>
    <n v="16"/>
    <n v="30"/>
    <s v="T"/>
    <n v="2.5"/>
    <s v="U"/>
    <x v="0"/>
    <s v=" "/>
    <s v="TNL"/>
    <m/>
    <s v="DVE"/>
    <n v="0"/>
    <s v="Bespreken met IVT prijssetting commissie PL en commerciëel werk"/>
    <s v="Gepresteerd"/>
    <m/>
    <m/>
    <m/>
    <m/>
    <m/>
    <m/>
    <m/>
  </r>
  <r>
    <s v="di"/>
    <n v="11"/>
    <x v="8"/>
    <x v="0"/>
    <n v="17"/>
    <n v="0"/>
    <n v="19"/>
    <n v="0"/>
    <s v="T"/>
    <n v="2"/>
    <s v="U"/>
    <x v="25"/>
    <s v="Bert Verbeeck"/>
    <s v="HR 2.0"/>
    <m/>
    <s v="DVE"/>
    <n v="237.5"/>
    <s v="Opmaken docs functioneringsgesprekken Maarten, Attila, Sabine "/>
    <s v="Gepresteerd"/>
    <m/>
    <m/>
    <m/>
    <m/>
    <m/>
    <m/>
    <m/>
  </r>
  <r>
    <s v="wo"/>
    <n v="12"/>
    <x v="8"/>
    <x v="0"/>
    <n v="8"/>
    <n v="30"/>
    <n v="12"/>
    <n v="30"/>
    <s v="V"/>
    <n v="4"/>
    <s v="DD"/>
    <x v="19"/>
    <s v="Gino Dierckx"/>
    <s v="TNL"/>
    <m/>
    <s v="DVE"/>
    <n v="650"/>
    <s v="Processen van order tot factuur met Anne/Bert/Gino + PMO + Project Summary"/>
    <s v="Gepresteerd"/>
    <m/>
    <m/>
    <m/>
    <m/>
    <m/>
    <m/>
    <m/>
  </r>
  <r>
    <s v="wo"/>
    <n v="12"/>
    <x v="8"/>
    <x v="0"/>
    <n v="14"/>
    <n v="0"/>
    <n v="17"/>
    <n v="0"/>
    <s v="T"/>
    <n v="3"/>
    <s v="U"/>
    <x v="25"/>
    <s v="Bert Verbeeck"/>
    <s v="TNL"/>
    <m/>
    <s v="DVE"/>
    <n v="356.25"/>
    <s v="Presentatie voor Amy + communicatie intern over HR 2.0 aan MT"/>
    <s v="Gepresteerd"/>
    <m/>
    <m/>
    <m/>
    <m/>
    <m/>
    <m/>
    <m/>
  </r>
  <r>
    <s v="wo"/>
    <n v="12"/>
    <x v="8"/>
    <x v="0"/>
    <n v="19"/>
    <n v="0"/>
    <n v="20"/>
    <n v="0"/>
    <s v="T"/>
    <n v="1"/>
    <s v="U"/>
    <x v="0"/>
    <s v=" "/>
    <s v="TNL"/>
    <m/>
    <s v="DVE"/>
    <n v="0"/>
    <s v="PMO voor Advas uitleggen aan IVT"/>
    <s v="Gepresteerd"/>
    <m/>
    <m/>
    <m/>
    <m/>
    <m/>
    <m/>
    <m/>
  </r>
  <r>
    <s v="wo"/>
    <n v="12"/>
    <x v="8"/>
    <x v="0"/>
    <n v="17"/>
    <n v="0"/>
    <n v="18"/>
    <n v="0"/>
    <s v="T"/>
    <n v="1"/>
    <s v="U"/>
    <x v="25"/>
    <s v="Bert Verbeeck"/>
    <s v="HR 2.0"/>
    <m/>
    <s v="DVE"/>
    <n v="118.75"/>
    <s v="Definief maken lay out Doc functioneringsgesprekken"/>
    <s v="Gepresteerd"/>
    <m/>
    <m/>
    <m/>
    <m/>
    <m/>
    <m/>
    <m/>
  </r>
  <r>
    <s v="do"/>
    <n v="13"/>
    <x v="8"/>
    <x v="0"/>
    <n v="16"/>
    <n v="30"/>
    <n v="20"/>
    <n v="0"/>
    <s v="V"/>
    <s v="3,5"/>
    <s v="U"/>
    <x v="0"/>
    <s v=" "/>
    <s v="TNL"/>
    <m/>
    <s v="DVE"/>
    <n v="0"/>
    <s v="Prospectie Tegel Outlet"/>
    <s v="Gepresteerd"/>
    <m/>
    <m/>
    <m/>
    <m/>
    <m/>
    <m/>
    <m/>
  </r>
  <r>
    <s v="do"/>
    <n v="13"/>
    <x v="8"/>
    <x v="0"/>
    <n v="8"/>
    <n v="30"/>
    <n v="10"/>
    <n v="0"/>
    <s v="T"/>
    <n v="1.5"/>
    <s v="U"/>
    <x v="16"/>
    <s v="Marleen Van Zele"/>
    <s v="TNL"/>
    <m/>
    <s v="DVE"/>
    <n v="187.5"/>
    <s v="Presentatie opleiding 'Modeleren van Processen @ eagle IT + Verklaring document Quick Start"/>
    <s v="Gepresteerd"/>
    <m/>
    <m/>
    <m/>
    <m/>
    <m/>
    <m/>
    <m/>
  </r>
  <r>
    <s v="do"/>
    <n v="13"/>
    <x v="8"/>
    <x v="0"/>
    <n v="10"/>
    <n v="0"/>
    <n v="11"/>
    <n v="30"/>
    <s v="T"/>
    <n v="1.5"/>
    <s v="U"/>
    <x v="16"/>
    <s v="Marleen Van Zele"/>
    <s v="TNL"/>
    <m/>
    <s v="DVE"/>
    <n v="187.5"/>
    <s v="Opmaken functie beschrijving in FB-tool + Correct zetten Organogram volgens TNL template"/>
    <s v="Gepresteerd"/>
    <m/>
    <m/>
    <m/>
    <m/>
    <m/>
    <m/>
    <m/>
  </r>
  <r>
    <s v="do"/>
    <n v="13"/>
    <x v="8"/>
    <x v="0"/>
    <n v="11"/>
    <n v="30"/>
    <n v="12"/>
    <n v="30"/>
    <s v="T"/>
    <n v="1"/>
    <s v="U"/>
    <x v="16"/>
    <s v="Marleen Van Zele"/>
    <s v="TNL"/>
    <m/>
    <s v="DVE"/>
    <n v="125"/>
    <s v="Opmaken proces &quot;toekennen van loonsverhogingen&quot; en importeren in Iyopro - eagle IT"/>
    <s v="Gepresteerd"/>
    <m/>
    <m/>
    <m/>
    <m/>
    <m/>
    <m/>
    <m/>
  </r>
  <r>
    <s v="ma"/>
    <n v="17"/>
    <x v="8"/>
    <x v="0"/>
    <n v="13"/>
    <n v="0"/>
    <n v="15"/>
    <n v="0"/>
    <s v="T"/>
    <n v="2"/>
    <s v="U"/>
    <x v="25"/>
    <s v="Bert Verbeeck"/>
    <s v="TNL"/>
    <m/>
    <s v="DVE"/>
    <n v="237.5"/>
    <s v="Overlopen ppt Amy&amp; MT  + Uitleggen werking Functionerings gesprekken document "/>
    <s v="Gebudgetteerd"/>
    <m/>
    <m/>
    <m/>
    <m/>
    <m/>
    <m/>
    <m/>
  </r>
  <r>
    <s v="ma"/>
    <n v="17"/>
    <x v="8"/>
    <x v="0"/>
    <n v="9"/>
    <n v="0"/>
    <n v="10"/>
    <n v="30"/>
    <s v="T"/>
    <n v="1.5"/>
    <s v="U"/>
    <x v="25"/>
    <s v="Bert Verbeeck"/>
    <s v="TNL"/>
    <m/>
    <s v="DVE"/>
    <n v="178.125"/>
    <s v="FG's Bianca/Tiny; actie plan Missie waarden/ PMO vraag Nick/ vvorbereidng Achievements HR2.0"/>
    <s v="Gepresteerd"/>
    <m/>
    <m/>
    <m/>
    <m/>
    <m/>
    <m/>
    <m/>
  </r>
  <r>
    <s v="wo"/>
    <n v="19"/>
    <x v="8"/>
    <x v="0"/>
    <n v="7"/>
    <n v="30"/>
    <n v="11"/>
    <n v="30"/>
    <s v="V"/>
    <n v="4"/>
    <s v="DD"/>
    <x v="26"/>
    <s v="Gunter Aerts"/>
    <s v="TNL"/>
    <m/>
    <s v="DVE"/>
    <n v="650"/>
    <s v="P&amp;L met CHE "/>
    <s v="Gebudgetteerd"/>
    <m/>
    <m/>
    <m/>
    <m/>
    <m/>
    <m/>
    <m/>
  </r>
  <r>
    <s v="wo"/>
    <n v="19"/>
    <x v="8"/>
    <x v="0"/>
    <n v="16"/>
    <n v="0"/>
    <n v="18"/>
    <n v="0"/>
    <s v="T"/>
    <n v="2"/>
    <s v="U"/>
    <x v="25"/>
    <s v="Bert Verbeeck"/>
    <s v="TNL"/>
    <m/>
    <s v="DVE"/>
    <n v="237.5"/>
    <s v="Prestentatie @ Amy Aquion"/>
    <s v="Gebudgetteerd"/>
    <m/>
    <m/>
    <m/>
    <m/>
    <m/>
    <m/>
    <m/>
  </r>
  <r>
    <s v="wo"/>
    <n v="26"/>
    <x v="8"/>
    <x v="0"/>
    <n v="8"/>
    <n v="30"/>
    <n v="12"/>
    <n v="30"/>
    <s v="V"/>
    <n v="4"/>
    <s v="DD"/>
    <x v="19"/>
    <s v="Gino Dierckx"/>
    <s v="TNL"/>
    <m/>
    <s v="DVE"/>
    <n v="650"/>
    <s v="Proces facturen maken vanuit Optedo met Anne"/>
    <s v="Gebudgetteerd"/>
    <m/>
    <m/>
    <m/>
    <m/>
    <m/>
    <m/>
    <m/>
  </r>
  <r>
    <s v="do"/>
    <n v="27"/>
    <x v="8"/>
    <x v="0"/>
    <n v="8"/>
    <n v="30"/>
    <n v="12"/>
    <n v="30"/>
    <s v="V"/>
    <n v="4"/>
    <s v="DD"/>
    <x v="25"/>
    <s v="Bert Verbeeck"/>
    <s v="TNL"/>
    <m/>
    <s v="DVE"/>
    <n v="575"/>
    <s v="Voorstellig aan MT alle items van HR2.0"/>
    <s v="Gebudgetteerd"/>
    <m/>
    <m/>
    <m/>
    <m/>
    <m/>
    <m/>
    <m/>
  </r>
  <r>
    <s v="do"/>
    <n v="27"/>
    <x v="8"/>
    <x v="0"/>
    <n v="8"/>
    <n v="30"/>
    <n v="12"/>
    <n v="30"/>
    <s v="V"/>
    <n v="4"/>
    <s v="DD"/>
    <x v="25"/>
    <s v="Bert Verbeeck"/>
    <s v="TNL"/>
    <m/>
    <s v="DVE"/>
    <n v="575"/>
    <s v="MT presentatie achievements HR 2.0"/>
    <s v="Gebudgetteerd"/>
    <m/>
    <m/>
    <m/>
    <m/>
    <m/>
    <m/>
    <m/>
  </r>
  <r>
    <s v="do"/>
    <n v="27"/>
    <x v="8"/>
    <x v="0"/>
    <n v="13"/>
    <n v="0"/>
    <n v="17"/>
    <n v="0"/>
    <s v="V"/>
    <n v="4"/>
    <s v="DD"/>
    <x v="22"/>
    <s v="Ben Langers"/>
    <s v="TNL"/>
    <m/>
    <s v="DVE"/>
    <n v="650"/>
    <s v="Budget Solid Networks geïntegreerd in Aegle IT"/>
    <s v="Gebudgetteerd"/>
    <m/>
    <m/>
    <m/>
    <m/>
    <m/>
    <m/>
    <m/>
  </r>
  <r>
    <s v="do"/>
    <n v="27"/>
    <x v="8"/>
    <x v="0"/>
    <n v="18"/>
    <n v="0"/>
    <n v="22"/>
    <n v="0"/>
    <s v="V"/>
    <n v="4"/>
    <s v="DD"/>
    <x v="27"/>
    <s v="Cédric Daems"/>
    <s v="TNL"/>
    <m/>
    <s v="DVE"/>
    <n v="450"/>
    <s v="RvA financial meeting "/>
    <s v="Gebudgetteerd"/>
    <m/>
    <m/>
    <m/>
    <m/>
    <m/>
    <m/>
    <m/>
  </r>
  <r>
    <s v="WE"/>
    <n v="26"/>
    <x v="8"/>
    <x v="0"/>
    <n v="8"/>
    <n v="0"/>
    <n v="9"/>
    <n v="0"/>
    <s v="T"/>
    <n v="1"/>
    <s v="U"/>
    <x v="15"/>
    <s v="Wilfried Frensch"/>
    <s v="TNL"/>
    <m/>
    <s v="DVE"/>
    <n v="6.25"/>
    <m/>
    <s v="Gepresteerd"/>
    <m/>
    <m/>
    <m/>
    <m/>
    <m/>
    <m/>
    <m/>
  </r>
  <r>
    <s v="WE"/>
    <n v="26"/>
    <x v="8"/>
    <x v="0"/>
    <n v="8"/>
    <n v="0"/>
    <n v="9"/>
    <n v="0"/>
    <s v="T"/>
    <n v="1"/>
    <s v="U"/>
    <x v="23"/>
    <s v="David  De Smedt"/>
    <s v="TNL"/>
    <m/>
    <s v="DVE"/>
    <n v="125"/>
    <m/>
    <s v="Gepresteerd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7">
  <r>
    <s v="ma"/>
    <n v="1"/>
    <x v="0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n v="2"/>
    <x v="0"/>
    <x v="0"/>
    <n v="11"/>
    <n v="0"/>
    <n v="16"/>
    <n v="0"/>
    <s v="T"/>
    <n v="4"/>
    <s v="DD"/>
    <s v="Vitesske"/>
    <s v="Nicolas van der Aa"/>
    <s v="TNL"/>
    <s v="VG25"/>
    <x v="0"/>
    <n v="500"/>
    <s v="Samenwerkingsverbreking OHA verslag/principe"/>
    <s v="Gefactureerd"/>
    <m/>
    <m/>
    <m/>
    <m/>
    <m/>
    <m/>
    <m/>
  </r>
  <r>
    <s v="wo"/>
    <n v="3"/>
    <x v="0"/>
    <x v="0"/>
    <n v="7"/>
    <n v="0"/>
    <n v="17"/>
    <n v="0"/>
    <s v="V"/>
    <n v="8"/>
    <s v="DA"/>
    <s v="Vitesske"/>
    <s v="Nicolas van der Aa"/>
    <s v="TNL"/>
    <s v="VG25"/>
    <x v="1"/>
    <n v="950"/>
    <s v="Project "/>
    <s v="Gefactureerd"/>
    <m/>
    <m/>
    <m/>
    <m/>
    <m/>
    <m/>
    <m/>
  </r>
  <r>
    <s v="wo"/>
    <n v="3"/>
    <x v="0"/>
    <x v="0"/>
    <n v="10"/>
    <n v="0"/>
    <n v="18"/>
    <n v="0"/>
    <s v="V"/>
    <n v="8"/>
    <s v="DA"/>
    <s v="Labo Smeets "/>
    <s v="Kris Motmans "/>
    <s v="TNL"/>
    <s v="TNL"/>
    <x v="0"/>
    <n v="1000"/>
    <s v="Project"/>
    <s v="Gefactureerd"/>
    <m/>
    <m/>
    <m/>
    <m/>
    <m/>
    <m/>
    <m/>
  </r>
  <r>
    <s v="do"/>
    <n v="4"/>
    <x v="0"/>
    <x v="0"/>
    <n v="8"/>
    <n v="0"/>
    <n v="16"/>
    <n v="0"/>
    <s v="V"/>
    <n v="8"/>
    <s v="DA"/>
    <s v="Vitesske"/>
    <s v="Nicolas van der Aa"/>
    <s v="TNL"/>
    <s v="VG25"/>
    <x v="0"/>
    <n v="1050"/>
    <s v="Project "/>
    <s v="Gefactureerd"/>
    <m/>
    <m/>
    <m/>
    <m/>
    <m/>
    <m/>
    <m/>
  </r>
  <r>
    <s v="vr "/>
    <n v="5"/>
    <x v="0"/>
    <x v="0"/>
    <n v="8"/>
    <n v="0"/>
    <n v="12"/>
    <n v="0"/>
    <s v="V"/>
    <n v="4"/>
    <s v="DD"/>
    <s v="Erie Water Treatment "/>
    <s v="Bert Verbeeck"/>
    <s v="TNL"/>
    <s v="HR2.0"/>
    <x v="0"/>
    <n v="575"/>
    <s v="Project "/>
    <s v="Gefactureerd"/>
    <m/>
    <m/>
    <m/>
    <m/>
    <m/>
    <m/>
    <m/>
  </r>
  <r>
    <s v="vr "/>
    <n v="5"/>
    <x v="0"/>
    <x v="0"/>
    <n v="13"/>
    <n v="0"/>
    <n v="17"/>
    <n v="0"/>
    <s v="V"/>
    <n v="4"/>
    <s v="DD"/>
    <s v="Labo Smeets "/>
    <s v="Kris Motmans "/>
    <s v="TNL"/>
    <s v="TNL"/>
    <x v="0"/>
    <n v="600"/>
    <s v="Project "/>
    <s v="Gefactureerd"/>
    <m/>
    <m/>
    <m/>
    <m/>
    <m/>
    <m/>
    <m/>
  </r>
  <r>
    <s v="za"/>
    <n v="6"/>
    <x v="0"/>
    <x v="0"/>
    <n v="8"/>
    <n v="0"/>
    <n v="12"/>
    <n v="0"/>
    <s v="T"/>
    <n v="4"/>
    <s v="U"/>
    <s v="Ariadne "/>
    <s v="Dirk Vander Eyken"/>
    <s v="ORG"/>
    <m/>
    <x v="0"/>
    <m/>
    <s v="businessmodel ariadne bespreking zeger (commisie model)"/>
    <s v="Gefactureerd"/>
    <m/>
    <m/>
    <m/>
    <m/>
    <m/>
    <m/>
    <m/>
  </r>
  <r>
    <s v="zo"/>
    <n v="7"/>
    <x v="0"/>
    <x v="0"/>
    <n v="8"/>
    <n v="0"/>
    <n v="14"/>
    <n v="0"/>
    <s v="T"/>
    <n v="6"/>
    <s v="U"/>
    <s v="Ariadne "/>
    <s v="Dirk Vander Eyken"/>
    <s v="ORG"/>
    <m/>
    <x v="0"/>
    <m/>
    <s v="businessmodel ariadne bespreking Ilse + admin + mails "/>
    <s v="Gefactureerd"/>
    <m/>
    <m/>
    <m/>
    <m/>
    <m/>
    <m/>
    <m/>
  </r>
  <r>
    <s v="ma"/>
    <n v="8"/>
    <x v="0"/>
    <x v="0"/>
    <n v="8"/>
    <n v="30"/>
    <n v="14"/>
    <n v="0"/>
    <s v="V"/>
    <n v="5.5"/>
    <s v="U"/>
    <s v="Vitesske"/>
    <s v="Nicolas van der Aa"/>
    <s v="TNL"/>
    <s v="VG25"/>
    <x v="0"/>
    <n v="721.875"/>
    <s v="Project "/>
    <s v="Gefactureerd"/>
    <m/>
    <m/>
    <m/>
    <m/>
    <m/>
    <m/>
    <m/>
  </r>
  <r>
    <s v="ma"/>
    <n v="8"/>
    <x v="0"/>
    <x v="0"/>
    <n v="9"/>
    <n v="0"/>
    <n v="10"/>
    <n v="0"/>
    <s v="T"/>
    <n v="1"/>
    <s v="U"/>
    <s v="Vitesske"/>
    <s v="Nicolas van der Aa"/>
    <s v="TNL"/>
    <s v="VG25"/>
    <x v="1"/>
    <n v="118.75"/>
    <s v="Subsidie-aanvraag: KBO-nummer"/>
    <s v="Gefactureerd"/>
    <m/>
    <m/>
    <m/>
    <m/>
    <m/>
    <m/>
    <m/>
  </r>
  <r>
    <s v="ma"/>
    <n v="8"/>
    <x v="0"/>
    <x v="0"/>
    <n v="15"/>
    <n v="0"/>
    <n v="17"/>
    <n v="0"/>
    <s v="T"/>
    <n v="2"/>
    <s v="U"/>
    <s v="Vitesske"/>
    <s v="Nicolas van der Aa"/>
    <s v="TNL"/>
    <s v="VG25"/>
    <x v="0"/>
    <n v="250"/>
    <s v="Coordinatie nieuwe planner -Kenny, MCO, Joke, Tony, Go4jobs, Active interim, overdracht, OHA"/>
    <s v="Gefactureerd"/>
    <m/>
    <m/>
    <m/>
    <m/>
    <m/>
    <m/>
    <m/>
  </r>
  <r>
    <s v="ma"/>
    <n v="8"/>
    <x v="0"/>
    <x v="0"/>
    <n v="17"/>
    <n v="0"/>
    <n v="19"/>
    <n v="0"/>
    <s v="T"/>
    <n v="2"/>
    <s v="U"/>
    <s v="Labo Smeets "/>
    <s v="Kris Motmans "/>
    <s v="TNL"/>
    <s v="TNL"/>
    <x v="0"/>
    <n v="250"/>
    <s v="Organogram v1.0 + functiebeschrijving functies Labo Smeets voorbereiding voor 10/1"/>
    <s v="Gefactureerd"/>
    <m/>
    <m/>
    <m/>
    <m/>
    <m/>
    <m/>
    <m/>
  </r>
  <r>
    <s v="ma"/>
    <n v="8"/>
    <x v="0"/>
    <x v="0"/>
    <n v="21"/>
    <n v="0"/>
    <n v="22"/>
    <n v="0"/>
    <s v="T"/>
    <n v="1"/>
    <s v="U"/>
    <s v="Ariadne "/>
    <s v="Dirk Vander Eyken"/>
    <s v="ORG"/>
    <m/>
    <x v="0"/>
    <m/>
    <s v="Business model : bepalen van de % verkoop en coordinatie "/>
    <s v="Gefactureerd"/>
    <m/>
    <m/>
    <m/>
    <m/>
    <m/>
    <m/>
    <m/>
  </r>
  <r>
    <s v="di"/>
    <n v="9"/>
    <x v="0"/>
    <x v="0"/>
    <n v="8"/>
    <n v="0"/>
    <n v="12"/>
    <n v="0"/>
    <s v="T"/>
    <n v="4"/>
    <s v="DD"/>
    <s v="Erie Water Treatment "/>
    <s v="Bert Verbeeck"/>
    <s v="TNL"/>
    <s v="HR2.0"/>
    <x v="0"/>
    <n v="475"/>
    <s v="A jour maken plan van aanpak - prioriteiten HR2.0 - functie beschrijvingen 250 - Functietitels -omzetten korte termijn RGA's (Nick)"/>
    <s v="Gefactureerd"/>
    <m/>
    <m/>
    <m/>
    <m/>
    <m/>
    <m/>
    <m/>
  </r>
  <r>
    <s v="di"/>
    <n v="9"/>
    <x v="0"/>
    <x v="0"/>
    <n v="10"/>
    <n v="0"/>
    <n v="13"/>
    <n v="30"/>
    <s v="V"/>
    <n v="3.5"/>
    <s v="U"/>
    <s v="Consilo"/>
    <s v="Kris Lauryssens"/>
    <s v="TNL"/>
    <s v="Time-M"/>
    <x v="1"/>
    <n v="437.5"/>
    <s v="nazicht totaalfactuur"/>
    <s v="Gefactureerd"/>
    <m/>
    <m/>
    <m/>
    <m/>
    <m/>
    <m/>
    <m/>
  </r>
  <r>
    <s v="di"/>
    <n v="9"/>
    <x v="0"/>
    <x v="0"/>
    <n v="13"/>
    <n v="0"/>
    <n v="17"/>
    <n v="0"/>
    <s v="V"/>
    <n v="4"/>
    <s v="DD"/>
    <s v="Erie Water Treatment "/>
    <s v="Bert Verbeeck"/>
    <s v="TNL"/>
    <s v="HR2.0"/>
    <x v="0"/>
    <n v="575"/>
    <s v="Project "/>
    <s v="Gefactureerd"/>
    <m/>
    <m/>
    <m/>
    <m/>
    <m/>
    <m/>
    <m/>
  </r>
  <r>
    <s v="di"/>
    <n v="9"/>
    <x v="0"/>
    <x v="0"/>
    <n v="15"/>
    <n v="30"/>
    <n v="17"/>
    <n v="0"/>
    <s v="T"/>
    <n v="2.5"/>
    <s v="U"/>
    <s v="Endo"/>
    <s v="Cédric Daems"/>
    <s v="TNL"/>
    <s v="Insights"/>
    <x v="1"/>
    <n v="878"/>
    <s v="combo met Cédric en Martine: 0 € - Cindy"/>
    <s v="Gefactureerd"/>
    <m/>
    <m/>
    <m/>
    <m/>
    <m/>
    <m/>
    <m/>
  </r>
  <r>
    <s v="di"/>
    <n v="9"/>
    <x v="0"/>
    <x v="0"/>
    <n v="15"/>
    <n v="30"/>
    <n v="18"/>
    <n v="30"/>
    <s v="V"/>
    <n v="3"/>
    <s v="U"/>
    <s v="Endo"/>
    <s v="Cédric Daems"/>
    <s v="TNL"/>
    <s v="Insights"/>
    <x v="1"/>
    <n v="0"/>
    <s v="Coaching Cindy"/>
    <s v="Gefactureerd"/>
    <m/>
    <m/>
    <m/>
    <m/>
    <m/>
    <m/>
    <m/>
  </r>
  <r>
    <s v="wo"/>
    <s v="10"/>
    <x v="0"/>
    <x v="0"/>
    <n v="9"/>
    <n v="0"/>
    <n v="17"/>
    <n v="0"/>
    <s v="V"/>
    <n v="8"/>
    <s v="U"/>
    <s v="XLR"/>
    <s v="Jan De Brucker"/>
    <s v="TNL"/>
    <s v="Telefoneren Klantgericht"/>
    <x v="1"/>
    <n v="1446.14"/>
    <m/>
    <s v="Gefactureerd"/>
    <m/>
    <m/>
    <m/>
    <m/>
    <m/>
    <m/>
    <m/>
  </r>
  <r>
    <s v="wo"/>
    <s v="10"/>
    <x v="0"/>
    <x v="0"/>
    <n v="9"/>
    <n v="0"/>
    <n v="12"/>
    <n v="0"/>
    <s v="T"/>
    <n v="3"/>
    <s v="U"/>
    <s v="Labo Smeets "/>
    <s v="Kris Motmans "/>
    <s v="TNL"/>
    <s v="TNL"/>
    <x v="0"/>
    <n v="375"/>
    <s v="Voorbereiding meeting Organogram, functiebeschrijvingen 250 - Plan van aanpak HR-beleid + prioriteiten. "/>
    <s v="Gefactureerd"/>
    <m/>
    <m/>
    <m/>
    <m/>
    <m/>
    <m/>
    <m/>
  </r>
  <r>
    <s v="wo"/>
    <s v="10"/>
    <x v="0"/>
    <x v="0"/>
    <n v="13"/>
    <n v="0"/>
    <n v="17"/>
    <n v="0"/>
    <s v="V"/>
    <n v="4"/>
    <s v="DD"/>
    <s v="Labo Smeets "/>
    <s v="Kris Motmans "/>
    <s v="TNL"/>
    <s v="TNL"/>
    <x v="0"/>
    <n v="600"/>
    <s v="Project - Meeting Management team organogram "/>
    <s v="Gefactureerd"/>
    <m/>
    <m/>
    <m/>
    <m/>
    <m/>
    <m/>
    <m/>
  </r>
  <r>
    <s v="do"/>
    <s v="11"/>
    <x v="0"/>
    <x v="0"/>
    <n v="9"/>
    <n v="0"/>
    <n v="10"/>
    <n v="0"/>
    <s v="T"/>
    <n v="1"/>
    <s v="U"/>
    <s v="Vitesske"/>
    <s v="Nicolas van der Aa"/>
    <s v="TNL"/>
    <s v="VG25"/>
    <x v="1"/>
    <n v="118.75"/>
    <s v="Contact en organisatie Katya Rosati, "/>
    <s v="Gefactureerd"/>
    <m/>
    <m/>
    <m/>
    <m/>
    <m/>
    <m/>
    <m/>
  </r>
  <r>
    <s v="do"/>
    <s v="11"/>
    <x v="0"/>
    <x v="0"/>
    <n v="9"/>
    <n v="0"/>
    <n v="13"/>
    <n v="0"/>
    <s v="V"/>
    <n v="4"/>
    <s v="DD"/>
    <s v="Vitesske"/>
    <s v="Nicolas van der Aa"/>
    <s v="TNL"/>
    <s v="VG25"/>
    <x v="0"/>
    <n v="575"/>
    <s v="MT en diversen - contract Kenny - communicatieplan relocatie OHA"/>
    <s v="Gefactureerd"/>
    <m/>
    <m/>
    <m/>
    <m/>
    <m/>
    <m/>
    <m/>
  </r>
  <r>
    <s v="do"/>
    <s v="11"/>
    <x v="0"/>
    <x v="0"/>
    <n v="14"/>
    <n v="0"/>
    <n v="17"/>
    <n v="0"/>
    <s v="V"/>
    <n v="3"/>
    <s v="U"/>
    <s v="R&amp;T"/>
    <s v="Paul Robrechts "/>
    <s v="P16/015"/>
    <s v="SEC 2.0"/>
    <x v="0"/>
    <n v="300"/>
    <s v="Planning overlopen + diversen CHTH"/>
    <s v="Gefactureerd"/>
    <m/>
    <m/>
    <m/>
    <m/>
    <m/>
    <m/>
    <m/>
  </r>
  <r>
    <s v="vr "/>
    <s v="12"/>
    <x v="0"/>
    <x v="0"/>
    <n v="8"/>
    <n v="0"/>
    <n v="12"/>
    <n v="0"/>
    <s v="T"/>
    <n v="4"/>
    <s v="U"/>
    <s v="Ariadne "/>
    <s v="Dirk Vander Eyken"/>
    <s v="ORG"/>
    <m/>
    <x v="0"/>
    <m/>
    <s v="Overdracht Joke dossiers Labo, Erie, …)"/>
    <s v="Gefactureerd"/>
    <m/>
    <m/>
    <m/>
    <m/>
    <m/>
    <m/>
    <m/>
  </r>
  <r>
    <s v="Vr"/>
    <s v="12"/>
    <x v="0"/>
    <x v="0"/>
    <n v="10"/>
    <n v="0"/>
    <n v="13"/>
    <n v="30"/>
    <s v="V"/>
    <n v="3.5"/>
    <s v="U"/>
    <s v="DNVGL"/>
    <s v="Sam Gijsbrechts"/>
    <s v="TRAIN"/>
    <s v="Time-M"/>
    <x v="1"/>
    <n v="579.04"/>
    <m/>
    <s v="Gefactureerd"/>
    <m/>
    <m/>
    <m/>
    <m/>
    <m/>
    <m/>
    <m/>
  </r>
  <r>
    <s v="vr "/>
    <s v="12"/>
    <x v="0"/>
    <x v="0"/>
    <n v="13"/>
    <n v="0"/>
    <n v="17"/>
    <n v="0"/>
    <s v="V"/>
    <n v="4"/>
    <s v="DD"/>
    <s v="Vitesske"/>
    <s v="Nicolas van der Aa"/>
    <s v="TNL"/>
    <s v="VG25"/>
    <x v="0"/>
    <n v="575"/>
    <s v="Communicatie functieverandering OHA"/>
    <s v="Gefactureerd"/>
    <m/>
    <m/>
    <m/>
    <m/>
    <m/>
    <m/>
    <m/>
  </r>
  <r>
    <s v="Vr"/>
    <s v="12"/>
    <x v="0"/>
    <x v="0"/>
    <n v="15"/>
    <n v="0"/>
    <n v="19"/>
    <n v="0"/>
    <s v="T"/>
    <n v="4"/>
    <s v="DD"/>
    <s v="Endo"/>
    <s v="Cédric Daems"/>
    <s v="TNL"/>
    <s v="Insights"/>
    <x v="1"/>
    <n v="0"/>
    <s v="Cédric en Martine - Insights Discovery"/>
    <s v="Gefactureerd"/>
    <m/>
    <m/>
    <m/>
    <m/>
    <m/>
    <m/>
    <m/>
  </r>
  <r>
    <s v="za"/>
    <s v="13"/>
    <x v="0"/>
    <x v="0"/>
    <n v="8"/>
    <n v="0"/>
    <n v="11"/>
    <n v="0"/>
    <s v="T"/>
    <n v="3"/>
    <s v="U"/>
    <s v="Ariadne "/>
    <s v="Dirk Vander Eyken"/>
    <s v="ORG"/>
    <m/>
    <x v="0"/>
    <m/>
    <s v="Overdracht Michael Costermans voor start bij Vitesske "/>
    <s v="Gefactureerd"/>
    <m/>
    <m/>
    <m/>
    <m/>
    <m/>
    <m/>
    <m/>
  </r>
  <r>
    <s v="zo"/>
    <s v="14"/>
    <x v="0"/>
    <x v="0"/>
    <n v="10"/>
    <n v="0"/>
    <n v="13"/>
    <n v="0"/>
    <s v="T"/>
    <n v="3"/>
    <s v="U"/>
    <s v="Labo Smeets"/>
    <s v="Kris Motmans "/>
    <s v="TNL"/>
    <s v="TNL"/>
    <x v="0"/>
    <n v="375"/>
    <s v="Voorbereiding basis excel remuneratie &amp; Loonbeleid"/>
    <s v="Gefactureerd"/>
    <m/>
    <m/>
    <m/>
    <m/>
    <m/>
    <m/>
    <m/>
  </r>
  <r>
    <s v="ma"/>
    <s v="15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ma"/>
    <s v="15"/>
    <x v="0"/>
    <x v="0"/>
    <n v="8"/>
    <n v="0"/>
    <n v="16"/>
    <n v="0"/>
    <s v="V"/>
    <n v="8"/>
    <s v="DA"/>
    <s v="Vitesske"/>
    <s v="Nicolas van der Aa"/>
    <s v="TNL"/>
    <s v="VG25"/>
    <x v="0"/>
    <n v="1050"/>
    <s v="Opstartdag MCO "/>
    <s v="Gefactureerd"/>
    <m/>
    <m/>
    <m/>
    <m/>
    <m/>
    <m/>
    <m/>
  </r>
  <r>
    <s v="ma"/>
    <s v="15"/>
    <x v="0"/>
    <x v="0"/>
    <n v="14"/>
    <n v="0"/>
    <n v="16"/>
    <n v="30"/>
    <s v="V"/>
    <n v="2.5"/>
    <s v="U"/>
    <s v="Consilo"/>
    <s v="Kris Lauryssens"/>
    <s v="TRAIN"/>
    <s v="Time-M"/>
    <x v="1"/>
    <n v="312.5"/>
    <m/>
    <s v="Gefactureerd"/>
    <m/>
    <m/>
    <m/>
    <m/>
    <m/>
    <m/>
    <m/>
  </r>
  <r>
    <s v="ma"/>
    <s v="15"/>
    <x v="0"/>
    <x v="0"/>
    <n v="19"/>
    <n v="0"/>
    <n v="21"/>
    <n v="45"/>
    <s v="T"/>
    <n v="2.75"/>
    <s v="U"/>
    <s v="Mercator"/>
    <s v="Guido Peeters"/>
    <s v="TNL"/>
    <n v="20"/>
    <x v="1"/>
    <n v="343.75"/>
    <s v="Marketing Concept"/>
    <s v="Gefactureerd"/>
    <m/>
    <m/>
    <m/>
    <m/>
    <m/>
    <m/>
    <m/>
  </r>
  <r>
    <s v="di"/>
    <s v="16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di"/>
    <s v="16"/>
    <x v="0"/>
    <x v="0"/>
    <n v="10"/>
    <n v="0"/>
    <n v="12"/>
    <n v="0"/>
    <s v="V"/>
    <n v="3"/>
    <s v="U"/>
    <s v="R&amp;T"/>
    <s v="Paul Robrechts "/>
    <s v="P16/015"/>
    <s v="SEC 2.0"/>
    <x v="0"/>
    <n v="300"/>
    <s v="Planning overlopen + diversen CHTH"/>
    <s v="Gefactureerd"/>
    <m/>
    <m/>
    <m/>
    <m/>
    <m/>
    <m/>
    <m/>
  </r>
  <r>
    <s v="di"/>
    <s v="16"/>
    <x v="0"/>
    <x v="0"/>
    <n v="13"/>
    <n v="0"/>
    <n v="17"/>
    <n v="0"/>
    <s v="V"/>
    <n v="8"/>
    <s v="DA"/>
    <s v="Vitesske"/>
    <s v="Nicolas van der Aa"/>
    <s v="TNL"/>
    <s v="VG25"/>
    <x v="0"/>
    <n v="1050"/>
    <s v="Project "/>
    <s v="Gefactureerd"/>
    <m/>
    <m/>
    <m/>
    <m/>
    <m/>
    <m/>
    <m/>
  </r>
  <r>
    <s v="wo"/>
    <s v="17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wo"/>
    <s v="17"/>
    <x v="0"/>
    <x v="0"/>
    <n v="9"/>
    <n v="0"/>
    <n v="12"/>
    <n v="0"/>
    <s v="V"/>
    <n v="3"/>
    <s v="U"/>
    <s v="R&amp;T"/>
    <s v="Paul Robrechts "/>
    <s v="TNL"/>
    <s v="TNL"/>
    <x v="0"/>
    <n v="300"/>
    <s v="Strategische meeting R&amp;T PARO/DVDE"/>
    <s v="Gefactureerd"/>
    <m/>
    <m/>
    <m/>
    <m/>
    <m/>
    <m/>
    <m/>
  </r>
  <r>
    <s v="do"/>
    <s v="18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do"/>
    <s v="18"/>
    <x v="0"/>
    <x v="0"/>
    <n v="8"/>
    <n v="0"/>
    <n v="10"/>
    <n v="0"/>
    <s v="T"/>
    <n v="2"/>
    <s v="U"/>
    <s v="Labo Smeets "/>
    <s v="Kris Motmans "/>
    <s v="TNL"/>
    <s v="TNL"/>
    <x v="0"/>
    <n v="250"/>
    <s v="Voorbereiding loonbeleid en meeting 24/1"/>
    <s v="Gefactureerd"/>
    <m/>
    <m/>
    <m/>
    <m/>
    <m/>
    <m/>
    <m/>
  </r>
  <r>
    <s v="do"/>
    <s v="18"/>
    <x v="0"/>
    <x v="0"/>
    <n v="15"/>
    <n v="0"/>
    <n v="17"/>
    <n v="0"/>
    <s v="T"/>
    <n v="1"/>
    <s v="U"/>
    <s v="R&amp;T"/>
    <s v="Paul Robrechts "/>
    <s v="TNL"/>
    <s v="TNL"/>
    <x v="0"/>
    <n v="100"/>
    <s v="Opmaken projectplan functioneringsgesprekken"/>
    <s v="Gefactureerd"/>
    <m/>
    <m/>
    <m/>
    <m/>
    <m/>
    <m/>
    <m/>
  </r>
  <r>
    <s v="Vr"/>
    <s v="19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vr "/>
    <s v="19"/>
    <x v="0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22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ma"/>
    <s v="22"/>
    <x v="0"/>
    <x v="0"/>
    <n v="10"/>
    <n v="0"/>
    <n v="12"/>
    <n v="0"/>
    <s v="V"/>
    <n v="3"/>
    <s v="U"/>
    <s v="R&amp;T"/>
    <s v="Paul Robrechts "/>
    <s v="P16/015"/>
    <s v="SEC 2.0"/>
    <x v="0"/>
    <n v="300"/>
    <s v="Planning overlopen + diversen CHTH"/>
    <s v="Gefactureerd"/>
    <m/>
    <m/>
    <m/>
    <m/>
    <m/>
    <m/>
    <m/>
  </r>
  <r>
    <s v="ma"/>
    <s v="22"/>
    <x v="0"/>
    <x v="0"/>
    <n v="13"/>
    <n v="0"/>
    <n v="17"/>
    <n v="30"/>
    <s v="V"/>
    <n v="4.5"/>
    <s v="U"/>
    <s v="Vitesske"/>
    <s v="Nicolas van der Aa"/>
    <s v="TNL"/>
    <s v="VG25"/>
    <x v="0"/>
    <n v="590.625"/>
    <s v="Opvolging werkzaamheden MCO + Afstemmen projectplan 4D Vision Iserplan"/>
    <s v="Gefactureerd"/>
    <m/>
    <m/>
    <m/>
    <m/>
    <m/>
    <m/>
    <m/>
  </r>
  <r>
    <s v="di"/>
    <s v="23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di"/>
    <s v="23"/>
    <x v="0"/>
    <x v="0"/>
    <n v="8"/>
    <n v="0"/>
    <n v="12"/>
    <n v="0"/>
    <s v="V"/>
    <n v="4"/>
    <s v="DD"/>
    <s v="Erie Water Treatment "/>
    <s v="Bert Verbeeck"/>
    <s v="TNL"/>
    <s v="HR2.0"/>
    <x v="0"/>
    <n v="575"/>
    <s v="Functiebeschrijving Sales Manager "/>
    <s v="Gefactureerd"/>
    <m/>
    <m/>
    <m/>
    <m/>
    <m/>
    <m/>
    <m/>
  </r>
  <r>
    <s v="di"/>
    <s v="23"/>
    <x v="0"/>
    <x v="0"/>
    <n v="13"/>
    <n v="0"/>
    <n v="17"/>
    <n v="30"/>
    <s v="V"/>
    <n v="4.5"/>
    <s v="U"/>
    <s v="Roolit"/>
    <s v="Steven Pauwels "/>
    <s v="TNL"/>
    <s v="TNL"/>
    <x v="0"/>
    <n v="534.375"/>
    <s v="Visie, Missie en waarden "/>
    <s v="Gefactureerd"/>
    <m/>
    <m/>
    <m/>
    <m/>
    <m/>
    <m/>
    <m/>
  </r>
  <r>
    <s v="di"/>
    <s v="23"/>
    <x v="0"/>
    <x v="0"/>
    <n v="14"/>
    <n v="40"/>
    <n v="16"/>
    <n v="30"/>
    <s v="V"/>
    <n v="1.8"/>
    <s v="U"/>
    <s v="Consilo"/>
    <s v="Kris Lauryssens"/>
    <s v="TRAIN"/>
    <s v="Time-M"/>
    <x v="1"/>
    <n v="225"/>
    <m/>
    <s v="Gefactureerd"/>
    <m/>
    <m/>
    <m/>
    <m/>
    <m/>
    <m/>
    <m/>
  </r>
  <r>
    <s v="wo"/>
    <s v="24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wo"/>
    <s v="24"/>
    <x v="0"/>
    <x v="0"/>
    <n v="10"/>
    <n v="0"/>
    <n v="18"/>
    <n v="30"/>
    <s v="V"/>
    <n v="8"/>
    <s v="DA"/>
    <s v="Labo Smeets "/>
    <s v="Kris Motmans "/>
    <s v="TNL"/>
    <s v="TNL"/>
    <x v="0"/>
    <n v="1000"/>
    <s v="Projectdag "/>
    <s v="Gefactureerd"/>
    <m/>
    <m/>
    <m/>
    <m/>
    <m/>
    <m/>
    <m/>
  </r>
  <r>
    <s v="do"/>
    <s v="25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do"/>
    <s v="25"/>
    <x v="0"/>
    <x v="0"/>
    <n v="9"/>
    <n v="0"/>
    <n v="17"/>
    <n v="0"/>
    <s v="V"/>
    <n v="8"/>
    <s v="DA"/>
    <s v="Voka"/>
    <s v="Hanne "/>
    <s v="TRAIN"/>
    <m/>
    <x v="1"/>
    <n v="1050"/>
    <s v="E-mailen klantgericht"/>
    <s v="Gefactureerd"/>
    <m/>
    <m/>
    <m/>
    <m/>
    <m/>
    <m/>
    <m/>
  </r>
  <r>
    <s v="do"/>
    <s v="25"/>
    <x v="0"/>
    <x v="0"/>
    <n v="9"/>
    <n v="0"/>
    <n v="17"/>
    <n v="0"/>
    <s v="V"/>
    <n v="8"/>
    <s v="DA"/>
    <s v="Vitesske"/>
    <s v="Nicolas van der Aa"/>
    <s v="TNL"/>
    <s v="VG25"/>
    <x v="0"/>
    <n v="1050"/>
    <s v="Project "/>
    <s v="Gefactureerd"/>
    <m/>
    <m/>
    <m/>
    <m/>
    <m/>
    <m/>
    <m/>
  </r>
  <r>
    <s v="Vr"/>
    <s v="26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Vr"/>
    <s v="26"/>
    <x v="0"/>
    <x v="0"/>
    <n v="9"/>
    <n v="0"/>
    <n v="11"/>
    <n v="30"/>
    <s v="T"/>
    <n v="2.5"/>
    <s v="U"/>
    <s v="R&amp;T"/>
    <s v="Paul Robrechts"/>
    <s v="TNL"/>
    <s v="assess"/>
    <x v="1"/>
    <n v="428"/>
    <s v="Gesprek Olivia + profiel: vaste prijs"/>
    <s v="Gefactureerd"/>
    <m/>
    <m/>
    <m/>
    <m/>
    <m/>
    <m/>
    <m/>
  </r>
  <r>
    <s v="vr "/>
    <s v="26"/>
    <x v="0"/>
    <x v="0"/>
    <n v="9"/>
    <n v="0"/>
    <n v="10"/>
    <n v="0"/>
    <s v="T"/>
    <n v="1"/>
    <s v="U"/>
    <s v="Erie Water Treatment "/>
    <s v="Bert Verbeeck"/>
    <s v="TNL"/>
    <s v="HR2.0"/>
    <x v="0"/>
    <n v="118.75"/>
    <s v="Voorbereiding PPA profiel Werking Management team ifv Gesprek Maddy"/>
    <s v="Gefactureerd"/>
    <m/>
    <m/>
    <m/>
    <m/>
    <m/>
    <m/>
    <m/>
  </r>
  <r>
    <s v="vr "/>
    <s v="26"/>
    <x v="0"/>
    <x v="0"/>
    <n v="10"/>
    <n v="0"/>
    <n v="11"/>
    <n v="0"/>
    <s v="T"/>
    <n v="1"/>
    <s v="U"/>
    <s v="Vitesske"/>
    <s v="Nicolas van der Aa"/>
    <s v="TNL"/>
    <s v="VG25"/>
    <x v="0"/>
    <n v="125"/>
    <s v="Voorbereiding en verplaatsen RvA +  Projectplan en planning Iserplan 4Dvision"/>
    <s v="Gefactureerd"/>
    <m/>
    <m/>
    <m/>
    <m/>
    <m/>
    <m/>
    <m/>
  </r>
  <r>
    <s v="vr "/>
    <s v="26"/>
    <x v="0"/>
    <x v="0"/>
    <n v="13"/>
    <n v="0"/>
    <n v="16"/>
    <n v="30"/>
    <s v="T"/>
    <n v="3.5"/>
    <s v="U"/>
    <s v="Labo Smeets "/>
    <s v="Kris Motmans "/>
    <s v="TNL"/>
    <s v="TNL"/>
    <x v="0"/>
    <n v="437.5"/>
    <s v="Loonbeleid: powerpoint, finaliseren tabel"/>
    <s v="Gefactureerd"/>
    <m/>
    <m/>
    <m/>
    <m/>
    <m/>
    <m/>
    <m/>
  </r>
  <r>
    <s v="ma"/>
    <s v="29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ma"/>
    <s v="29"/>
    <x v="0"/>
    <x v="0"/>
    <n v="8"/>
    <n v="0"/>
    <n v="10"/>
    <n v="0"/>
    <s v="T"/>
    <n v="2"/>
    <s v="U"/>
    <s v="Labo Smeets "/>
    <s v="Kris Motmans "/>
    <s v="TNL"/>
    <s v="TNL"/>
    <x v="0"/>
    <n v="250"/>
    <s v="PPT voor RvB + cafetariaplan. "/>
    <s v="Gefactureerd"/>
    <m/>
    <m/>
    <m/>
    <m/>
    <m/>
    <m/>
    <m/>
  </r>
  <r>
    <s v="ma"/>
    <s v="29"/>
    <x v="0"/>
    <x v="0"/>
    <n v="13"/>
    <n v="30"/>
    <n v="16"/>
    <n v="30"/>
    <s v="T"/>
    <n v="3"/>
    <s v="U"/>
    <s v="Mercator"/>
    <s v="Guido Peeters"/>
    <s v="TNL"/>
    <n v="20"/>
    <x v="1"/>
    <n v="375"/>
    <s v="Contactname call centers, plan en was, opstellen mails"/>
    <s v="Gefactureerd"/>
    <m/>
    <m/>
    <m/>
    <m/>
    <m/>
    <m/>
    <m/>
  </r>
  <r>
    <s v="ma"/>
    <s v="29"/>
    <x v="0"/>
    <x v="0"/>
    <n v="16"/>
    <n v="30"/>
    <n v="20"/>
    <n v="0"/>
    <s v="T"/>
    <n v="4.5"/>
    <s v="U"/>
    <s v="R&amp;T"/>
    <s v="Paul Robrechts"/>
    <s v="TNL"/>
    <s v="assess"/>
    <x v="1"/>
    <n v="509"/>
    <s v="Aparte factuur Paul en R&amp;T: 164 is profiel voor Paul apart; R en T : 345 aan uren"/>
    <s v="Gefactureerd"/>
    <m/>
    <m/>
    <m/>
    <m/>
    <m/>
    <m/>
    <m/>
  </r>
  <r>
    <s v="di"/>
    <s v="30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di"/>
    <s v="30"/>
    <x v="0"/>
    <x v="0"/>
    <n v="10"/>
    <n v="30"/>
    <n v="12"/>
    <n v="30"/>
    <s v="T"/>
    <n v="2"/>
    <s v="U"/>
    <s v="Mercator"/>
    <s v="Guido Peeters"/>
    <s v="TNL"/>
    <n v="20"/>
    <x v="1"/>
    <n v="250"/>
    <m/>
    <s v="Gefactureerd"/>
    <m/>
    <m/>
    <m/>
    <m/>
    <m/>
    <m/>
    <m/>
  </r>
  <r>
    <s v="di"/>
    <s v="30"/>
    <x v="0"/>
    <x v="0"/>
    <n v="13"/>
    <n v="0"/>
    <n v="17"/>
    <n v="0"/>
    <s v="V"/>
    <n v="4"/>
    <s v="DD"/>
    <s v="Erie Water Treatment "/>
    <s v="Bert Verbeeck"/>
    <s v="TNL"/>
    <s v="HR2.0"/>
    <x v="0"/>
    <n v="575"/>
    <s v="Functiebeschrijving Sales Operations Manager "/>
    <s v="Gefactureerd"/>
    <m/>
    <m/>
    <m/>
    <m/>
    <m/>
    <m/>
    <m/>
  </r>
  <r>
    <s v="di"/>
    <s v="30"/>
    <x v="0"/>
    <x v="0"/>
    <n v="17"/>
    <n v="30"/>
    <n v="20"/>
    <n v="45"/>
    <s v="V"/>
    <n v="3.25"/>
    <s v="U"/>
    <s v="Ariadne"/>
    <s v="Dirk Vander Eyken"/>
    <s v="ORG"/>
    <m/>
    <x v="1"/>
    <m/>
    <s v="TNL - Profiel bespreking Michael Costermans "/>
    <s v="Gefactureerd"/>
    <m/>
    <m/>
    <m/>
    <m/>
    <m/>
    <m/>
    <m/>
  </r>
  <r>
    <s v="wo"/>
    <s v="31"/>
    <x v="0"/>
    <x v="0"/>
    <n v="7"/>
    <n v="0"/>
    <n v="16"/>
    <n v="0"/>
    <s v="V"/>
    <n v="8"/>
    <s v="DA"/>
    <s v="Vitesske"/>
    <s v="Nicolas van der Aa"/>
    <s v="TNL"/>
    <s v="VG25"/>
    <x v="2"/>
    <n v="750"/>
    <s v="Project "/>
    <s v="Gefactureerd"/>
    <m/>
    <m/>
    <m/>
    <m/>
    <m/>
    <m/>
    <m/>
  </r>
  <r>
    <s v="wo"/>
    <s v="31"/>
    <x v="0"/>
    <x v="0"/>
    <n v="10"/>
    <n v="0"/>
    <n v="18"/>
    <n v="0"/>
    <s v="V"/>
    <n v="8"/>
    <s v="DA"/>
    <s v="Labo Smeets "/>
    <s v="Kris Motmans "/>
    <s v="TNL"/>
    <s v="TNL"/>
    <x v="0"/>
    <n v="1000"/>
    <s v="Functiebeschrijvingen QP/CEO + diversen "/>
    <s v="Gefactureerd"/>
    <m/>
    <m/>
    <m/>
    <m/>
    <m/>
    <m/>
    <m/>
  </r>
  <r>
    <s v="wo"/>
    <s v="31"/>
    <x v="0"/>
    <x v="0"/>
    <n v="14"/>
    <n v="30"/>
    <n v="16"/>
    <n v="30"/>
    <s v="T"/>
    <n v="2"/>
    <s v="U"/>
    <s v="Mercator"/>
    <s v="Guido Peeters"/>
    <s v="TNL"/>
    <n v="20"/>
    <x v="1"/>
    <n v="250"/>
    <m/>
    <s v="Gefactureerd"/>
    <m/>
    <m/>
    <m/>
    <m/>
    <m/>
    <m/>
    <m/>
  </r>
  <r>
    <s v="wo"/>
    <s v="31"/>
    <x v="0"/>
    <x v="0"/>
    <m/>
    <m/>
    <m/>
    <m/>
    <s v="V"/>
    <n v="5"/>
    <s v="U"/>
    <s v="Vitesske"/>
    <s v="Nicolas van der Aa"/>
    <s v="TNL"/>
    <s v="VG25"/>
    <x v="3"/>
    <n v="437.5"/>
    <s v="Zie detail meetstaat JWI december en november "/>
    <s v="Gefactureerd"/>
    <m/>
    <m/>
    <m/>
    <m/>
    <m/>
    <m/>
    <m/>
  </r>
  <r>
    <s v="wo"/>
    <s v="31"/>
    <x v="0"/>
    <x v="0"/>
    <m/>
    <m/>
    <m/>
    <m/>
    <s v="T"/>
    <m/>
    <m/>
    <s v="Vitesske"/>
    <s v="Nicolas van der Aa"/>
    <s v="TNL"/>
    <s v="VG25"/>
    <x v="0"/>
    <n v="-397.2"/>
    <s v="Correctie uren 2017"/>
    <s v="Gefactureerd"/>
    <m/>
    <m/>
    <m/>
    <m/>
    <m/>
    <m/>
    <m/>
  </r>
  <r>
    <s v="do"/>
    <n v="1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n v="1"/>
    <x v="1"/>
    <x v="0"/>
    <n v="10"/>
    <n v="0"/>
    <n v="14"/>
    <n v="0"/>
    <s v="V"/>
    <n v="4"/>
    <s v="DD"/>
    <s v="Vitesske"/>
    <s v="Nicolas van der Aa"/>
    <s v="TNL"/>
    <s v="VG25"/>
    <x v="0"/>
    <n v="575"/>
    <s v="MT en diversen "/>
    <s v="Gefactureerd"/>
    <m/>
    <m/>
    <m/>
    <m/>
    <m/>
    <m/>
    <m/>
  </r>
  <r>
    <s v="Vr"/>
    <n v="2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Vr"/>
    <n v="2"/>
    <x v="1"/>
    <x v="0"/>
    <n v="8"/>
    <n v="0"/>
    <n v="17"/>
    <n v="0"/>
    <s v="V"/>
    <n v="8"/>
    <s v="DA"/>
    <s v="Vitesske"/>
    <s v="Nicolas van der Aa"/>
    <s v="TNL"/>
    <s v="VG25"/>
    <x v="1"/>
    <n v="950"/>
    <m/>
    <s v="Gefactureerd"/>
    <m/>
    <m/>
    <m/>
    <m/>
    <m/>
    <m/>
    <m/>
  </r>
  <r>
    <s v="vr "/>
    <n v="2"/>
    <x v="1"/>
    <x v="0"/>
    <n v="9"/>
    <n v="0"/>
    <n v="13"/>
    <n v="0"/>
    <s v="V"/>
    <n v="4"/>
    <s v="DD"/>
    <s v="Roolit "/>
    <s v="Steven Pauwels "/>
    <s v="TNL"/>
    <s v="TNL"/>
    <x v="0"/>
    <n v="570"/>
    <s v="Budget 2018 opstellen. "/>
    <s v="Gefactureerd"/>
    <m/>
    <m/>
    <m/>
    <m/>
    <m/>
    <m/>
    <m/>
  </r>
  <r>
    <s v="vr "/>
    <n v="2"/>
    <x v="1"/>
    <x v="0"/>
    <n v="14"/>
    <n v="0"/>
    <n v="17"/>
    <n v="30"/>
    <s v="V"/>
    <n v="4"/>
    <s v="U"/>
    <s v="Ariadne"/>
    <s v="Dirk Vander Eyken"/>
    <s v="ORG"/>
    <m/>
    <x v="0"/>
    <m/>
    <s v="Besprekking met carlos tariven voor de consultants + de commisies (in Mechelen op grote markt)"/>
    <s v="Gefactureerd"/>
    <m/>
    <m/>
    <m/>
    <m/>
    <m/>
    <m/>
    <m/>
  </r>
  <r>
    <s v="zo"/>
    <n v="4"/>
    <x v="1"/>
    <x v="0"/>
    <n v="19"/>
    <n v="0"/>
    <n v="21"/>
    <n v="0"/>
    <s v="T"/>
    <n v="2"/>
    <s v="U"/>
    <s v="Ariadne"/>
    <s v="Dirk Vander Eyken"/>
    <s v="ORG"/>
    <m/>
    <x v="0"/>
    <m/>
    <s v="Besprekking met carlos tarieven voor de consultants + de commisies (in Mechelen op grote markt)"/>
    <s v="Gefactureerd"/>
    <m/>
    <m/>
    <m/>
    <m/>
    <m/>
    <m/>
    <m/>
  </r>
  <r>
    <s v="ma"/>
    <n v="5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ma"/>
    <n v="5"/>
    <x v="1"/>
    <x v="0"/>
    <n v="9"/>
    <n v="0"/>
    <n v="12"/>
    <n v="0"/>
    <s v="V"/>
    <n v="3"/>
    <s v="U"/>
    <s v="R&amp;T"/>
    <s v="Paul Robrechts "/>
    <s v="P16/015"/>
    <s v="SEC 2.0"/>
    <x v="0"/>
    <n v="300"/>
    <s v="Planning overlopen + diversen CHTH + projectstructuur Sibelga "/>
    <s v="Gefactureerd"/>
    <m/>
    <m/>
    <m/>
    <m/>
    <m/>
    <m/>
    <m/>
  </r>
  <r>
    <s v="ma"/>
    <n v="5"/>
    <x v="1"/>
    <x v="0"/>
    <n v="14"/>
    <n v="0"/>
    <n v="18"/>
    <n v="0"/>
    <s v="V"/>
    <n v="4"/>
    <s v="DD"/>
    <s v="Erie Water Treatment "/>
    <s v="Bert Verbeeck"/>
    <s v="TNL"/>
    <s v="HR2.0"/>
    <x v="0"/>
    <n v="575"/>
    <s v="Bespreking Erie Strategie Nick/Maddy/DVE"/>
    <s v="Gefactureerd"/>
    <m/>
    <m/>
    <m/>
    <m/>
    <m/>
    <m/>
    <m/>
  </r>
  <r>
    <s v="di"/>
    <n v="6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i"/>
    <n v="6"/>
    <x v="1"/>
    <x v="0"/>
    <n v="9"/>
    <n v="30"/>
    <n v="12"/>
    <n v="30"/>
    <s v="V"/>
    <n v="3.5"/>
    <s v="U"/>
    <s v="Erie Water Treatment "/>
    <s v="Bert Verbeeck"/>
    <s v="TNL"/>
    <s v="HR2.0"/>
    <x v="0"/>
    <n v="575"/>
    <s v="Bespreking Functiebeschrijvingen Erie + introductie Erie HR 2,0 aan Amy Brumm"/>
    <s v="Gefactureerd"/>
    <m/>
    <m/>
    <m/>
    <m/>
    <m/>
    <m/>
    <m/>
  </r>
  <r>
    <s v="wo"/>
    <n v="7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wo"/>
    <n v="7"/>
    <x v="1"/>
    <x v="0"/>
    <n v="11"/>
    <n v="0"/>
    <n v="17"/>
    <n v="0"/>
    <s v="V"/>
    <n v="6"/>
    <s v="U"/>
    <s v="Vitesske"/>
    <s v="Nicolas van der Aa"/>
    <s v="TNL"/>
    <s v="VG25"/>
    <x v="0"/>
    <n v="575"/>
    <s v="Opzetten Iserplan Meeting met 4DV + bespreing diversen "/>
    <s v="Gefactureerd"/>
    <m/>
    <m/>
    <m/>
    <m/>
    <m/>
    <m/>
    <m/>
  </r>
  <r>
    <s v="do"/>
    <n v="8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n v="8"/>
    <x v="1"/>
    <x v="0"/>
    <n v="10"/>
    <n v="0"/>
    <n v="15"/>
    <n v="30"/>
    <s v="T"/>
    <n v="5.5"/>
    <s v="U"/>
    <s v="Ariadne"/>
    <s v="Dirk Vander Eyken"/>
    <s v="ORG"/>
    <m/>
    <x v="0"/>
    <m/>
    <s v="Mails/opvolging dossiers, commmisies, afspraken plannen, …"/>
    <s v="Gefactureerd"/>
    <m/>
    <m/>
    <m/>
    <m/>
    <m/>
    <m/>
    <m/>
  </r>
  <r>
    <s v="Vr"/>
    <n v="9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Vr"/>
    <n v="9"/>
    <x v="1"/>
    <x v="0"/>
    <n v="10"/>
    <n v="0"/>
    <n v="18"/>
    <n v="0"/>
    <s v="V"/>
    <n v="8"/>
    <s v="DA"/>
    <s v="Labo Smeets "/>
    <s v="Kris Motmans "/>
    <s v="TNL"/>
    <s v="TNL"/>
    <x v="0"/>
    <n v="1000"/>
    <s v="Functiebeschrijvingen CBO/AQ associate + diversen "/>
    <s v="Gefactureerd"/>
    <m/>
    <m/>
    <m/>
    <m/>
    <m/>
    <m/>
    <m/>
  </r>
  <r>
    <s v="ma"/>
    <s v="12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ma"/>
    <s v="12"/>
    <x v="1"/>
    <x v="0"/>
    <n v="10"/>
    <n v="0"/>
    <n v="12"/>
    <n v="0"/>
    <s v="T"/>
    <n v="2"/>
    <s v="U"/>
    <s v="Labo Smeets "/>
    <s v="Kris Motmans "/>
    <s v="TNL"/>
    <s v="TNL"/>
    <x v="0"/>
    <n v="250"/>
    <s v="Afwerken functiebeschrijvingen CBO/QA + planning 16/02 + standardiseren Labo Smeets functie beschrijving (in overleg met Louis)"/>
    <s v="Gefactureerd"/>
    <m/>
    <m/>
    <m/>
    <m/>
    <m/>
    <m/>
    <m/>
  </r>
  <r>
    <s v="ma"/>
    <s v="12"/>
    <x v="1"/>
    <x v="0"/>
    <n v="13"/>
    <n v="0"/>
    <n v="15"/>
    <n v="0"/>
    <s v="T"/>
    <n v="2"/>
    <s v="U"/>
    <s v="Ariadne"/>
    <s v="Dirk Vander Eyken"/>
    <s v="ORG"/>
    <m/>
    <x v="0"/>
    <m/>
    <s v="Standardiseren competenties profile builder automatiseren ."/>
    <s v="Gefactureerd"/>
    <m/>
    <m/>
    <m/>
    <m/>
    <m/>
    <m/>
    <m/>
  </r>
  <r>
    <s v="ma"/>
    <s v="12"/>
    <x v="1"/>
    <x v="0"/>
    <n v="19"/>
    <n v="30"/>
    <n v="23"/>
    <n v="0"/>
    <s v="T"/>
    <n v="3.5"/>
    <s v="U"/>
    <s v="Ariadne"/>
    <s v="Dirk Vander Eyken"/>
    <s v="ORG"/>
    <m/>
    <x v="0"/>
    <m/>
    <s v="Bespreking IVT/CHE/LMO tarieven voor sales commissies en verkoopsstrategie. "/>
    <s v="Gefactureerd"/>
    <m/>
    <m/>
    <m/>
    <m/>
    <m/>
    <m/>
    <m/>
  </r>
  <r>
    <s v="di"/>
    <s v="13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i"/>
    <s v="13"/>
    <x v="1"/>
    <x v="0"/>
    <n v="8"/>
    <n v="0"/>
    <n v="12"/>
    <n v="0"/>
    <s v="V"/>
    <n v="4"/>
    <s v="DD"/>
    <s v="Erie Water Treatment "/>
    <s v="Bert Verbeeck"/>
    <s v="TNL"/>
    <s v="HR2.0"/>
    <x v="0"/>
    <n v="575"/>
    <s v="Bespreking Functiebeschrijvingen Erie + bespreking presentatie ziekteverzuim"/>
    <s v="Gefactureerd"/>
    <m/>
    <m/>
    <m/>
    <m/>
    <m/>
    <m/>
    <m/>
  </r>
  <r>
    <s v="di"/>
    <s v="13"/>
    <x v="1"/>
    <x v="0"/>
    <n v="14"/>
    <n v="0"/>
    <n v="18"/>
    <n v="0"/>
    <s v="V"/>
    <n v="4"/>
    <s v="DD"/>
    <s v="Vitesske"/>
    <s v="Nicolas van der Aa"/>
    <s v="TNL"/>
    <s v="VG25"/>
    <x v="0"/>
    <n v="575"/>
    <s v="MT en diversen "/>
    <s v="Gefactureerd"/>
    <m/>
    <m/>
    <m/>
    <m/>
    <m/>
    <m/>
    <m/>
  </r>
  <r>
    <s v="wo"/>
    <s v="14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wo"/>
    <s v="14"/>
    <x v="1"/>
    <x v="0"/>
    <n v="9"/>
    <n v="0"/>
    <n v="17"/>
    <n v="0"/>
    <s v="V"/>
    <n v="8"/>
    <s v="DA"/>
    <s v="Ariadne"/>
    <s v="Dirk Vander Eyken"/>
    <s v="Verlof"/>
    <m/>
    <x v="0"/>
    <m/>
    <s v="Valentijn "/>
    <s v="Gefactureerd"/>
    <m/>
    <m/>
    <m/>
    <m/>
    <m/>
    <m/>
    <m/>
  </r>
  <r>
    <s v="do"/>
    <s v="15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s v="15"/>
    <x v="1"/>
    <x v="0"/>
    <n v="9"/>
    <n v="0"/>
    <n v="13"/>
    <n v="0"/>
    <s v="V"/>
    <n v="4"/>
    <s v="DD"/>
    <s v="Vitesske"/>
    <s v="Nicolas van der Aa"/>
    <s v="TNL"/>
    <s v="VG25"/>
    <x v="0"/>
    <n v="575"/>
    <s v="MT en diversen "/>
    <s v="Gefactureerd"/>
    <m/>
    <m/>
    <m/>
    <m/>
    <m/>
    <m/>
    <m/>
  </r>
  <r>
    <s v="do"/>
    <s v="15"/>
    <x v="1"/>
    <x v="0"/>
    <n v="19"/>
    <n v="30"/>
    <n v="24"/>
    <n v="0"/>
    <s v="T"/>
    <n v="8"/>
    <s v="DA"/>
    <s v="Ariadne"/>
    <s v="Dirk Vander Eyken"/>
    <s v="ORG"/>
    <m/>
    <x v="0"/>
    <m/>
    <s v="Bespreking samenwerking met Wilfried"/>
    <s v="Gefactureerd"/>
    <m/>
    <m/>
    <m/>
    <m/>
    <m/>
    <m/>
    <m/>
  </r>
  <r>
    <s v="Vr"/>
    <s v="16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Vr"/>
    <s v="16"/>
    <x v="1"/>
    <x v="0"/>
    <n v="8"/>
    <n v="0"/>
    <n v="18"/>
    <n v="0"/>
    <s v="V"/>
    <n v="8"/>
    <s v="DA"/>
    <s v="Labo Smeets "/>
    <s v="Kris Motmans "/>
    <s v="TNL"/>
    <s v="TNL"/>
    <x v="0"/>
    <n v="1000"/>
    <s v="Functiebeschrijvingen "/>
    <s v="Gefactureerd"/>
    <m/>
    <m/>
    <m/>
    <m/>
    <m/>
    <m/>
    <m/>
  </r>
  <r>
    <s v="za"/>
    <s v="17"/>
    <x v="1"/>
    <x v="0"/>
    <n v="14"/>
    <n v="30"/>
    <n v="15"/>
    <n v="15"/>
    <s v="T"/>
    <n v="1"/>
    <s v="U"/>
    <s v="Vitesske"/>
    <s v="Nicolas van der Aa"/>
    <s v="TNL"/>
    <s v="TNL"/>
    <x v="1"/>
    <n v="115"/>
    <s v="Opstellen ontslagbrief en check wettelijkheid OHA"/>
    <s v="Gefactureerd"/>
    <m/>
    <m/>
    <m/>
    <m/>
    <m/>
    <m/>
    <m/>
  </r>
  <r>
    <s v="ma"/>
    <s v="19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ma"/>
    <s v="19"/>
    <x v="1"/>
    <x v="0"/>
    <n v="8"/>
    <n v="30"/>
    <n v="13"/>
    <n v="0"/>
    <s v="V"/>
    <n v="4"/>
    <s v="DD"/>
    <s v="Labo Smeets "/>
    <s v="Kris Motmans "/>
    <s v="TNL"/>
    <s v="TNL"/>
    <x v="0"/>
    <n v="600"/>
    <s v="Functiebeschrijvingen "/>
    <s v="Gefactureerd"/>
    <m/>
    <m/>
    <m/>
    <m/>
    <m/>
    <m/>
    <m/>
  </r>
  <r>
    <s v="ma"/>
    <s v="19"/>
    <x v="1"/>
    <x v="0"/>
    <n v="14"/>
    <n v="0"/>
    <n v="18"/>
    <n v="0"/>
    <s v="V"/>
    <n v="4"/>
    <s v="DD"/>
    <s v="Vitesske"/>
    <s v="Nicolas van der Aa"/>
    <s v="TNL"/>
    <s v="VG25"/>
    <x v="0"/>
    <n v="575"/>
    <s v="Ontslag OHA voorbereiding en diversen "/>
    <s v="Gefactureerd"/>
    <m/>
    <m/>
    <m/>
    <m/>
    <m/>
    <m/>
    <m/>
  </r>
  <r>
    <s v="ma"/>
    <s v="19"/>
    <x v="1"/>
    <x v="0"/>
    <n v="18"/>
    <n v="0"/>
    <n v="20"/>
    <n v="0"/>
    <s v="V"/>
    <n v="2"/>
    <s v="U"/>
    <s v="R&amp;T"/>
    <s v="Paul Robrechts "/>
    <s v="P16/015"/>
    <s v="SEC 2.0"/>
    <x v="0"/>
    <n v="200"/>
    <s v="Planning overlopen + diversen CHTH + projectstructuur Sibelga PARO/CHTH/DVE"/>
    <s v="Gefactureerd"/>
    <m/>
    <m/>
    <m/>
    <m/>
    <m/>
    <m/>
    <m/>
  </r>
  <r>
    <s v="di"/>
    <s v="20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i"/>
    <s v="20"/>
    <x v="1"/>
    <x v="0"/>
    <n v="8"/>
    <n v="0"/>
    <n v="12"/>
    <n v="0"/>
    <s v="V"/>
    <n v="4"/>
    <s v="DD"/>
    <s v="Erie Water Treatment "/>
    <s v="Bert Verbeeck"/>
    <s v="TNL"/>
    <s v="HR2.0"/>
    <x v="0"/>
    <n v="575"/>
    <s v="Bespreking Functiebeschrijvingen Erie + missie en waarden NGO/LWE"/>
    <s v="Gefactureerd"/>
    <m/>
    <m/>
    <m/>
    <m/>
    <m/>
    <m/>
    <m/>
  </r>
  <r>
    <s v="di"/>
    <s v="20"/>
    <x v="1"/>
    <x v="0"/>
    <n v="14"/>
    <n v="0"/>
    <n v="19"/>
    <n v="0"/>
    <s v="V"/>
    <n v="4"/>
    <s v="DD"/>
    <s v="Vitesske"/>
    <s v="Nicolas van der Aa"/>
    <s v="TNL"/>
    <s v="VG25"/>
    <x v="0"/>
    <n v="575"/>
    <s v="MT + strategische bespreking Sales Manager "/>
    <s v="Gefactureerd"/>
    <m/>
    <m/>
    <m/>
    <m/>
    <m/>
    <m/>
    <m/>
  </r>
  <r>
    <s v="wo"/>
    <s v="21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s v="22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s v="22"/>
    <x v="1"/>
    <x v="0"/>
    <n v="10"/>
    <n v="0"/>
    <n v="14"/>
    <n v="0"/>
    <s v="T"/>
    <n v="3.5"/>
    <s v="U"/>
    <s v="Vitesske"/>
    <s v="Nicolas van der Aa"/>
    <s v="TNL"/>
    <s v="VG25"/>
    <x v="0"/>
    <n v="437.5"/>
    <s v="Voorbereiding ontslag OHA + Planning RvA + Planning + voorbereiding project Iserplan + opstarten met Joke functie van salesmanager "/>
    <s v="Gefactureerd"/>
    <m/>
    <m/>
    <m/>
    <m/>
    <m/>
    <m/>
    <m/>
  </r>
  <r>
    <s v="do"/>
    <s v="22"/>
    <x v="1"/>
    <x v="0"/>
    <n v="14"/>
    <n v="0"/>
    <n v="15"/>
    <n v="0"/>
    <s v="T"/>
    <n v="1"/>
    <s v="U"/>
    <s v="R&amp;T"/>
    <s v="Paul Robrechts "/>
    <s v="P16/015"/>
    <s v="SEC 2.0"/>
    <x v="0"/>
    <n v="100"/>
    <s v="Contact Wilfried Frensch + organiseren afspraak "/>
    <s v="Gefactureerd"/>
    <m/>
    <m/>
    <m/>
    <m/>
    <m/>
    <m/>
    <m/>
  </r>
  <r>
    <s v="do"/>
    <s v="22"/>
    <x v="1"/>
    <x v="0"/>
    <n v="15"/>
    <n v="0"/>
    <n v="16"/>
    <n v="0"/>
    <s v="T"/>
    <n v="1"/>
    <s v="U"/>
    <s v="Erie Water Treatment "/>
    <s v="Bert Verbeeck"/>
    <s v="TNL"/>
    <s v="HR2.0"/>
    <x v="0"/>
    <n v="118.5"/>
    <s v="Voorbereiding Functiebeschrijvingen en functioneringsgesprekkken + voorbereiding missie + verslag meeting met NGO (missie)"/>
    <s v="Gefactureerd"/>
    <m/>
    <m/>
    <m/>
    <m/>
    <m/>
    <m/>
    <m/>
  </r>
  <r>
    <s v="do"/>
    <s v="22"/>
    <x v="1"/>
    <x v="0"/>
    <n v="17"/>
    <n v="0"/>
    <n v="18"/>
    <n v="0"/>
    <s v="T"/>
    <n v="1"/>
    <s v="U"/>
    <s v="Labo Smeets "/>
    <s v="Kris Motmans "/>
    <s v="TNL"/>
    <s v="TNL"/>
    <x v="0"/>
    <n v="125"/>
    <s v="Functiebeschrijvingen afwerking gesprekken en opbouwen van de functiebeschrijvingen Labo Smeets Model + voorbereiding opzetten van Functioneringsgesprekken"/>
    <s v="Gefactureerd"/>
    <m/>
    <m/>
    <m/>
    <m/>
    <m/>
    <m/>
    <m/>
  </r>
  <r>
    <s v="Vr"/>
    <s v="23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Vr"/>
    <s v="23"/>
    <x v="1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26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i"/>
    <s v="27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wo"/>
    <s v="28"/>
    <x v="1"/>
    <x v="0"/>
    <n v="7"/>
    <n v="0"/>
    <n v="16"/>
    <n v="0"/>
    <s v="V"/>
    <n v="8"/>
    <s v="DA"/>
    <s v="Vitesske"/>
    <s v="Nicolas van der Aa"/>
    <s v="TNL"/>
    <s v="VG25"/>
    <x v="2"/>
    <n v="750"/>
    <m/>
    <s v="Gefactureerd"/>
    <m/>
    <m/>
    <m/>
    <m/>
    <m/>
    <m/>
    <m/>
  </r>
  <r>
    <s v="do"/>
    <n v="1"/>
    <x v="2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Vr"/>
    <n v="2"/>
    <x v="2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n v="5"/>
    <x v="2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n v="6"/>
    <x v="2"/>
    <x v="0"/>
    <n v="8"/>
    <n v="30"/>
    <n v="12"/>
    <n v="30"/>
    <s v="V"/>
    <n v="4"/>
    <s v="DD"/>
    <s v="Erie Water Treatment "/>
    <s v="Bert Verbeeck"/>
    <s v="TNL"/>
    <s v="HR2.0"/>
    <x v="0"/>
    <n v="575"/>
    <s v="HR 2.0 project meeting Lore Weets + diversen "/>
    <s v="Gefactureerd"/>
    <m/>
    <m/>
    <m/>
    <m/>
    <m/>
    <m/>
    <m/>
  </r>
  <r>
    <s v="di"/>
    <n v="6"/>
    <x v="2"/>
    <x v="0"/>
    <n v="13"/>
    <n v="0"/>
    <n v="17"/>
    <n v="0"/>
    <s v="V"/>
    <n v="4"/>
    <s v="DD"/>
    <s v="Vitesske"/>
    <s v="Nicolas van der Aa"/>
    <s v="TNL"/>
    <s v="VG25"/>
    <x v="0"/>
    <n v="575"/>
    <s v="MT Vitesske "/>
    <s v="Gefactureerd"/>
    <m/>
    <m/>
    <m/>
    <m/>
    <m/>
    <m/>
    <m/>
  </r>
  <r>
    <s v="wo"/>
    <n v="7"/>
    <x v="2"/>
    <x v="0"/>
    <n v="9"/>
    <n v="0"/>
    <n v="17"/>
    <n v="0"/>
    <s v="V"/>
    <n v="8"/>
    <s v="DA"/>
    <s v="Labo Smeets "/>
    <s v="Kris Motmans "/>
    <s v="TNL"/>
    <s v="TNL"/>
    <x v="0"/>
    <n v="1000"/>
    <s v="Functiebeschrijvingen + diversen "/>
    <s v="Gefactureerd"/>
    <m/>
    <m/>
    <m/>
    <m/>
    <m/>
    <m/>
    <m/>
  </r>
  <r>
    <s v="do"/>
    <n v="8"/>
    <x v="2"/>
    <x v="0"/>
    <n v="9"/>
    <n v="0"/>
    <n v="17"/>
    <n v="0"/>
    <s v="V"/>
    <n v="8"/>
    <s v="DA"/>
    <s v="Vitesske"/>
    <s v="Nicolas van der Aa"/>
    <s v="TNL"/>
    <s v="VG25"/>
    <x v="0"/>
    <n v="1050"/>
    <s v="MT Vitesske "/>
    <s v="Gefactureerd"/>
    <m/>
    <m/>
    <m/>
    <m/>
    <m/>
    <m/>
    <m/>
  </r>
  <r>
    <s v="Vr"/>
    <n v="9"/>
    <x v="2"/>
    <x v="0"/>
    <n v="12"/>
    <n v="0"/>
    <n v="16"/>
    <n v="0"/>
    <s v="V"/>
    <n v="4"/>
    <s v="DD"/>
    <s v="Erie Water Treatment "/>
    <s v="Bert Verbeeck"/>
    <s v="TNL"/>
    <s v="HR2.0"/>
    <x v="0"/>
    <n v="575"/>
    <s v="HR 2.0 project meeting Lore Weets + diversen "/>
    <s v="Gefactureerd"/>
    <m/>
    <m/>
    <m/>
    <m/>
    <m/>
    <m/>
    <m/>
  </r>
  <r>
    <s v="ma"/>
    <s v="12"/>
    <x v="2"/>
    <x v="0"/>
    <n v="8"/>
    <n v="30"/>
    <n v="10"/>
    <n v="0"/>
    <s v="T"/>
    <n v="1.5"/>
    <s v="U"/>
    <s v="Vitesske"/>
    <s v="Nicolas van der Aa"/>
    <s v="TNL"/>
    <s v="VG25"/>
    <x v="0"/>
    <n v="187.5"/>
    <s v="Voorbereiding dossier advocaat (documenten,  vergaderveslagen, verduidelijken ontslag motivatie…)"/>
    <s v="Gefactureerd"/>
    <m/>
    <m/>
    <m/>
    <m/>
    <m/>
    <m/>
    <m/>
  </r>
  <r>
    <s v="ma"/>
    <s v="12"/>
    <x v="2"/>
    <x v="0"/>
    <n v="10"/>
    <n v="0"/>
    <n v="10"/>
    <n v="30"/>
    <s v="T"/>
    <n v="1"/>
    <s v="U"/>
    <s v="Erie Water Treatment "/>
    <s v="Bert Verbeeck"/>
    <s v="TNL"/>
    <s v="HR2.0"/>
    <x v="0"/>
    <n v="118.75"/>
    <s v="Samenvatting en afwerken voorstel Missie &amp; Visie (voorbereiding bespreking met LWE)"/>
    <s v="Gefactureerd"/>
    <m/>
    <m/>
    <m/>
    <m/>
    <m/>
    <m/>
    <m/>
  </r>
  <r>
    <s v="ma"/>
    <s v="12"/>
    <x v="2"/>
    <x v="0"/>
    <n v="10"/>
    <n v="30"/>
    <n v="11"/>
    <n v="30"/>
    <s v="T"/>
    <n v="1"/>
    <s v="U"/>
    <s v="R&amp;T"/>
    <s v="Paul Robrechts "/>
    <s v="TNL"/>
    <m/>
    <x v="0"/>
    <n v="100"/>
    <s v="Dossier ISO 9001 Scope "/>
    <s v="Gefactureerd"/>
    <m/>
    <m/>
    <m/>
    <m/>
    <m/>
    <m/>
    <m/>
  </r>
  <r>
    <s v="di"/>
    <s v="13"/>
    <x v="2"/>
    <x v="0"/>
    <n v="8"/>
    <n v="30"/>
    <n v="12"/>
    <n v="30"/>
    <s v="V"/>
    <n v="4"/>
    <s v="DD"/>
    <s v="Erie Water Treatment "/>
    <s v="Bert Verbeeck"/>
    <s v="TNL"/>
    <s v="HR2.0"/>
    <x v="0"/>
    <n v="575"/>
    <s v="HR 2.0 project meeting Lore Weets + diversen "/>
    <s v="Gefactureerd"/>
    <m/>
    <m/>
    <m/>
    <m/>
    <m/>
    <m/>
    <m/>
  </r>
  <r>
    <s v="di"/>
    <s v="13"/>
    <x v="2"/>
    <x v="0"/>
    <n v="13"/>
    <n v="0"/>
    <n v="17"/>
    <n v="0"/>
    <s v="V"/>
    <n v="4"/>
    <s v="DD"/>
    <s v="Vitesske"/>
    <s v="Nicolas van der Aa"/>
    <s v="TNL"/>
    <s v="VG25"/>
    <x v="0"/>
    <n v="575"/>
    <s v="MT Vitesske "/>
    <s v="Gefactureerd"/>
    <m/>
    <m/>
    <m/>
    <m/>
    <m/>
    <m/>
    <m/>
  </r>
  <r>
    <s v="wo"/>
    <s v="14"/>
    <x v="2"/>
    <x v="0"/>
    <n v="9"/>
    <n v="0"/>
    <n v="17"/>
    <n v="0"/>
    <s v="V"/>
    <n v="8"/>
    <s v="DA"/>
    <s v="Labo Smeets "/>
    <s v="Kris Motmans "/>
    <s v="TNL"/>
    <s v="TNL"/>
    <x v="0"/>
    <n v="1000"/>
    <s v="Functiebeschrijvingen + diversen "/>
    <s v="Gefactureerd"/>
    <m/>
    <m/>
    <m/>
    <m/>
    <m/>
    <m/>
    <m/>
  </r>
  <r>
    <s v="wo"/>
    <s v="14"/>
    <x v="2"/>
    <x v="0"/>
    <n v="10"/>
    <n v="0"/>
    <n v="12"/>
    <n v="0"/>
    <s v="T"/>
    <n v="2"/>
    <s v="U"/>
    <s v="Vitesske"/>
    <s v="Nicolas van der Aa"/>
    <s v="TNL"/>
    <s v="TNL"/>
    <x v="1"/>
    <n v="237.5"/>
    <s v="bellen en opsturen subsidie; eindverslag Advies"/>
    <s v="Gefactureerd"/>
    <m/>
    <m/>
    <m/>
    <m/>
    <m/>
    <m/>
    <m/>
  </r>
  <r>
    <s v="do"/>
    <s v="15"/>
    <x v="2"/>
    <x v="0"/>
    <n v="8"/>
    <n v="30"/>
    <n v="10"/>
    <n v="0"/>
    <s v="T"/>
    <n v="1.5"/>
    <s v="U"/>
    <s v="R&amp;T"/>
    <s v="Paul Robrechts "/>
    <s v="TNL"/>
    <m/>
    <x v="0"/>
    <n v="150"/>
    <s v="Voorbereiden transitie ISO 9001 Scope 2015 - Overzicht acties met Olivia (ISO 9001 voor scope +)"/>
    <s v="Gefactureerd"/>
    <m/>
    <m/>
    <m/>
    <m/>
    <m/>
    <m/>
    <m/>
  </r>
  <r>
    <s v="do"/>
    <s v="15"/>
    <x v="2"/>
    <x v="0"/>
    <n v="10"/>
    <n v="0"/>
    <n v="11"/>
    <n v="0"/>
    <s v="T"/>
    <n v="0.5"/>
    <s v="U"/>
    <s v="Erie Water Treatment "/>
    <s v="Bert Verbeeck"/>
    <s v="TNL"/>
    <s v="HR2.0"/>
    <x v="0"/>
    <n v="59.375"/>
    <s v="Verwerken notities missie visie + bekijken inpassen in HR beleid"/>
    <s v="Gefactureerd"/>
    <m/>
    <m/>
    <m/>
    <m/>
    <m/>
    <m/>
    <m/>
  </r>
  <r>
    <s v="do"/>
    <s v="15"/>
    <x v="2"/>
    <x v="0"/>
    <n v="14"/>
    <n v="0"/>
    <n v="16"/>
    <n v="30"/>
    <s v="T"/>
    <n v="2.5"/>
    <s v="U"/>
    <s v="Labo Smeets "/>
    <s v="Kris Motmans "/>
    <s v="TNL"/>
    <s v="TNL"/>
    <x v="0"/>
    <n v="312.5"/>
    <s v="Aanvullen verantwoordelijkheden en competenties nav van besproken functiebeschrijvigen QC coordinator, Verantw Admin en Verant. Boekhouding"/>
    <s v="Gefactureerd"/>
    <m/>
    <m/>
    <m/>
    <m/>
    <m/>
    <m/>
    <m/>
  </r>
  <r>
    <s v="Vr"/>
    <s v="16"/>
    <x v="2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19"/>
    <x v="2"/>
    <x v="0"/>
    <n v="8"/>
    <n v="30"/>
    <n v="14"/>
    <n v="30"/>
    <s v="T"/>
    <n v="6"/>
    <s v="U"/>
    <s v="Labo Smeets "/>
    <s v="Kris Motmans "/>
    <s v="TNL"/>
    <s v="TNL"/>
    <x v="0"/>
    <n v="750"/>
    <s v="Opmaken documenten voor functiebeschrijvingen (auto systeem )"/>
    <s v="Gefactureerd"/>
    <m/>
    <m/>
    <m/>
    <m/>
    <m/>
    <m/>
    <m/>
  </r>
  <r>
    <s v="di"/>
    <s v="20"/>
    <x v="2"/>
    <x v="0"/>
    <n v="8"/>
    <n v="30"/>
    <n v="12"/>
    <n v="30"/>
    <s v="V"/>
    <n v="4"/>
    <s v="DD"/>
    <s v="Erie Water Treatment "/>
    <s v="Bert Verbeeck"/>
    <s v="TNL"/>
    <s v="HR2.0"/>
    <x v="0"/>
    <n v="575"/>
    <s v="HR 2.0 project meeting Lore Weets + diversen "/>
    <s v="Gefactureerd"/>
    <m/>
    <m/>
    <m/>
    <m/>
    <m/>
    <m/>
    <m/>
  </r>
  <r>
    <s v="di"/>
    <s v="20"/>
    <x v="2"/>
    <x v="0"/>
    <n v="13"/>
    <n v="0"/>
    <n v="17"/>
    <n v="0"/>
    <s v="V"/>
    <n v="4"/>
    <s v="DD"/>
    <s v="Vitesske"/>
    <s v="Nicolas van der Aa"/>
    <s v="TNL"/>
    <s v="VG25"/>
    <x v="0"/>
    <n v="575"/>
    <s v="MT Vitesske "/>
    <s v="Gefactureerd"/>
    <m/>
    <m/>
    <m/>
    <m/>
    <m/>
    <m/>
    <m/>
  </r>
  <r>
    <s v="wo"/>
    <s v="21"/>
    <x v="2"/>
    <x v="0"/>
    <n v="9"/>
    <n v="0"/>
    <n v="17"/>
    <n v="0"/>
    <s v="V"/>
    <n v="8"/>
    <s v="DA"/>
    <s v="Labo Smeets "/>
    <s v="Kris Motmans "/>
    <s v="TNL"/>
    <s v="TNL"/>
    <x v="0"/>
    <n v="1000"/>
    <s v="Functiebeschrijvingen + diversen "/>
    <s v="Gefactureerd"/>
    <m/>
    <m/>
    <m/>
    <m/>
    <m/>
    <m/>
    <m/>
  </r>
  <r>
    <s v="do"/>
    <s v="22"/>
    <x v="2"/>
    <x v="0"/>
    <n v="13"/>
    <n v="0"/>
    <n v="17"/>
    <n v="0"/>
    <s v="V"/>
    <n v="4"/>
    <s v="DD"/>
    <s v="R&amp;T"/>
    <s v="Paul Robrechts "/>
    <s v="P16/015"/>
    <s v="SEC 2.0"/>
    <x v="0"/>
    <n v="400"/>
    <s v="Bespreking projectsturctuur SIBELGA PARO/DVE/CHTH/JEHO"/>
    <s v="Gefactureerd"/>
    <m/>
    <m/>
    <m/>
    <m/>
    <m/>
    <m/>
    <m/>
  </r>
  <r>
    <s v="Vr"/>
    <s v="23"/>
    <x v="2"/>
    <x v="0"/>
    <n v="8"/>
    <n v="30"/>
    <n v="12"/>
    <n v="30"/>
    <s v="V"/>
    <n v="4"/>
    <s v="DD"/>
    <s v="Erie Water Treatment "/>
    <s v="Bert Verbeeck"/>
    <s v="TNL"/>
    <s v="HR2.0"/>
    <x v="0"/>
    <n v="575"/>
    <s v="PMO bespreking met Nick Govaert "/>
    <s v="Gefactureerd"/>
    <m/>
    <m/>
    <m/>
    <m/>
    <m/>
    <m/>
    <m/>
  </r>
  <r>
    <s v="ma"/>
    <s v="26"/>
    <x v="2"/>
    <x v="0"/>
    <n v="13"/>
    <n v="0"/>
    <n v="15"/>
    <n v="0"/>
    <s v="T"/>
    <n v="2"/>
    <s v="U"/>
    <s v="R&amp;T"/>
    <s v="Paul Robrechts "/>
    <s v="P16/015"/>
    <s v="SEC 2.0"/>
    <x v="0"/>
    <n v="200"/>
    <s v="Diversen oplossing projecstructuur Sibelga "/>
    <s v="Gefactureerd"/>
    <m/>
    <m/>
    <m/>
    <m/>
    <m/>
    <m/>
    <m/>
  </r>
  <r>
    <s v="di"/>
    <s v="27"/>
    <x v="2"/>
    <x v="0"/>
    <n v="8"/>
    <n v="30"/>
    <n v="16"/>
    <n v="0"/>
    <s v="V"/>
    <n v="7.5"/>
    <s v="U"/>
    <s v="Erie Water Treatment "/>
    <s v="Bert Verbeeck"/>
    <s v="TNL"/>
    <s v="HR2.0"/>
    <x v="0"/>
    <n v="890.625"/>
    <s v="Functiebeschrijvingen Erie on site + ingave functie beschrijving Waarden en GM + opzetten systeem "/>
    <s v="Gefactureerd"/>
    <m/>
    <m/>
    <m/>
    <m/>
    <m/>
    <m/>
    <m/>
  </r>
  <r>
    <s v="wo"/>
    <s v="28"/>
    <x v="2"/>
    <x v="0"/>
    <n v="13"/>
    <n v="0"/>
    <n v="18"/>
    <n v="0"/>
    <s v="V"/>
    <n v="4"/>
    <s v="DD"/>
    <s v="Labo Smeets "/>
    <s v="Kris Motmans "/>
    <s v="TNL"/>
    <s v="TNL"/>
    <x v="0"/>
    <n v="600"/>
    <s v="Voorbereiding en uitvoering Missie Visie waarden + competenties Verantwoordelijke administratie "/>
    <s v="Gefactureerd"/>
    <m/>
    <m/>
    <m/>
    <m/>
    <m/>
    <m/>
    <m/>
  </r>
  <r>
    <s v="do"/>
    <s v="29"/>
    <x v="2"/>
    <x v="0"/>
    <n v="9"/>
    <n v="0"/>
    <n v="10"/>
    <n v="30"/>
    <s v="T"/>
    <n v="1"/>
    <s v="U"/>
    <s v="Labo Smeets "/>
    <s v="Kris Motmans "/>
    <s v="TNL"/>
    <s v="TNL"/>
    <x v="0"/>
    <n v="125"/>
    <s v="Voorbereiding uitschrijven waarden DVE/IVT - ingave competenties  Verantwoordelijke Administratie "/>
    <s v="Gefactureerd"/>
    <m/>
    <m/>
    <m/>
    <m/>
    <m/>
    <m/>
    <m/>
  </r>
  <r>
    <s v="do"/>
    <s v="29"/>
    <x v="2"/>
    <x v="0"/>
    <n v="10"/>
    <n v="0"/>
    <n v="11"/>
    <n v="0"/>
    <s v="T"/>
    <n v="1"/>
    <s v="U"/>
    <s v="Labo Smeets "/>
    <s v="Kris Motmans "/>
    <s v="TNL"/>
    <s v="TNL"/>
    <x v="1"/>
    <n v="125"/>
    <s v="waarden uitschrijven "/>
    <s v="Gefactureerd"/>
    <m/>
    <m/>
    <m/>
    <m/>
    <m/>
    <m/>
    <m/>
  </r>
  <r>
    <s v="do"/>
    <s v="29"/>
    <x v="2"/>
    <x v="0"/>
    <n v="10"/>
    <n v="30"/>
    <n v="11"/>
    <n v="30"/>
    <s v="T"/>
    <n v="1"/>
    <s v="U"/>
    <s v="Erie Water Treatment "/>
    <s v="Bert Verbeeck"/>
    <s v="TNL"/>
    <s v="HR2.0"/>
    <x v="0"/>
    <n v="118.75"/>
    <s v="Functiebeschrijvingen Erie administreren FB Supply Chain Emp - Purch lead"/>
    <s v="Gefactureerd"/>
    <m/>
    <m/>
    <m/>
    <m/>
    <m/>
    <m/>
    <m/>
  </r>
  <r>
    <s v="do"/>
    <s v="29"/>
    <x v="2"/>
    <x v="0"/>
    <n v="13"/>
    <n v="0"/>
    <n v="18"/>
    <n v="0"/>
    <s v="V"/>
    <n v="4"/>
    <s v="DD"/>
    <s v="Labo Smeets "/>
    <s v="Kris Motmans "/>
    <s v="TNL"/>
    <s v="TNL"/>
    <x v="0"/>
    <n v="600"/>
    <s v="Functiebeschrijvingen operations ALI/DVE + 2 functiebeschrijvingen Operator/ print"/>
    <s v="Gefactureerd"/>
    <m/>
    <m/>
    <m/>
    <m/>
    <m/>
    <m/>
    <m/>
  </r>
  <r>
    <s v="Vr"/>
    <s v="30"/>
    <x v="2"/>
    <x v="0"/>
    <n v="9"/>
    <n v="0"/>
    <n v="13"/>
    <n v="0"/>
    <s v="V"/>
    <n v="4"/>
    <s v="DD"/>
    <s v="Vitesske"/>
    <s v="Nicolas van der Aa"/>
    <s v="TNL"/>
    <s v="VG25"/>
    <x v="0"/>
    <n v="575"/>
    <s v="RvA Vitesske "/>
    <s v="Gefactureerd"/>
    <m/>
    <m/>
    <m/>
    <m/>
    <m/>
    <m/>
    <m/>
  </r>
  <r>
    <s v="za"/>
    <s v="31"/>
    <x v="2"/>
    <x v="0"/>
    <m/>
    <m/>
    <m/>
    <m/>
    <s v="V"/>
    <m/>
    <m/>
    <s v="Vitesske"/>
    <s v="Nicolas van der Aa"/>
    <s v="TNL"/>
    <s v="VG25"/>
    <x v="2"/>
    <n v="16500"/>
    <s v="22 dagen  MCO"/>
    <s v="Gefactureerd"/>
    <m/>
    <m/>
    <m/>
    <m/>
    <m/>
    <m/>
    <m/>
  </r>
  <r>
    <s v="ma"/>
    <n v="2"/>
    <x v="3"/>
    <x v="0"/>
    <n v="8"/>
    <n v="0"/>
    <n v="11"/>
    <n v="0"/>
    <s v="T"/>
    <n v="3"/>
    <s v="U"/>
    <s v="Erie Water Treatment "/>
    <s v="Nick Govaert "/>
    <s v="TNL"/>
    <s v="PMO @ erie"/>
    <x v="0"/>
    <n v="356.25"/>
    <s v="Opzetten PMO @ Erie - concept en methodiek - opvolging projecten - aanmaken Project Summary"/>
    <s v="Gefactureerd"/>
    <m/>
    <m/>
    <m/>
    <m/>
    <m/>
    <m/>
    <m/>
  </r>
  <r>
    <s v="ma"/>
    <n v="2"/>
    <x v="3"/>
    <x v="0"/>
    <n v="11"/>
    <n v="0"/>
    <n v="14"/>
    <n v="0"/>
    <s v="T"/>
    <n v="3"/>
    <s v="U"/>
    <s v="Erie Water Treatment "/>
    <s v="Bert Verbeeck"/>
    <s v="TNL"/>
    <s v="HR2.0"/>
    <x v="0"/>
    <n v="356.25"/>
    <s v="Overzetten functiebeschrijvingen (reeds bestaande) + opzoeken competenties + alligneren verantwoordelijkheden en meetbare doelstellingen "/>
    <s v="Gefactureerd"/>
    <m/>
    <m/>
    <m/>
    <m/>
    <m/>
    <m/>
    <m/>
  </r>
  <r>
    <s v="ma"/>
    <n v="2"/>
    <x v="3"/>
    <x v="0"/>
    <n v="14"/>
    <n v="0"/>
    <n v="15"/>
    <n v="0"/>
    <s v="T"/>
    <n v="1"/>
    <s v="U"/>
    <s v="Labo Smeets "/>
    <s v="Kris Motmans "/>
    <s v="TNL"/>
    <s v="TNL"/>
    <x v="0"/>
    <n v="125"/>
    <s v="Aanvullen opgemaakte functiebeschrijvingen Prod empl I, II en III +  waarden integreren en doorsturen + correct zetten overzicht functie beschrijvingen "/>
    <s v="Gefactureerd"/>
    <m/>
    <m/>
    <m/>
    <m/>
    <m/>
    <m/>
    <m/>
  </r>
  <r>
    <s v="ma"/>
    <n v="2"/>
    <x v="3"/>
    <x v="0"/>
    <n v="15"/>
    <n v="30"/>
    <n v="16"/>
    <n v="30"/>
    <s v="T"/>
    <n v="1"/>
    <s v="U"/>
    <s v="Erie Water Treatment "/>
    <s v="Bert Verbeeck"/>
    <s v="TNL"/>
    <s v="HR2.0"/>
    <x v="0"/>
    <n v="118.75"/>
    <s v="Overzetten manuele files naar automatische template "/>
    <s v="Gefactureerd"/>
    <m/>
    <m/>
    <m/>
    <m/>
    <m/>
    <m/>
    <m/>
  </r>
  <r>
    <s v="di"/>
    <n v="3"/>
    <x v="3"/>
    <x v="0"/>
    <n v="8"/>
    <n v="30"/>
    <n v="12"/>
    <n v="30"/>
    <s v="V"/>
    <n v="4"/>
    <s v="DD"/>
    <s v="Erie Water Treatment "/>
    <s v="Bert Verbeeck"/>
    <s v="TNL"/>
    <s v="HR2.0"/>
    <x v="0"/>
    <n v="575"/>
    <s v="Vervolledigen tabel functiebeschrijvingen (new model)"/>
    <s v="Gefactureerd"/>
    <m/>
    <m/>
    <m/>
    <m/>
    <m/>
    <m/>
    <m/>
  </r>
  <r>
    <s v="di"/>
    <n v="3"/>
    <x v="3"/>
    <x v="0"/>
    <n v="14"/>
    <n v="0"/>
    <n v="18"/>
    <n v="0"/>
    <s v="V"/>
    <n v="4"/>
    <s v="DD"/>
    <s v="Vitesske"/>
    <s v="Nicolas van der Aa"/>
    <s v="TNL"/>
    <s v="VG25"/>
    <x v="0"/>
    <n v="575"/>
    <s v="MT + gesprek OHA + voorbereiden strategische keuzes volgende maanden. "/>
    <s v="Gefactureerd"/>
    <m/>
    <m/>
    <m/>
    <m/>
    <m/>
    <m/>
    <m/>
  </r>
  <r>
    <s v="wo"/>
    <n v="4"/>
    <x v="3"/>
    <x v="0"/>
    <n v="9"/>
    <n v="0"/>
    <n v="12"/>
    <n v="0"/>
    <s v="V"/>
    <n v="4"/>
    <s v="DD"/>
    <s v="Labo Smeets "/>
    <s v="Kris Motmans "/>
    <s v="TNL"/>
    <s v="TNL"/>
    <x v="0"/>
    <n v="600"/>
    <s v="Opmaken functiebeschrijvingen LF/Poetsman, Warehouse operator met Nicky, Marc en (deels Laure) + ingeven thuis van de verzamelde informatie (verantwoordelijkheden en competenties)(2uur)"/>
    <s v="Gefactureerd"/>
    <m/>
    <m/>
    <m/>
    <m/>
    <m/>
    <m/>
    <m/>
  </r>
  <r>
    <s v="wo"/>
    <n v="4"/>
    <x v="3"/>
    <x v="0"/>
    <n v="16"/>
    <n v="0"/>
    <n v="18"/>
    <n v="30"/>
    <s v="T"/>
    <n v="2.5"/>
    <s v="U"/>
    <s v="Erie Water Treatment "/>
    <s v="Nick Govaert "/>
    <s v="TNL"/>
    <s v="PMO @ erie"/>
    <x v="0"/>
    <n v="296.875"/>
    <s v="Opzetten concept PMO @ Erie opvolging projecten voor Erie (voorbereiding meeting vrijdag)"/>
    <s v="Gefactureerd"/>
    <m/>
    <m/>
    <m/>
    <m/>
    <m/>
    <m/>
    <m/>
  </r>
  <r>
    <s v="do"/>
    <n v="5"/>
    <x v="3"/>
    <x v="0"/>
    <n v="9"/>
    <n v="0"/>
    <n v="12"/>
    <n v="30"/>
    <s v="V"/>
    <n v="3.5"/>
    <s v="U"/>
    <s v="R&amp;T"/>
    <s v="Paul Robrechts "/>
    <s v="TNL"/>
    <s v="TNL"/>
    <x v="0"/>
    <n v="350"/>
    <s v="Bespreking Olivia &amp; Kathleen"/>
    <s v="Gefactureerd"/>
    <m/>
    <m/>
    <m/>
    <m/>
    <m/>
    <m/>
    <m/>
  </r>
  <r>
    <s v="do"/>
    <n v="5"/>
    <x v="3"/>
    <x v="0"/>
    <n v="12"/>
    <n v="30"/>
    <n v="17"/>
    <n v="0"/>
    <s v="V"/>
    <n v="4.5"/>
    <s v="U"/>
    <s v="R&amp;T"/>
    <s v="Paul Robrechts "/>
    <s v="P16/015"/>
    <s v="SEC 2.0"/>
    <x v="0"/>
    <n v="450"/>
    <s v="Bespreking  CHTH en DVE introductie Wilfried Frensch"/>
    <s v="Gefactureerd"/>
    <m/>
    <m/>
    <m/>
    <m/>
    <m/>
    <m/>
    <m/>
  </r>
  <r>
    <s v="Vr"/>
    <n v="6"/>
    <x v="3"/>
    <x v="0"/>
    <n v="8"/>
    <n v="0"/>
    <n v="11"/>
    <n v="0"/>
    <s v="V"/>
    <n v="3"/>
    <s v="U"/>
    <s v="Erie Water Treatment "/>
    <s v="Nick Govaert "/>
    <s v="TNL"/>
    <s v="PMO @ erie"/>
    <x v="0"/>
    <n v="575"/>
    <s v="PMO bespreking met Nick Govaert + projectleiders overlopen projecten "/>
    <s v="Gefactureerd"/>
    <m/>
    <m/>
    <m/>
    <m/>
    <m/>
    <m/>
    <m/>
  </r>
  <r>
    <s v="za "/>
    <n v="7"/>
    <x v="3"/>
    <x v="0"/>
    <n v="9"/>
    <n v="0"/>
    <n v="12"/>
    <n v="0"/>
    <s v="T"/>
    <n v="2"/>
    <s v="U"/>
    <s v="Labo Smeets "/>
    <s v="Kris Motmans "/>
    <s v="TNL"/>
    <s v="TNL"/>
    <x v="0"/>
    <n v="250"/>
    <s v="Ingave  functiebeschrijvingen LF/Poetsman, Warehouse operator (zie meeting wo 4/4)"/>
    <s v="Gefactureerd"/>
    <m/>
    <m/>
    <m/>
    <m/>
    <m/>
    <m/>
    <m/>
  </r>
  <r>
    <s v="ma"/>
    <n v="9"/>
    <x v="3"/>
    <x v="0"/>
    <n v="13"/>
    <n v="0"/>
    <n v="17"/>
    <n v="0"/>
    <s v="T"/>
    <n v="4"/>
    <s v="DD"/>
    <s v="Vitesske"/>
    <s v="Nicolas van der Aa"/>
    <s v="TNL"/>
    <s v="VG25"/>
    <x v="0"/>
    <n v="575"/>
    <s v="Herberekenen en aanpassen Budget 2018 en rapportering verschillen (locatie CHE)"/>
    <s v="Gefactureerd"/>
    <m/>
    <m/>
    <m/>
    <m/>
    <m/>
    <m/>
    <m/>
  </r>
  <r>
    <s v="di"/>
    <s v="10"/>
    <x v="3"/>
    <x v="0"/>
    <n v="8"/>
    <n v="30"/>
    <n v="12"/>
    <n v="30"/>
    <s v="V"/>
    <n v="4"/>
    <s v="DD"/>
    <s v="Erie Water Treatment "/>
    <s v="Bert Verbeeck"/>
    <s v="TNL"/>
    <s v="HR2.0"/>
    <x v="0"/>
    <n v="575"/>
    <s v="Bespreking Lore functiebeschrijvingen en opmaak van Project Summaries HR projecten "/>
    <s v="Gefactureerd"/>
    <m/>
    <m/>
    <m/>
    <m/>
    <m/>
    <m/>
    <m/>
  </r>
  <r>
    <s v="di"/>
    <s v="10"/>
    <x v="3"/>
    <x v="0"/>
    <n v="15"/>
    <n v="0"/>
    <n v="18"/>
    <n v="0"/>
    <s v="T"/>
    <n v="2"/>
    <s v="U"/>
    <s v="Erie Water Treatment "/>
    <s v="Bert Verbeeck"/>
    <s v="TNL"/>
    <s v="HR2.0"/>
    <x v="0"/>
    <n v="237.5"/>
    <s v="Vervolledigen verantwoordelijkheden + klaarzetten tabel 450 verantwoordelijkheden ter vervollediging- voorbereiding vergadering 19/4 + doorsturen aanvullingen voor GM"/>
    <s v="Gefactureerd"/>
    <m/>
    <m/>
    <m/>
    <m/>
    <m/>
    <m/>
    <m/>
  </r>
  <r>
    <s v="wo"/>
    <s v="11"/>
    <x v="3"/>
    <x v="0"/>
    <n v="10"/>
    <n v="0"/>
    <n v="16"/>
    <n v="0"/>
    <s v="T"/>
    <n v="4"/>
    <s v="U"/>
    <s v="Erie Water Treatment "/>
    <s v="Nick Govaert "/>
    <s v="TNL"/>
    <s v="PMO @ erie"/>
    <x v="0"/>
    <n v="475"/>
    <s v="Omzetten van oude projectaanvragen naar nieuwe template - voorbereiding bespreking Project summaries met betrokken Pl's -  inplannen afspraken projectaanvragen met de betrokken projectleiders "/>
    <s v="Gefactureerd"/>
    <m/>
    <m/>
    <m/>
    <m/>
    <m/>
    <m/>
    <m/>
  </r>
  <r>
    <s v="do"/>
    <s v="12"/>
    <x v="3"/>
    <x v="0"/>
    <n v="9"/>
    <n v="0"/>
    <n v="10"/>
    <n v="30"/>
    <s v="T"/>
    <n v="2"/>
    <s v="U"/>
    <s v="Erie Water Treatment "/>
    <s v="Nick Govaert "/>
    <s v="TNL"/>
    <s v="PMO @ erie"/>
    <x v="0"/>
    <n v="237.5"/>
    <s v="Aanmaken projectsummary &quot;2018-001 PMO @ Erie &quot;"/>
    <s v="Gefactureerd"/>
    <m/>
    <m/>
    <m/>
    <m/>
    <m/>
    <m/>
    <m/>
  </r>
  <r>
    <s v="do"/>
    <s v="12"/>
    <x v="3"/>
    <x v="0"/>
    <n v="11"/>
    <n v="0"/>
    <n v="13"/>
    <n v="0"/>
    <s v="V"/>
    <n v="2"/>
    <s v="U"/>
    <s v="Erie Water Treatment "/>
    <s v="Nick Govaert "/>
    <s v="TNL"/>
    <s v="PMO @ erie"/>
    <x v="0"/>
    <n v="237.5"/>
    <s v="Inplannen PMO - afspreken en starten met overlopen projectaanvragen "/>
    <s v="Gefactureerd"/>
    <m/>
    <m/>
    <m/>
    <m/>
    <m/>
    <m/>
    <m/>
  </r>
  <r>
    <s v="do"/>
    <s v="12"/>
    <x v="3"/>
    <x v="0"/>
    <n v="14"/>
    <n v="30"/>
    <n v="17"/>
    <n v="30"/>
    <s v="V"/>
    <n v="3"/>
    <s v="U"/>
    <s v="R&amp;T"/>
    <s v="Paul Robrechts "/>
    <s v="P16/015"/>
    <s v="SEC 2.0"/>
    <x v="0"/>
    <n v="300"/>
    <s v="Bespreking  CHTH/DVE/JWFR"/>
    <s v="Gefactureerd"/>
    <m/>
    <m/>
    <m/>
    <m/>
    <m/>
    <m/>
    <m/>
  </r>
  <r>
    <s v="Vr"/>
    <s v="13"/>
    <x v="3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16"/>
    <x v="3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17"/>
    <x v="3"/>
    <x v="0"/>
    <n v="8"/>
    <n v="0"/>
    <n v="12"/>
    <n v="0"/>
    <s v="T"/>
    <n v="4"/>
    <s v="U"/>
    <s v="Erie Water Treatment "/>
    <s v="Bert Verbeeck"/>
    <s v="TNL"/>
    <s v="HR2.0"/>
    <x v="0"/>
    <n v="475"/>
    <s v="Aanmaken proces 'organiseren van functioneringsgesprekken- opmaken template functiebeschrijvingen - aanvullen van FB (zie mail LWE 16/04)"/>
    <s v="Gefactureerd"/>
    <m/>
    <m/>
    <m/>
    <m/>
    <m/>
    <m/>
    <m/>
  </r>
  <r>
    <s v="di"/>
    <s v="17"/>
    <x v="3"/>
    <x v="0"/>
    <n v="13"/>
    <n v="30"/>
    <n v="17"/>
    <n v="30"/>
    <s v="V"/>
    <n v="4"/>
    <s v="DD"/>
    <s v="Vitesske"/>
    <s v="Nicolas van der Aa"/>
    <s v="TNL"/>
    <s v="VG25"/>
    <x v="0"/>
    <n v="575"/>
    <s v="MT vitesske "/>
    <s v="Gefactureerd"/>
    <m/>
    <m/>
    <m/>
    <m/>
    <m/>
    <m/>
    <m/>
  </r>
  <r>
    <s v="wo"/>
    <s v="18"/>
    <x v="3"/>
    <x v="0"/>
    <n v="8"/>
    <n v="0"/>
    <n v="12"/>
    <n v="0"/>
    <s v="V"/>
    <n v="4"/>
    <s v="U"/>
    <s v="Erie Water Treatment "/>
    <s v="Nick Govaert "/>
    <s v="TNL"/>
    <s v="PMO @ erie"/>
    <x v="0"/>
    <n v="475"/>
    <s v="Opmaken project summaries Dieter en Michiel "/>
    <s v="Gefactureerd"/>
    <m/>
    <m/>
    <m/>
    <m/>
    <m/>
    <m/>
    <m/>
  </r>
  <r>
    <s v="wo"/>
    <s v="18"/>
    <x v="3"/>
    <x v="0"/>
    <n v="12"/>
    <n v="0"/>
    <n v="13"/>
    <n v="0"/>
    <s v="V"/>
    <n v="1"/>
    <s v="U"/>
    <s v="Erie Water Treatment "/>
    <s v="Nick Govaert "/>
    <s v="TNL"/>
    <s v="PMO @ erie"/>
    <x v="0"/>
    <n v="118.75"/>
    <s v="MT mbt heraanwerving Bjorn Verschaeve"/>
    <s v="Gefactureerd"/>
    <m/>
    <m/>
    <m/>
    <m/>
    <m/>
    <m/>
    <m/>
  </r>
  <r>
    <s v="do"/>
    <s v="19"/>
    <x v="3"/>
    <x v="0"/>
    <n v="8"/>
    <n v="0"/>
    <n v="12"/>
    <n v="0"/>
    <s v="V"/>
    <n v="4"/>
    <s v="U"/>
    <s v="Erie Water Treatment "/>
    <s v="Nick Govaert "/>
    <s v="TNL"/>
    <s v="PMO @ erie"/>
    <x v="0"/>
    <n v="475"/>
    <s v="Opmaken project Summaries Tim &amp; David "/>
    <s v="Gefactureerd"/>
    <m/>
    <m/>
    <m/>
    <m/>
    <m/>
    <m/>
    <m/>
  </r>
  <r>
    <s v="do"/>
    <s v="19"/>
    <x v="3"/>
    <x v="0"/>
    <n v="13"/>
    <n v="0"/>
    <n v="17"/>
    <n v="0"/>
    <s v="V"/>
    <n v="4"/>
    <s v="U"/>
    <s v="Erie Water Treatment "/>
    <s v="Nick Govaert "/>
    <s v="TNL"/>
    <s v="HR2.0"/>
    <x v="0"/>
    <n v="475"/>
    <s v="Voorstelling functiebeschrijvingen en functioneringsgesprekken aan uitgebreid MT + bespreking HR -issues LWE"/>
    <s v="Gefactureerd"/>
    <m/>
    <m/>
    <m/>
    <m/>
    <m/>
    <m/>
    <m/>
  </r>
  <r>
    <s v="Vr"/>
    <s v="20"/>
    <x v="3"/>
    <x v="0"/>
    <m/>
    <m/>
    <m/>
    <m/>
    <s v="T"/>
    <n v="8"/>
    <m/>
    <s v="Ariadne"/>
    <s v="Dirk Vander Eyken"/>
    <s v="Verlof"/>
    <m/>
    <x v="0"/>
    <m/>
    <m/>
    <s v="Gepresteerd "/>
    <m/>
    <m/>
    <m/>
    <m/>
    <m/>
    <m/>
    <m/>
  </r>
  <r>
    <s v="ma"/>
    <s v="23"/>
    <x v="3"/>
    <x v="0"/>
    <n v="15"/>
    <n v="0"/>
    <n v="19"/>
    <n v="0"/>
    <s v="V"/>
    <n v="4"/>
    <s v="DD"/>
    <s v="Vitesske"/>
    <s v="Nicolas van der Aa"/>
    <s v="TNL"/>
    <s v="VG25"/>
    <x v="0"/>
    <n v="575"/>
    <s v="Strategische bespreing organisatie Vitesske Group "/>
    <s v="Gefactureerd"/>
    <m/>
    <m/>
    <m/>
    <m/>
    <m/>
    <m/>
    <m/>
  </r>
  <r>
    <s v="di"/>
    <s v="24"/>
    <x v="3"/>
    <x v="0"/>
    <n v="8"/>
    <n v="0"/>
    <n v="12"/>
    <n v="0"/>
    <s v="V"/>
    <n v="4"/>
    <s v="DD"/>
    <s v="Labo Smeets "/>
    <s v="Kris Motmans "/>
    <s v="TNL"/>
    <s v="TNL"/>
    <x v="0"/>
    <n v="600"/>
    <s v="FB Viktor/QC en QC mgr Neerland "/>
    <s v="Gefactureerd"/>
    <m/>
    <m/>
    <m/>
    <m/>
    <m/>
    <m/>
    <m/>
  </r>
  <r>
    <s v="di"/>
    <s v="24"/>
    <x v="3"/>
    <x v="0"/>
    <n v="13"/>
    <n v="0"/>
    <n v="17"/>
    <n v="0"/>
    <s v="V"/>
    <n v="4"/>
    <s v="DD"/>
    <s v="Erie Water Treatment "/>
    <s v="Nick Govaert "/>
    <s v="TNL"/>
    <s v="PMO @ erie"/>
    <x v="0"/>
    <n v="575"/>
    <s v="Voorbereiding presentatie loonbeleid en excel met ranges en categoriën invullen Erie gegevens "/>
    <s v="Gefactureerd"/>
    <m/>
    <m/>
    <m/>
    <m/>
    <m/>
    <m/>
    <m/>
  </r>
  <r>
    <s v="wo"/>
    <s v="25"/>
    <x v="3"/>
    <x v="0"/>
    <n v="9"/>
    <n v="0"/>
    <n v="14"/>
    <n v="0"/>
    <s v="V"/>
    <n v="6"/>
    <s v="U"/>
    <s v="Vitesske"/>
    <s v="Nicolas van der Aa"/>
    <s v="TNL"/>
    <s v="VG25"/>
    <x v="0"/>
    <n v="787.5"/>
    <s v="MT DVE/BSC/MCO/CHE + verslag meeting "/>
    <s v="Gefactureerd"/>
    <m/>
    <m/>
    <m/>
    <m/>
    <m/>
    <m/>
    <m/>
  </r>
  <r>
    <s v="wo"/>
    <s v="25"/>
    <x v="3"/>
    <x v="0"/>
    <n v="17"/>
    <n v="0"/>
    <n v="22"/>
    <n v="0"/>
    <s v="V"/>
    <n v="4"/>
    <s v="U"/>
    <s v="Ariadne"/>
    <s v="Dirk Vander Eyken"/>
    <s v="Verlof"/>
    <m/>
    <x v="0"/>
    <m/>
    <s v="Strategische keuze aansturing bedrijf gratis voor ENDO Cédric Daems "/>
    <s v="Gefactureerd"/>
    <m/>
    <m/>
    <m/>
    <m/>
    <m/>
    <m/>
    <m/>
  </r>
  <r>
    <s v="do"/>
    <s v="26"/>
    <x v="3"/>
    <x v="0"/>
    <n v="9"/>
    <n v="0"/>
    <n v="13"/>
    <n v="0"/>
    <s v="V"/>
    <n v="4"/>
    <s v="DD"/>
    <s v="R&amp;T"/>
    <s v="Paul Robrechts "/>
    <s v="TNL"/>
    <s v="TNL"/>
    <x v="0"/>
    <n v="400"/>
    <s v="ISO 9001 gesprek met Ann Mievis/Olivia"/>
    <s v="Gefactureerd"/>
    <m/>
    <m/>
    <m/>
    <m/>
    <m/>
    <m/>
    <m/>
  </r>
  <r>
    <s v="do"/>
    <s v="26"/>
    <x v="3"/>
    <x v="0"/>
    <n v="12"/>
    <n v="30"/>
    <n v="17"/>
    <n v="0"/>
    <s v="V"/>
    <n v="4"/>
    <s v="DD"/>
    <s v="Erie Water Treatment "/>
    <s v="Nick Govaert "/>
    <s v="TNL"/>
    <s v="PMO @ erie"/>
    <x v="0"/>
    <n v="575"/>
    <s v="PMO: overlopen projecten van Bert Verbeeck + diversen loonbeleid …"/>
    <s v="Gefactureerd"/>
    <m/>
    <m/>
    <m/>
    <m/>
    <m/>
    <m/>
    <m/>
  </r>
  <r>
    <s v="Vr"/>
    <s v="27"/>
    <x v="3"/>
    <x v="0"/>
    <n v="9"/>
    <n v="0"/>
    <n v="15"/>
    <n v="0"/>
    <s v="V"/>
    <n v="6"/>
    <s v="U"/>
    <s v="Erie Water Treatment "/>
    <s v="Nick Govaert "/>
    <s v="TNL"/>
    <s v="PMO @ erie"/>
    <x v="0"/>
    <n v="712.5"/>
    <s v="Project Summaries &gt;+ RGA's NGO + Loonbeleid voorstellen aan MT"/>
    <s v="Gefactureerd"/>
    <m/>
    <m/>
    <m/>
    <m/>
    <m/>
    <m/>
    <m/>
  </r>
  <r>
    <s v="zo"/>
    <s v="29"/>
    <x v="3"/>
    <x v="0"/>
    <n v="1"/>
    <n v="0"/>
    <n v="23"/>
    <n v="0"/>
    <s v="T"/>
    <n v="22"/>
    <s v="U"/>
    <s v="Erie Water Treatment "/>
    <s v="Nick Govaert "/>
    <s v="TNL"/>
    <s v="PMO @ erie"/>
    <x v="0"/>
    <n v="1100"/>
    <s v="Ontwikkeling PMO + Tool functiebeschrijvingen (totaal ontwikkeling 66 u verdeeld over drie klanten )"/>
    <s v="Gefactureerd"/>
    <m/>
    <m/>
    <m/>
    <m/>
    <m/>
    <m/>
    <m/>
  </r>
  <r>
    <s v="zo"/>
    <s v="29"/>
    <x v="3"/>
    <x v="0"/>
    <n v="1"/>
    <n v="0"/>
    <n v="14"/>
    <n v="0"/>
    <s v="T"/>
    <n v="13"/>
    <s v="U"/>
    <s v="Labo Smeets "/>
    <s v="Kris Motmans "/>
    <s v="TNL"/>
    <s v="TNL"/>
    <x v="0"/>
    <n v="650"/>
    <s v="Ontwikkeling Tool functiebeschrijvingen (totaal ontwikkeling 39 u verdeeld over drie klanten )"/>
    <s v="Gefactureerd"/>
    <m/>
    <m/>
    <m/>
    <m/>
    <m/>
    <m/>
    <m/>
  </r>
  <r>
    <s v="ma"/>
    <s v="30"/>
    <x v="3"/>
    <x v="0"/>
    <n v="13"/>
    <n v="0"/>
    <n v="17"/>
    <n v="0"/>
    <s v="V"/>
    <n v="4"/>
    <s v="DD"/>
    <s v="Erie Water Treatment "/>
    <s v="Bert Verbeeck"/>
    <s v="TNL"/>
    <s v="HR2.0"/>
    <x v="0"/>
    <n v="475"/>
    <s v="HR 2.0 met LWE/DVE"/>
    <s v="Gefactureerd"/>
    <m/>
    <m/>
    <m/>
    <m/>
    <m/>
    <m/>
    <m/>
  </r>
  <r>
    <s v="ma"/>
    <s v="30"/>
    <x v="3"/>
    <x v="0"/>
    <m/>
    <m/>
    <m/>
    <m/>
    <s v="V"/>
    <m/>
    <m/>
    <s v="Vitesske"/>
    <s v="Nicolas van der Aa"/>
    <s v="TNL"/>
    <s v="VG25"/>
    <x v="2"/>
    <n v="11250"/>
    <s v="15 dagen  MCO"/>
    <s v="Gefactureerd"/>
    <m/>
    <m/>
    <m/>
    <m/>
    <m/>
    <m/>
    <m/>
  </r>
  <r>
    <s v="di"/>
    <n v="1"/>
    <x v="4"/>
    <x v="0"/>
    <n v="9"/>
    <n v="0"/>
    <n v="13"/>
    <n v="0"/>
    <s v="V"/>
    <n v="4"/>
    <s v="U"/>
    <s v="Ariadne"/>
    <s v="Dirk Vander Eyken"/>
    <s v="Verlof"/>
    <m/>
    <x v="0"/>
    <n v="0"/>
    <s v="Bespreking strategisch plan CDA/DVE Endo Porjects ENDO Cédric Daems "/>
    <s v="Gefactureerd"/>
    <m/>
    <m/>
    <m/>
    <m/>
    <m/>
    <m/>
    <m/>
  </r>
  <r>
    <s v="di"/>
    <n v="1"/>
    <x v="4"/>
    <x v="0"/>
    <n v="13"/>
    <n v="0"/>
    <n v="17"/>
    <n v="0"/>
    <s v="V"/>
    <n v="4"/>
    <s v="DD"/>
    <s v="Vitesske"/>
    <s v="Nicolas van der Aa"/>
    <s v="TNL"/>
    <s v="VG25"/>
    <x v="0"/>
    <n v="575"/>
    <s v="Berekening en update budget Bij CHE met DVE/CHE"/>
    <s v="Gefactureerd"/>
    <m/>
    <m/>
    <m/>
    <m/>
    <m/>
    <m/>
    <m/>
  </r>
  <r>
    <s v="wo"/>
    <n v="2"/>
    <x v="4"/>
    <x v="0"/>
    <n v="9"/>
    <n v="0"/>
    <n v="12"/>
    <n v="0"/>
    <s v="T"/>
    <n v="3"/>
    <s v="U"/>
    <s v="Endo"/>
    <s v="Cédric Daems "/>
    <s v="TNL"/>
    <s v="TNL"/>
    <x v="0"/>
    <n v="337.5"/>
    <s v="Voorbereiding meetings Endo - To DO lijst - Actieplan - Opdracht CHE mbt P&amp;L"/>
    <s v="Gefactureerd"/>
    <m/>
    <m/>
    <m/>
    <m/>
    <m/>
    <m/>
    <m/>
  </r>
  <r>
    <s v="wo"/>
    <n v="2"/>
    <x v="4"/>
    <x v="0"/>
    <n v="15"/>
    <n v="0"/>
    <n v="19"/>
    <n v="0"/>
    <s v="T"/>
    <n v="4"/>
    <s v="U"/>
    <s v="Vitesske"/>
    <s v="Nicolas van der Aa"/>
    <s v="TNL"/>
    <s v="VG25"/>
    <x v="0"/>
    <n v="500"/>
    <s v="Overlopen updated budget  met MCO en bespreking diversen "/>
    <s v="Gefactureerd"/>
    <m/>
    <m/>
    <m/>
    <m/>
    <m/>
    <m/>
    <m/>
  </r>
  <r>
    <s v="do"/>
    <n v="3"/>
    <x v="4"/>
    <x v="0"/>
    <n v="8"/>
    <n v="30"/>
    <n v="12"/>
    <n v="30"/>
    <s v="V"/>
    <n v="4"/>
    <s v="DD"/>
    <s v="Endo"/>
    <s v="Cédric Daems "/>
    <s v="TNL"/>
    <s v="TNL"/>
    <x v="0"/>
    <n v="450"/>
    <s v="1e interventie dag diversen - bespreking FVE/Karen/ verhuis burelen - beslssingen Operations "/>
    <s v="Gefactureerd"/>
    <m/>
    <m/>
    <m/>
    <m/>
    <m/>
    <m/>
    <m/>
  </r>
  <r>
    <s v="do"/>
    <n v="3"/>
    <x v="4"/>
    <x v="0"/>
    <m/>
    <m/>
    <m/>
    <m/>
    <s v="V"/>
    <n v="8"/>
    <s v="DA"/>
    <s v="Labo Smeets "/>
    <s v="Kris Motmans "/>
    <s v="TNL"/>
    <m/>
    <x v="0"/>
    <m/>
    <s v="Bespreking KMO + LVD demonstreren functiebeschrijvinen en funtioneringsgesprekken. "/>
    <s v="Gepresteerd "/>
    <m/>
    <m/>
    <m/>
    <m/>
    <m/>
    <m/>
    <m/>
  </r>
  <r>
    <s v="Vr"/>
    <n v="4"/>
    <x v="4"/>
    <x v="0"/>
    <n v="9"/>
    <n v="0"/>
    <n v="15"/>
    <n v="0"/>
    <s v="V"/>
    <n v="6"/>
    <s v="U"/>
    <s v="Erie Water Treatment "/>
    <s v="Nick Govaert "/>
    <s v="TNL"/>
    <s v="PMO @ erie"/>
    <x v="0"/>
    <n v="712.5"/>
    <s v="Demonstreren + proces PMO + overlopen projectaanvragen Bjorn Verschaeve "/>
    <s v="Gefactureerd"/>
    <m/>
    <m/>
    <m/>
    <m/>
    <m/>
    <m/>
    <m/>
  </r>
  <r>
    <s v="ma"/>
    <n v="7"/>
    <x v="4"/>
    <x v="0"/>
    <n v="9"/>
    <n v="0"/>
    <n v="13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ma"/>
    <n v="7"/>
    <x v="4"/>
    <x v="0"/>
    <n v="14"/>
    <n v="0"/>
    <n v="17"/>
    <n v="0"/>
    <s v="T"/>
    <n v="3"/>
    <s v="U"/>
    <s v="Vitesske"/>
    <s v="Nicolas van der Aa"/>
    <s v="TNL"/>
    <s v="VG25"/>
    <x v="0"/>
    <n v="375"/>
    <s v="Voorbereiding meeting waardebepaling - vermindering kostenstructuur - samenwerkingsvverband en MT agendapunten + ToDo"/>
    <s v="Gefactureerd"/>
    <m/>
    <m/>
    <m/>
    <m/>
    <m/>
    <m/>
    <m/>
  </r>
  <r>
    <s v="di"/>
    <n v="8"/>
    <x v="4"/>
    <x v="0"/>
    <n v="8"/>
    <n v="30"/>
    <n v="13"/>
    <n v="30"/>
    <s v="V"/>
    <n v="4"/>
    <s v="DD"/>
    <s v="Vitesske"/>
    <s v="Nicolas van der Aa"/>
    <s v="TNL"/>
    <s v="VG25"/>
    <x v="0"/>
    <n v="575"/>
    <s v="Strategische meeting waarde bepaling BSC/DVE/CHE + meeting kostenbesparing + MCO"/>
    <s v="Gefactureerd"/>
    <m/>
    <m/>
    <m/>
    <m/>
    <m/>
    <m/>
    <m/>
  </r>
  <r>
    <s v="di"/>
    <n v="8"/>
    <x v="4"/>
    <x v="0"/>
    <n v="13"/>
    <n v="0"/>
    <n v="17"/>
    <n v="0"/>
    <s v="V"/>
    <n v="4"/>
    <s v="DD"/>
    <s v="Erie Water Treatment "/>
    <s v="Bert Verbeeck"/>
    <s v="TNL"/>
    <s v="HR2.0"/>
    <x v="0"/>
    <n v="575"/>
    <m/>
    <s v="Gefactureerd"/>
    <m/>
    <m/>
    <m/>
    <m/>
    <m/>
    <m/>
    <m/>
  </r>
  <r>
    <s v="wo"/>
    <n v="9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wo"/>
    <n v="9"/>
    <x v="4"/>
    <x v="0"/>
    <n v="13"/>
    <n v="0"/>
    <n v="17"/>
    <n v="0"/>
    <s v="V"/>
    <n v="2"/>
    <s v="U"/>
    <s v="Endo"/>
    <s v="Cédric Daems "/>
    <s v="TNL"/>
    <s v="TNL"/>
    <x v="0"/>
    <n v="225"/>
    <m/>
    <s v="Gefactureerd"/>
    <m/>
    <m/>
    <m/>
    <m/>
    <m/>
    <m/>
    <m/>
  </r>
  <r>
    <s v="do"/>
    <s v="10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Vr"/>
    <s v="11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14"/>
    <x v="4"/>
    <x v="0"/>
    <n v="9"/>
    <n v="0"/>
    <n v="13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ma"/>
    <s v="14"/>
    <x v="4"/>
    <x v="0"/>
    <n v="13"/>
    <n v="0"/>
    <n v="17"/>
    <n v="0"/>
    <s v="V"/>
    <n v="4"/>
    <s v="DD"/>
    <s v="Vitesske"/>
    <s v="Nicolas van der Aa"/>
    <s v="TNL"/>
    <s v="VG25"/>
    <x v="0"/>
    <n v="575"/>
    <m/>
    <s v="Gefactureerd"/>
    <m/>
    <m/>
    <m/>
    <m/>
    <m/>
    <m/>
    <m/>
  </r>
  <r>
    <s v="di"/>
    <s v="15"/>
    <x v="4"/>
    <x v="0"/>
    <n v="9"/>
    <n v="0"/>
    <n v="13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di"/>
    <s v="15"/>
    <x v="4"/>
    <x v="0"/>
    <n v="13"/>
    <n v="0"/>
    <n v="16"/>
    <n v="0"/>
    <s v="V"/>
    <n v="3"/>
    <s v="U"/>
    <s v="Erie Water Treatment "/>
    <s v="Bert Verbeeck"/>
    <s v="TNL"/>
    <s v="HR2.0"/>
    <x v="0"/>
    <n v="356.25"/>
    <m/>
    <s v="Gefactureerd"/>
    <m/>
    <m/>
    <m/>
    <m/>
    <m/>
    <m/>
    <m/>
  </r>
  <r>
    <s v="wo"/>
    <s v="16"/>
    <x v="4"/>
    <x v="0"/>
    <n v="14"/>
    <n v="0"/>
    <n v="16"/>
    <n v="0"/>
    <s v="V"/>
    <n v="2"/>
    <s v="U"/>
    <s v="Endo"/>
    <s v="Cédric Daems "/>
    <s v="TNL"/>
    <s v="TNL"/>
    <x v="0"/>
    <n v="225"/>
    <m/>
    <s v="Gefactureerd"/>
    <m/>
    <m/>
    <m/>
    <m/>
    <m/>
    <m/>
    <m/>
  </r>
  <r>
    <s v="wo"/>
    <s v="16"/>
    <x v="4"/>
    <x v="0"/>
    <n v="16"/>
    <n v="0"/>
    <n v="18"/>
    <n v="0"/>
    <s v="V"/>
    <n v="2"/>
    <s v="U"/>
    <s v="Vitesske"/>
    <s v="Nicolas van der Aa"/>
    <s v="TNL"/>
    <s v="VG25"/>
    <x v="0"/>
    <n v="262.5"/>
    <m/>
    <s v="Gefactureerd"/>
    <m/>
    <m/>
    <m/>
    <m/>
    <m/>
    <m/>
    <m/>
  </r>
  <r>
    <s v="do"/>
    <s v="17"/>
    <x v="4"/>
    <x v="0"/>
    <n v="9"/>
    <n v="0"/>
    <n v="13"/>
    <n v="0"/>
    <s v="V"/>
    <n v="4"/>
    <s v="DD"/>
    <s v="Vitesske"/>
    <s v="Nicolas van der Aa"/>
    <s v="TNL"/>
    <s v="VG25"/>
    <x v="0"/>
    <n v="575"/>
    <m/>
    <s v="Gefactureerd"/>
    <m/>
    <m/>
    <m/>
    <m/>
    <m/>
    <m/>
    <m/>
  </r>
  <r>
    <s v="Vr"/>
    <s v="18"/>
    <x v="4"/>
    <x v="0"/>
    <n v="9"/>
    <n v="0"/>
    <n v="13"/>
    <n v="0"/>
    <s v="V"/>
    <n v="4"/>
    <s v="DD"/>
    <s v="Erie Water Treatment "/>
    <s v="Nick Govaert "/>
    <s v="TNL"/>
    <s v="PMO @ erie"/>
    <x v="0"/>
    <n v="575"/>
    <m/>
    <s v="Gefactureerd"/>
    <m/>
    <m/>
    <m/>
    <m/>
    <m/>
    <m/>
    <m/>
  </r>
  <r>
    <s v="ma"/>
    <s v="21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22"/>
    <x v="4"/>
    <x v="0"/>
    <n v="9"/>
    <n v="0"/>
    <n v="13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di"/>
    <s v="22"/>
    <x v="4"/>
    <x v="0"/>
    <n v="13"/>
    <n v="0"/>
    <n v="17"/>
    <n v="0"/>
    <s v="V"/>
    <n v="4"/>
    <s v="DD"/>
    <s v="Erie Water Treatment "/>
    <s v="Bert Verbeeck"/>
    <s v="TNL"/>
    <s v="HR2.0"/>
    <x v="0"/>
    <n v="575"/>
    <m/>
    <s v="Gefactureerd"/>
    <m/>
    <m/>
    <m/>
    <m/>
    <m/>
    <m/>
    <m/>
  </r>
  <r>
    <s v="wo"/>
    <s v="23"/>
    <x v="4"/>
    <x v="0"/>
    <n v="9"/>
    <n v="0"/>
    <n v="12"/>
    <n v="0"/>
    <s v="V"/>
    <n v="3"/>
    <s v="U"/>
    <s v="Labo Smeets "/>
    <s v="Kris Motmans "/>
    <s v="TNL"/>
    <s v="TNL"/>
    <x v="0"/>
    <n v="600"/>
    <m/>
    <s v="Gefactureerd"/>
    <m/>
    <m/>
    <m/>
    <m/>
    <m/>
    <m/>
    <m/>
  </r>
  <r>
    <s v="wo"/>
    <s v="23"/>
    <x v="4"/>
    <x v="0"/>
    <n v="13"/>
    <n v="0"/>
    <n v="17"/>
    <n v="0"/>
    <s v="V"/>
    <n v="4"/>
    <s v="DD"/>
    <s v="Vitesske"/>
    <s v="Nicolas van der Aa"/>
    <s v="TNL"/>
    <s v="VG25"/>
    <x v="0"/>
    <n v="575"/>
    <m/>
    <s v="Gefactureerd"/>
    <m/>
    <m/>
    <m/>
    <m/>
    <m/>
    <m/>
    <m/>
  </r>
  <r>
    <s v="do"/>
    <s v="24"/>
    <x v="4"/>
    <x v="0"/>
    <n v="9"/>
    <n v="0"/>
    <n v="13"/>
    <n v="0"/>
    <s v="V"/>
    <n v="4"/>
    <s v="DD"/>
    <s v="Vitesske"/>
    <s v="Nicolas van der Aa"/>
    <s v="TNL"/>
    <s v="VG25"/>
    <x v="0"/>
    <n v="575"/>
    <m/>
    <s v="Gefactureerd"/>
    <m/>
    <m/>
    <m/>
    <m/>
    <m/>
    <m/>
    <m/>
  </r>
  <r>
    <s v="do"/>
    <s v="24"/>
    <x v="4"/>
    <x v="0"/>
    <n v="13"/>
    <n v="0"/>
    <n v="17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Vr"/>
    <s v="25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28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29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wo"/>
    <s v="30"/>
    <x v="4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o"/>
    <s v="31"/>
    <x v="4"/>
    <x v="0"/>
    <n v="9"/>
    <n v="0"/>
    <n v="13"/>
    <n v="0"/>
    <s v="V"/>
    <n v="4"/>
    <s v="DD"/>
    <s v="Endo"/>
    <s v="Cédric Daems "/>
    <s v="TNL"/>
    <s v="TNL"/>
    <x v="0"/>
    <n v="450"/>
    <m/>
    <s v="Gefactureerd"/>
    <m/>
    <m/>
    <m/>
    <m/>
    <m/>
    <m/>
    <m/>
  </r>
  <r>
    <s v="do"/>
    <s v="31"/>
    <x v="4"/>
    <x v="0"/>
    <n v="13"/>
    <n v="0"/>
    <n v="17"/>
    <n v="0"/>
    <s v="V"/>
    <n v="4"/>
    <s v="DD"/>
    <s v="Vitesske"/>
    <s v="Nicolas van der Aa"/>
    <s v="TNL"/>
    <s v="VG25"/>
    <x v="0"/>
    <n v="575"/>
    <m/>
    <s v="Gefactureerd"/>
    <m/>
    <m/>
    <m/>
    <m/>
    <m/>
    <m/>
    <m/>
  </r>
  <r>
    <s v="do"/>
    <s v="31"/>
    <x v="4"/>
    <x v="0"/>
    <m/>
    <m/>
    <m/>
    <m/>
    <s v="V"/>
    <n v="18.5"/>
    <s v="D "/>
    <s v="Vitesske"/>
    <s v="Nicolas van der Aa"/>
    <s v="TNL"/>
    <s v="VG25"/>
    <x v="2"/>
    <n v="13875"/>
    <m/>
    <s v="Gefactureerd"/>
    <m/>
    <m/>
    <m/>
    <m/>
    <m/>
    <m/>
    <m/>
  </r>
  <r>
    <s v="do"/>
    <s v="31"/>
    <x v="4"/>
    <x v="0"/>
    <m/>
    <m/>
    <m/>
    <m/>
    <s v="V"/>
    <m/>
    <m/>
    <s v="BYTA Comm.V"/>
    <s v="Wilfried Fransch "/>
    <s v="TNL"/>
    <m/>
    <x v="4"/>
    <n v="990.63"/>
    <m/>
    <s v="Gefactureerd"/>
    <m/>
    <m/>
    <m/>
    <m/>
    <m/>
    <m/>
    <m/>
  </r>
  <r>
    <s v="Vr"/>
    <n v="1"/>
    <x v="5"/>
    <x v="0"/>
    <n v="8"/>
    <n v="30"/>
    <n v="11"/>
    <n v="30"/>
    <s v="V"/>
    <n v="3"/>
    <s v="U"/>
    <s v="Erie Water Treatment "/>
    <s v="Bert Verbeeck"/>
    <s v="TNL"/>
    <s v="HR2.0"/>
    <x v="0"/>
    <n v="356.25"/>
    <m/>
    <s v="Gefactureerd"/>
    <m/>
    <m/>
    <m/>
    <m/>
    <m/>
    <m/>
    <m/>
  </r>
  <r>
    <s v="ma"/>
    <n v="4"/>
    <x v="5"/>
    <x v="0"/>
    <n v="8"/>
    <n v="0"/>
    <n v="9"/>
    <n v="0"/>
    <s v="T"/>
    <n v="1"/>
    <s v="U"/>
    <s v="Labo Smeets "/>
    <s v="Kris Motmans "/>
    <s v="TNL"/>
    <s v="TNL"/>
    <x v="0"/>
    <n v="125"/>
    <s v="Overlopen en vervolledigen TO DO's, FB Victor overlopen, Competenties QC coordinator , Actie plan opstellen + plannen "/>
    <s v="Gefactureerd"/>
    <m/>
    <m/>
    <m/>
    <m/>
    <m/>
    <m/>
    <m/>
  </r>
  <r>
    <s v="ma"/>
    <n v="4"/>
    <x v="5"/>
    <x v="0"/>
    <n v="9"/>
    <n v="0"/>
    <n v="11"/>
    <n v="30"/>
    <s v="T"/>
    <n v="2.5"/>
    <s v="U"/>
    <s v="Vitesske"/>
    <s v="Nicolas van der Aa"/>
    <s v="TNL"/>
    <s v="VG25"/>
    <x v="0"/>
    <n v="312.5"/>
    <s v="Voorbereiden MT, Dossier Hainaut opnemen met SD worx, Cedric van Moerenhout. "/>
    <s v="Gefactureerd"/>
    <m/>
    <m/>
    <m/>
    <m/>
    <m/>
    <m/>
    <m/>
  </r>
  <r>
    <s v="ma"/>
    <n v="4"/>
    <x v="5"/>
    <x v="0"/>
    <n v="13"/>
    <n v="0"/>
    <n v="17"/>
    <n v="0"/>
    <s v="V"/>
    <n v="4"/>
    <s v="DD"/>
    <s v="Vitesske"/>
    <s v="Nicolas van der Aa"/>
    <s v="TNL"/>
    <s v="VG25"/>
    <x v="0"/>
    <n v="575"/>
    <s v="Bespreking bij Vitesske "/>
    <s v="Gefactureerd"/>
    <m/>
    <m/>
    <m/>
    <m/>
    <m/>
    <m/>
    <m/>
  </r>
  <r>
    <s v="di"/>
    <n v="5"/>
    <x v="5"/>
    <x v="0"/>
    <n v="9"/>
    <n v="0"/>
    <n v="13"/>
    <n v="0"/>
    <s v="V"/>
    <n v="4"/>
    <s v="DD"/>
    <s v="Endo"/>
    <s v="Cédric Daems "/>
    <s v="TNL"/>
    <s v="TNL"/>
    <x v="0"/>
    <n v="450"/>
    <s v="Besprekingen diverse "/>
    <s v="Gefactureerd"/>
    <m/>
    <m/>
    <m/>
    <m/>
    <m/>
    <m/>
    <m/>
  </r>
  <r>
    <s v="di"/>
    <n v="5"/>
    <x v="5"/>
    <x v="0"/>
    <n v="13"/>
    <n v="0"/>
    <n v="17"/>
    <n v="0"/>
    <s v="V"/>
    <n v="4"/>
    <s v="DD"/>
    <s v="Vitesske"/>
    <s v="Nicolas van der Aa"/>
    <s v="TNL"/>
    <s v="VG25"/>
    <x v="0"/>
    <n v="575"/>
    <s v="Bespreking bij Vitesske"/>
    <s v="Gefactureerd"/>
    <m/>
    <m/>
    <m/>
    <m/>
    <m/>
    <m/>
    <m/>
  </r>
  <r>
    <s v="wo"/>
    <n v="6"/>
    <x v="5"/>
    <x v="0"/>
    <m/>
    <m/>
    <m/>
    <m/>
    <s v="T"/>
    <n v="8"/>
    <m/>
    <s v="Ariadne"/>
    <s v="Dirk Vander Eyken"/>
    <s v="Verlof"/>
    <m/>
    <x v="0"/>
    <m/>
    <m/>
    <s v="Gepresteerd "/>
    <m/>
    <m/>
    <m/>
    <m/>
    <m/>
    <m/>
    <m/>
  </r>
  <r>
    <s v="do"/>
    <n v="7"/>
    <x v="5"/>
    <x v="0"/>
    <n v="9"/>
    <n v="0"/>
    <n v="13"/>
    <n v="0"/>
    <s v="V"/>
    <n v="4"/>
    <s v="DD"/>
    <s v="Vitesske"/>
    <s v="Nicolas van der Aa"/>
    <s v="TNL"/>
    <s v="VG25"/>
    <x v="0"/>
    <n v="575"/>
    <s v="Commercieel plan BSC"/>
    <s v="Gefactureerd"/>
    <m/>
    <m/>
    <m/>
    <m/>
    <m/>
    <m/>
    <m/>
  </r>
  <r>
    <s v="do"/>
    <n v="7"/>
    <x v="5"/>
    <x v="0"/>
    <n v="13"/>
    <n v="0"/>
    <n v="17"/>
    <n v="0"/>
    <s v="V"/>
    <n v="4"/>
    <s v="DD"/>
    <s v="Endo"/>
    <s v="Cédric Daems "/>
    <s v="TNL"/>
    <s v="TNL"/>
    <x v="0"/>
    <n v="450"/>
    <s v="RvA + Financële resultaten "/>
    <s v="Gefactureerd"/>
    <m/>
    <m/>
    <m/>
    <m/>
    <m/>
    <m/>
    <m/>
  </r>
  <r>
    <s v="Vr"/>
    <n v="8"/>
    <x v="5"/>
    <x v="0"/>
    <n v="9"/>
    <n v="0"/>
    <n v="12"/>
    <n v="0"/>
    <s v="V"/>
    <n v="3"/>
    <s v="U"/>
    <s v="Erie Water Treatment "/>
    <s v="Bert Verbeeck"/>
    <s v="TNL"/>
    <s v="HR2.0"/>
    <x v="0"/>
    <n v="356.25"/>
    <m/>
    <s v="Gefactureerd"/>
    <m/>
    <m/>
    <m/>
    <m/>
    <m/>
    <m/>
    <m/>
  </r>
  <r>
    <s v="ma"/>
    <s v="11"/>
    <x v="5"/>
    <x v="0"/>
    <n v="9"/>
    <n v="0"/>
    <n v="13"/>
    <n v="0"/>
    <s v="V"/>
    <n v="4"/>
    <s v="DD"/>
    <s v="Endo"/>
    <s v="Cédric Daems "/>
    <s v="TNL"/>
    <s v="TNL"/>
    <x v="0"/>
    <n v="450"/>
    <s v="Sales meeting "/>
    <s v="Gefactureerd"/>
    <m/>
    <m/>
    <m/>
    <m/>
    <m/>
    <m/>
    <m/>
  </r>
  <r>
    <s v="ma"/>
    <s v="11"/>
    <x v="5"/>
    <x v="0"/>
    <n v="13"/>
    <n v="0"/>
    <n v="17"/>
    <n v="0"/>
    <s v="V"/>
    <n v="4"/>
    <s v="DD"/>
    <s v="Vitesske"/>
    <s v="Nicolas van der Aa"/>
    <s v="TNL"/>
    <s v="VG25"/>
    <x v="0"/>
    <n v="575"/>
    <s v="MT MCO + Verslag Commerciëel plan "/>
    <s v="Gefactureerd"/>
    <m/>
    <m/>
    <m/>
    <m/>
    <m/>
    <m/>
    <m/>
  </r>
  <r>
    <s v="di"/>
    <s v="12"/>
    <x v="5"/>
    <x v="0"/>
    <n v="9"/>
    <n v="0"/>
    <n v="13"/>
    <n v="0"/>
    <s v="V"/>
    <n v="3"/>
    <s v="U"/>
    <s v="Vitesske"/>
    <s v="Nicolas van der Aa"/>
    <s v="TNL"/>
    <s v="VG25"/>
    <x v="0"/>
    <n v="575"/>
    <s v="Bespreking Meester Mergits mbt Ontslag OHA in Antwerpen "/>
    <s v="Gefactureerd"/>
    <m/>
    <m/>
    <m/>
    <m/>
    <m/>
    <m/>
    <m/>
  </r>
  <r>
    <s v="di"/>
    <s v="12"/>
    <x v="5"/>
    <x v="0"/>
    <m/>
    <m/>
    <m/>
    <m/>
    <s v="V"/>
    <m/>
    <m/>
    <s v="Vitesske"/>
    <s v="Nicolas van der Aa"/>
    <s v="TNL"/>
    <s v="VG25"/>
    <x v="0"/>
    <n v="200"/>
    <s v="Kosten Mergits raadpleging (second opinion)"/>
    <s v="Gefactureerd"/>
    <m/>
    <m/>
    <m/>
    <m/>
    <m/>
    <m/>
    <m/>
  </r>
  <r>
    <s v="wo"/>
    <s v="13"/>
    <x v="5"/>
    <x v="0"/>
    <n v="11"/>
    <n v="0"/>
    <n v="12"/>
    <n v="0"/>
    <s v="T"/>
    <n v="1"/>
    <s v="U"/>
    <s v="Endo"/>
    <s v="Cédric Daems "/>
    <s v="TNL"/>
    <s v="TNL"/>
    <x v="0"/>
    <n v="112.5"/>
    <s v="Opzetten Opvolging Sales (cfr lijst Cindy en Isabelle) - Functionele analyse "/>
    <s v="Gefactureerd"/>
    <m/>
    <m/>
    <m/>
    <m/>
    <m/>
    <m/>
    <m/>
  </r>
  <r>
    <s v="do"/>
    <s v="14"/>
    <x v="5"/>
    <x v="0"/>
    <n v="9"/>
    <n v="0"/>
    <n v="13"/>
    <n v="0"/>
    <s v="V"/>
    <n v="4"/>
    <s v="DD"/>
    <s v="Vitesske"/>
    <s v="Nicolas van der Aa"/>
    <s v="TNL"/>
    <s v="VG25"/>
    <x v="0"/>
    <n v="575"/>
    <s v="4D Vision Stuur groep + diversen "/>
    <s v="Gefactureerd"/>
    <m/>
    <m/>
    <m/>
    <m/>
    <m/>
    <m/>
    <m/>
  </r>
  <r>
    <s v="do"/>
    <s v="14"/>
    <x v="5"/>
    <x v="0"/>
    <n v="13"/>
    <n v="0"/>
    <n v="17"/>
    <n v="0"/>
    <s v="V"/>
    <n v="4"/>
    <s v="DD"/>
    <s v="Endo"/>
    <s v="Cédric Daems "/>
    <s v="TNL"/>
    <s v="TNL"/>
    <x v="0"/>
    <n v="450"/>
    <s v="Sales opvolgingssysteem + diversen "/>
    <s v="Gefactureerd"/>
    <m/>
    <m/>
    <m/>
    <m/>
    <m/>
    <m/>
    <m/>
  </r>
  <r>
    <s v="Vr"/>
    <s v="15"/>
    <x v="5"/>
    <x v="0"/>
    <n v="9"/>
    <n v="0"/>
    <n v="10"/>
    <n v="30"/>
    <s v="T"/>
    <n v="1"/>
    <s v="U"/>
    <s v="Labo Smeets "/>
    <s v="Kris Motmans "/>
    <s v="TNL"/>
    <s v="TNL"/>
    <x v="0"/>
    <n v="125"/>
    <s v="werken aan Tool FB + Functioneringsgesprekken nav bespreking met Louis (voorbereiding op 13/06/18)"/>
    <s v="Gefactureerd"/>
    <m/>
    <m/>
    <m/>
    <m/>
    <m/>
    <m/>
    <m/>
  </r>
  <r>
    <s v="Vr"/>
    <s v="15"/>
    <x v="5"/>
    <x v="0"/>
    <n v="10"/>
    <n v="30"/>
    <n v="12"/>
    <n v="0"/>
    <s v="T"/>
    <n v="1"/>
    <s v="U"/>
    <s v="Erie Water Treatment "/>
    <s v="Bert Verbeeck"/>
    <s v="TNL"/>
    <s v="HR2.0"/>
    <x v="0"/>
    <n v="118.75"/>
    <s v="werken aan Tool FB + Functioneringsgesprekken nav bespreking met Lore (voorbereiding op 13/06/18) + voorbereiding PMO automatisatie en opvolging "/>
    <s v="Gefactureerd"/>
    <m/>
    <m/>
    <m/>
    <m/>
    <m/>
    <m/>
    <m/>
  </r>
  <r>
    <s v="ma"/>
    <s v="18"/>
    <x v="5"/>
    <x v="0"/>
    <n v="8"/>
    <n v="30"/>
    <n v="11"/>
    <n v="30"/>
    <s v="T"/>
    <n v="3"/>
    <s v="U"/>
    <s v="Erie Water Treatment "/>
    <s v="Bert Verbeeck"/>
    <s v="TNL"/>
    <s v="HR2.0"/>
    <x v="0"/>
    <n v="356.25"/>
    <s v="Voorbereiding presentatie PMO op MT: Schrijven handleiding gebruik en opvolging PMO - aanpassingen PMO tabel (alles correct zetten - aanpassen VBA)"/>
    <s v="Gefactureerd"/>
    <m/>
    <m/>
    <m/>
    <m/>
    <m/>
    <m/>
    <m/>
  </r>
  <r>
    <s v="ma"/>
    <s v="18"/>
    <x v="5"/>
    <x v="0"/>
    <n v="11"/>
    <n v="30"/>
    <n v="12"/>
    <n v="30"/>
    <s v="T"/>
    <n v="1"/>
    <s v="U"/>
    <s v="Labo Smeets "/>
    <s v="Kris Motmans "/>
    <s v="TNL"/>
    <s v="TNL"/>
    <x v="0"/>
    <n v="125"/>
    <s v="Voorbereiding missie/visie - agenda - inhoud.  "/>
    <s v="Gefactureerd"/>
    <m/>
    <m/>
    <m/>
    <m/>
    <m/>
    <m/>
    <m/>
  </r>
  <r>
    <s v="di"/>
    <s v="19"/>
    <x v="5"/>
    <x v="0"/>
    <n v="8"/>
    <n v="0"/>
    <n v="12"/>
    <n v="0"/>
    <s v="V"/>
    <n v="4"/>
    <s v="DD"/>
    <s v="Endo"/>
    <s v="Cédric Daems "/>
    <s v="TNL"/>
    <s v="TNL"/>
    <x v="0"/>
    <n v="450"/>
    <s v="Bespreking diverse "/>
    <s v="Gefactureerd"/>
    <m/>
    <m/>
    <m/>
    <m/>
    <m/>
    <m/>
    <m/>
  </r>
  <r>
    <s v="di"/>
    <s v="19"/>
    <x v="5"/>
    <x v="0"/>
    <n v="12"/>
    <n v="0"/>
    <n v="14"/>
    <n v="0"/>
    <s v="V"/>
    <n v="2"/>
    <s v="U"/>
    <s v="Vitesske"/>
    <s v="Nicolas van der Aa"/>
    <s v="TNL"/>
    <s v="VG25"/>
    <x v="0"/>
    <n v="262.5"/>
    <s v="MT + versturen verslag "/>
    <s v="Gefactureerd"/>
    <m/>
    <m/>
    <m/>
    <m/>
    <m/>
    <m/>
    <m/>
  </r>
  <r>
    <s v="di"/>
    <s v="19"/>
    <x v="5"/>
    <x v="0"/>
    <m/>
    <m/>
    <m/>
    <m/>
    <s v="T"/>
    <n v="8"/>
    <m/>
    <s v="Ariadne"/>
    <s v="Dirk Vander Eyken"/>
    <s v="Verlof"/>
    <m/>
    <x v="0"/>
    <m/>
    <s v="Jan Brackx "/>
    <s v="Gepresteerd "/>
    <m/>
    <m/>
    <m/>
    <m/>
    <m/>
    <m/>
    <m/>
  </r>
  <r>
    <s v="wo"/>
    <s v="20"/>
    <x v="5"/>
    <x v="0"/>
    <m/>
    <m/>
    <m/>
    <m/>
    <s v="T"/>
    <n v="8"/>
    <m/>
    <s v="Ariadne"/>
    <s v="Dirk Vander Eyken"/>
    <s v="Verlof"/>
    <m/>
    <x v="0"/>
    <m/>
    <m/>
    <s v="Gepresteerd "/>
    <m/>
    <m/>
    <m/>
    <m/>
    <m/>
    <m/>
    <m/>
  </r>
  <r>
    <s v="do"/>
    <s v="21"/>
    <x v="5"/>
    <x v="0"/>
    <n v="9"/>
    <n v="0"/>
    <n v="13"/>
    <n v="0"/>
    <s v="V"/>
    <n v="4"/>
    <s v="DD"/>
    <s v="Vitesske"/>
    <s v="Nicolas van der Aa"/>
    <s v="TNL"/>
    <s v="VG25"/>
    <x v="0"/>
    <n v="575"/>
    <s v="Bespreking dossier OHA bij Meester Moerenhout."/>
    <s v="Gefactureerd"/>
    <m/>
    <m/>
    <m/>
    <m/>
    <m/>
    <m/>
    <m/>
  </r>
  <r>
    <s v="do"/>
    <s v="21"/>
    <x v="5"/>
    <x v="0"/>
    <n v="13"/>
    <n v="0"/>
    <n v="17"/>
    <n v="0"/>
    <s v="V"/>
    <n v="4"/>
    <s v="DD"/>
    <s v="Labo Smeets "/>
    <s v="Kris Motmans "/>
    <s v="TNL"/>
    <s v="TNL"/>
    <x v="0"/>
    <n v="600"/>
    <s v="Diverse besprekingen "/>
    <s v="Gefactureerd"/>
    <m/>
    <m/>
    <m/>
    <m/>
    <m/>
    <m/>
    <m/>
  </r>
  <r>
    <s v="Vr"/>
    <n v="22"/>
    <x v="5"/>
    <x v="0"/>
    <n v="8"/>
    <n v="0"/>
    <n v="10"/>
    <n v="0"/>
    <s v="T"/>
    <n v="2"/>
    <s v="U"/>
    <s v="Eagle IT"/>
    <s v="Marleen Van Zele"/>
    <s v="TNL"/>
    <m/>
    <x v="5"/>
    <n v="250"/>
    <s v="Voorbereiding rapportage files "/>
    <s v="Gepresteerd"/>
    <m/>
    <n v="1000"/>
    <n v="220"/>
    <n v="9.625"/>
    <n v="9.625"/>
    <n v="0"/>
    <n v="200.75"/>
  </r>
  <r>
    <s v="Vr"/>
    <s v="22"/>
    <x v="5"/>
    <x v="0"/>
    <n v="9"/>
    <n v="0"/>
    <n v="13"/>
    <n v="0"/>
    <s v="V"/>
    <n v="4"/>
    <s v="DD"/>
    <s v="Erie Water Treatment "/>
    <s v="Bert Verbeeck"/>
    <s v="TNL"/>
    <s v="HR2.0"/>
    <x v="0"/>
    <n v="575"/>
    <s v="Voorbereiding en voorstelling PMO aan MT ERIE. Project Summarie Bjorn"/>
    <s v="Gefactureerd"/>
    <m/>
    <m/>
    <m/>
    <m/>
    <m/>
    <m/>
    <m/>
  </r>
  <r>
    <s v="ma"/>
    <s v="25"/>
    <x v="5"/>
    <x v="0"/>
    <n v="8"/>
    <n v="0"/>
    <n v="10"/>
    <n v="30"/>
    <s v="V"/>
    <n v="2.5"/>
    <s v="U"/>
    <s v="Labo Smeets "/>
    <s v="Kris Motmans "/>
    <s v="TNL"/>
    <s v="TNL"/>
    <x v="0"/>
    <n v="312.5"/>
    <s v="Voorbereiding Strategic Workshop 29/06"/>
    <s v="Gefactureerd"/>
    <m/>
    <m/>
    <m/>
    <m/>
    <m/>
    <m/>
    <m/>
  </r>
  <r>
    <s v="ma"/>
    <n v="25"/>
    <x v="5"/>
    <x v="0"/>
    <n v="8"/>
    <n v="0"/>
    <n v="12"/>
    <n v="0"/>
    <s v="V"/>
    <n v="4"/>
    <s v="DD"/>
    <s v="Eagle IT"/>
    <s v="Marleen Van Zele"/>
    <s v="TNL"/>
    <m/>
    <x v="5"/>
    <n v="650"/>
    <s v="Opmaak rapporteringsfiles samen met Marleen"/>
    <s v="Gepresteerd"/>
    <m/>
    <n v="1300"/>
    <n v="250"/>
    <n v="21.875"/>
    <n v="21.875"/>
    <n v="0"/>
    <n v="206.25"/>
  </r>
  <r>
    <s v="ma"/>
    <s v="25"/>
    <x v="5"/>
    <x v="0"/>
    <n v="14"/>
    <n v="30"/>
    <n v="17"/>
    <n v="0"/>
    <s v="V"/>
    <n v="2.5"/>
    <s v="U"/>
    <s v="Endo"/>
    <s v="Cédric Daems "/>
    <s v="TNL"/>
    <s v="TNL"/>
    <x v="0"/>
    <n v="281.25"/>
    <s v="Interview sollicitant Endo "/>
    <s v="Gefactureerd"/>
    <m/>
    <m/>
    <m/>
    <m/>
    <m/>
    <m/>
    <m/>
  </r>
  <r>
    <s v="di"/>
    <s v="26"/>
    <x v="5"/>
    <x v="0"/>
    <n v="9"/>
    <n v="0"/>
    <n v="13"/>
    <n v="0"/>
    <s v="V"/>
    <n v="4"/>
    <s v="DD"/>
    <s v="Endo"/>
    <s v="Cédric Daems "/>
    <s v="TNL"/>
    <s v="TNL"/>
    <x v="0"/>
    <n v="450"/>
    <s v="RvA"/>
    <s v="Gefactureerd"/>
    <m/>
    <m/>
    <m/>
    <m/>
    <m/>
    <m/>
    <m/>
  </r>
  <r>
    <s v="di"/>
    <s v="26"/>
    <x v="5"/>
    <x v="0"/>
    <n v="13"/>
    <n v="0"/>
    <n v="16"/>
    <n v="0"/>
    <s v="V"/>
    <n v="3"/>
    <s v="U"/>
    <s v="Vitesske"/>
    <s v="Nicolas van der Aa"/>
    <s v="TNL"/>
    <s v="VG25"/>
    <x v="0"/>
    <n v="393.75"/>
    <s v="MT + Verslag"/>
    <s v="Gefactureerd"/>
    <m/>
    <m/>
    <m/>
    <m/>
    <m/>
    <m/>
    <m/>
  </r>
  <r>
    <s v="wo"/>
    <s v="27"/>
    <x v="5"/>
    <x v="0"/>
    <n v="8"/>
    <n v="0"/>
    <n v="12"/>
    <n v="0"/>
    <s v="T"/>
    <n v="4"/>
    <s v="DD"/>
    <s v="Labo Smeets "/>
    <s v="Kris Motmans "/>
    <s v="TNL"/>
    <s v="TNL"/>
    <x v="0"/>
    <n v="500"/>
    <s v="Voorbereiding Strategic Workshop 29/06"/>
    <s v="Gefactureerd"/>
    <m/>
    <m/>
    <m/>
    <m/>
    <m/>
    <m/>
    <m/>
  </r>
  <r>
    <s v="do"/>
    <s v="28"/>
    <x v="5"/>
    <x v="0"/>
    <n v="8"/>
    <n v="0"/>
    <n v="10"/>
    <n v="0"/>
    <s v="V"/>
    <n v="2"/>
    <s v="U"/>
    <s v="Labo Smeets "/>
    <s v="Kris Motmans "/>
    <s v="TNL"/>
    <s v="TNL"/>
    <x v="0"/>
    <n v="250"/>
    <s v="Voorbereiding Strategic Workshop 29/06"/>
    <s v="Gefactureerd"/>
    <m/>
    <m/>
    <m/>
    <m/>
    <m/>
    <m/>
    <m/>
  </r>
  <r>
    <s v="do"/>
    <n v="28"/>
    <x v="5"/>
    <x v="0"/>
    <n v="8"/>
    <n v="0"/>
    <n v="16"/>
    <n v="0"/>
    <s v="V"/>
    <n v="8"/>
    <s v="DA"/>
    <s v="Advas"/>
    <s v="Anneliese Simoens"/>
    <s v="TNL"/>
    <m/>
    <x v="1"/>
    <n v="1150"/>
    <m/>
    <s v="Gepresteerd"/>
    <m/>
    <n v="1150"/>
    <n v="250"/>
    <n v="43.75"/>
    <n v="43.75"/>
    <n v="0"/>
    <n v="162.5"/>
  </r>
  <r>
    <s v="do"/>
    <s v="28"/>
    <x v="5"/>
    <x v="0"/>
    <n v="10"/>
    <n v="30"/>
    <n v="17"/>
    <n v="0"/>
    <s v="V"/>
    <n v="6.5"/>
    <s v="U"/>
    <s v="Endo"/>
    <s v="Cédric Daems "/>
    <s v="TNL"/>
    <s v="TNL"/>
    <x v="0"/>
    <n v="731.25"/>
    <s v="Bespreking diverse "/>
    <s v="Gefactureerd"/>
    <m/>
    <m/>
    <m/>
    <m/>
    <m/>
    <m/>
    <m/>
  </r>
  <r>
    <s v="Vr"/>
    <s v="29"/>
    <x v="5"/>
    <x v="0"/>
    <n v="10"/>
    <n v="0"/>
    <n v="18"/>
    <n v="0"/>
    <s v="V"/>
    <n v="8"/>
    <s v="DA"/>
    <s v="Labo Smeets "/>
    <s v="Kris Motmans "/>
    <s v="TNL"/>
    <s v="TNL"/>
    <x v="0"/>
    <n v="1000"/>
    <s v=" Strategic Workshop 29/06"/>
    <s v="Gefactureerd"/>
    <m/>
    <m/>
    <m/>
    <m/>
    <m/>
    <m/>
    <m/>
  </r>
  <r>
    <s v="Vr"/>
    <s v="29"/>
    <x v="5"/>
    <x v="0"/>
    <m/>
    <m/>
    <m/>
    <m/>
    <s v="V"/>
    <n v="20"/>
    <s v="D "/>
    <s v="Vitesske"/>
    <s v="Nicolas van der Aa"/>
    <s v="TNL"/>
    <s v="VG25"/>
    <x v="2"/>
    <n v="15000"/>
    <s v="Diensten Michael Costermans "/>
    <s v="Gefactureerd"/>
    <m/>
    <m/>
    <m/>
    <m/>
    <m/>
    <m/>
    <m/>
  </r>
  <r>
    <s v="Vr"/>
    <s v="29"/>
    <x v="5"/>
    <x v="0"/>
    <m/>
    <m/>
    <m/>
    <m/>
    <s v="V"/>
    <m/>
    <m/>
    <s v="BYTA Comm.V"/>
    <s v="Wilfried Fransch "/>
    <s v="TNL"/>
    <m/>
    <x v="4"/>
    <n v="837.5"/>
    <m/>
    <s v="Gefactureerd"/>
    <m/>
    <m/>
    <m/>
    <m/>
    <m/>
    <m/>
    <m/>
  </r>
  <r>
    <s v="ma"/>
    <n v="2"/>
    <x v="6"/>
    <x v="0"/>
    <n v="9"/>
    <n v="0"/>
    <n v="17"/>
    <n v="0"/>
    <s v="V"/>
    <n v="8"/>
    <s v="DA"/>
    <s v="Eagle IT"/>
    <s v="Jan Keersmaekers "/>
    <s v="TNL"/>
    <s v="TNL"/>
    <x v="0"/>
    <n v="1150"/>
    <s v="Quick Scan "/>
    <s v="Gefactureerd"/>
    <m/>
    <n v="1150"/>
    <n v="250"/>
    <n v="43.75"/>
    <n v="43.75"/>
    <n v="0"/>
    <n v="162.5"/>
  </r>
  <r>
    <s v="di"/>
    <n v="3"/>
    <x v="6"/>
    <x v="0"/>
    <n v="8"/>
    <n v="0"/>
    <n v="11"/>
    <n v="0"/>
    <s v="V"/>
    <n v="3"/>
    <s v="U"/>
    <s v="Endo"/>
    <s v="Cédric Daems "/>
    <s v="TNL"/>
    <s v="TNL"/>
    <x v="0"/>
    <n v="337.5"/>
    <s v="Ontslag Karen "/>
    <s v="Gefactureerd"/>
    <m/>
    <m/>
    <m/>
    <m/>
    <m/>
    <m/>
    <m/>
  </r>
  <r>
    <s v="do"/>
    <n v="3"/>
    <x v="6"/>
    <x v="0"/>
    <n v="8"/>
    <n v="0"/>
    <n v="16"/>
    <n v="0"/>
    <s v="V"/>
    <n v="8"/>
    <s v="DA"/>
    <s v="Advas"/>
    <s v="Anneliese Simoens"/>
    <s v="TNL"/>
    <m/>
    <x v="1"/>
    <n v="1150"/>
    <m/>
    <s v="Gepresteerd"/>
    <m/>
    <n v="1150"/>
    <n v="250"/>
    <n v="43.75"/>
    <n v="43.75"/>
    <n v="0"/>
    <n v="162.5"/>
  </r>
  <r>
    <s v="di"/>
    <n v="3"/>
    <x v="6"/>
    <x v="0"/>
    <n v="13"/>
    <n v="0"/>
    <n v="16"/>
    <n v="0"/>
    <s v="V"/>
    <n v="4"/>
    <s v="DD"/>
    <s v="Vitesske"/>
    <s v="Nicolas van der Aa"/>
    <s v="TNL"/>
    <s v="VG25"/>
    <x v="0"/>
    <n v="575"/>
    <s v="MT meeting "/>
    <s v="Gefactureerd"/>
    <m/>
    <m/>
    <m/>
    <m/>
    <m/>
    <m/>
    <m/>
  </r>
  <r>
    <s v="di"/>
    <n v="3"/>
    <x v="6"/>
    <x v="0"/>
    <m/>
    <m/>
    <m/>
    <m/>
    <s v="T"/>
    <n v="6"/>
    <s v="U"/>
    <s v="Vitesske"/>
    <s v="Nicolas van der Aa"/>
    <s v="TNL"/>
    <s v="VG25"/>
    <x v="1"/>
    <n v="690"/>
    <s v="Ondersteuning Ilse bij dossier OHA juridisch in juni 2018"/>
    <s v="Gefactureerd"/>
    <m/>
    <m/>
    <m/>
    <m/>
    <m/>
    <m/>
    <m/>
  </r>
  <r>
    <s v="wo"/>
    <n v="4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o"/>
    <n v="5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Vr"/>
    <n v="6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n v="9"/>
    <x v="6"/>
    <x v="0"/>
    <n v="8"/>
    <n v="30"/>
    <n v="12"/>
    <n v="30"/>
    <s v="T"/>
    <n v="4"/>
    <s v="U"/>
    <s v="Erie Water Treatment "/>
    <s v="Nick Govaert "/>
    <s v="TNL"/>
    <s v="PMO @ erie"/>
    <x v="0"/>
    <n v="475"/>
    <s v="Aanpassen PMO tabel nav voorstelling aan MT - uploaden naar Sharepoint "/>
    <s v="Gefactureerd"/>
    <m/>
    <m/>
    <m/>
    <m/>
    <m/>
    <m/>
    <m/>
  </r>
  <r>
    <s v="do"/>
    <n v="9"/>
    <x v="6"/>
    <x v="0"/>
    <n v="8"/>
    <n v="0"/>
    <n v="16"/>
    <n v="0"/>
    <s v="V"/>
    <n v="8"/>
    <s v="DA"/>
    <s v="Advas"/>
    <s v="Anneliese Simoens"/>
    <s v="TNL"/>
    <m/>
    <x v="1"/>
    <n v="1150"/>
    <m/>
    <s v="Gepresteerd"/>
    <m/>
    <n v="1150"/>
    <n v="250"/>
    <n v="43.75"/>
    <n v="43.75"/>
    <n v="0"/>
    <n v="162.5"/>
  </r>
  <r>
    <s v="do"/>
    <n v="10"/>
    <x v="6"/>
    <x v="0"/>
    <n v="8"/>
    <n v="0"/>
    <n v="16"/>
    <n v="0"/>
    <s v="V"/>
    <n v="8"/>
    <s v="DA"/>
    <s v="Advas"/>
    <s v="Anneliese Simoens"/>
    <s v="TNL"/>
    <m/>
    <x v="1"/>
    <n v="1150"/>
    <m/>
    <s v="Gepresteerd"/>
    <m/>
    <n v="1150"/>
    <n v="250"/>
    <n v="43.75"/>
    <n v="43.75"/>
    <n v="0"/>
    <n v="162.5"/>
  </r>
  <r>
    <s v="di"/>
    <s v="10"/>
    <x v="6"/>
    <x v="0"/>
    <n v="13"/>
    <n v="0"/>
    <n v="16"/>
    <n v="0"/>
    <s v="V"/>
    <n v="4"/>
    <s v="DD"/>
    <s v="Vitesske"/>
    <s v="Nicolas van der Aa"/>
    <s v="TNL"/>
    <s v="VG25"/>
    <x v="0"/>
    <n v="575"/>
    <s v="Wekelijkse meeting "/>
    <s v="Gefactureerd"/>
    <m/>
    <m/>
    <m/>
    <m/>
    <m/>
    <m/>
    <m/>
  </r>
  <r>
    <s v="wo"/>
    <s v="11"/>
    <x v="6"/>
    <x v="0"/>
    <n v="8"/>
    <n v="30"/>
    <n v="12"/>
    <n v="30"/>
    <s v="V"/>
    <n v="4"/>
    <s v="DD"/>
    <s v="Erie Water Treatment "/>
    <s v="Bert Verbeeck"/>
    <s v="TNL"/>
    <s v="HR2.0"/>
    <x v="0"/>
    <n v="575"/>
    <s v="Meeting Lore "/>
    <s v="Gefactureerd"/>
    <m/>
    <m/>
    <m/>
    <m/>
    <m/>
    <m/>
    <m/>
  </r>
  <r>
    <s v="do"/>
    <s v="12"/>
    <x v="6"/>
    <x v="0"/>
    <n v="13"/>
    <n v="0"/>
    <n v="17"/>
    <n v="0"/>
    <s v="V"/>
    <n v="4"/>
    <s v="DD"/>
    <s v="Endo"/>
    <s v="Cédric Daems "/>
    <s v="TNL"/>
    <s v="TNL"/>
    <x v="0"/>
    <n v="450"/>
    <s v="Sales en marketing meeting "/>
    <s v="Gefactureerd"/>
    <m/>
    <m/>
    <m/>
    <m/>
    <m/>
    <m/>
    <m/>
  </r>
  <r>
    <s v="Vr"/>
    <s v="13"/>
    <x v="6"/>
    <x v="0"/>
    <n v="11"/>
    <n v="0"/>
    <n v="13"/>
    <n v="0"/>
    <s v="T"/>
    <n v="2"/>
    <s v="U"/>
    <s v="Eagle IT"/>
    <s v="Jan Keersmaekers "/>
    <s v="TNL"/>
    <s v="TNL"/>
    <x v="0"/>
    <n v="250"/>
    <s v="PMO opzetten, Management meeting report - Iyopro opzetten - Quick Scan finaliseren en actieplan opzetten "/>
    <s v="Gefactureerd"/>
    <m/>
    <n v="1000"/>
    <n v="220"/>
    <n v="9.625"/>
    <n v="9.625"/>
    <n v="0"/>
    <n v="200.75"/>
  </r>
  <r>
    <s v="ma"/>
    <s v="16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17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wo"/>
    <s v="18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o"/>
    <s v="19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Vr"/>
    <s v="20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23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24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wo"/>
    <s v="25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o"/>
    <s v="26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Vr"/>
    <s v="27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ma"/>
    <s v="30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di"/>
    <s v="31"/>
    <x v="6"/>
    <x v="0"/>
    <n v="9"/>
    <n v="0"/>
    <n v="17"/>
    <n v="0"/>
    <s v="T"/>
    <n v="8"/>
    <s v="DA"/>
    <s v="Ariadne"/>
    <s v="Dirk Vander Eyken"/>
    <s v="Verlof"/>
    <m/>
    <x v="0"/>
    <m/>
    <m/>
    <s v="Gefactureerd"/>
    <m/>
    <m/>
    <m/>
    <m/>
    <m/>
    <m/>
    <m/>
  </r>
  <r>
    <s v="wo"/>
    <n v="1"/>
    <x v="7"/>
    <x v="0"/>
    <n v="8"/>
    <n v="0"/>
    <n v="12"/>
    <n v="0"/>
    <s v="T"/>
    <n v="4"/>
    <s v="U"/>
    <s v="Louis Culot"/>
    <s v="Tim Culot "/>
    <s v="TNL"/>
    <s v="TNL"/>
    <x v="5"/>
    <n v="500"/>
    <m/>
    <s v="Gepresteerd"/>
    <m/>
    <n v="1000"/>
    <n v="220"/>
    <n v="19.25"/>
    <n v="19.25"/>
    <n v="0"/>
    <n v="181.5"/>
  </r>
  <r>
    <s v="wo"/>
    <n v="1"/>
    <x v="7"/>
    <x v="0"/>
    <n v="9"/>
    <n v="0"/>
    <n v="17"/>
    <n v="0"/>
    <s v="T"/>
    <n v="8"/>
    <s v="DA"/>
    <s v="Ariadne"/>
    <s v="Dirk Vander Eyken"/>
    <s v="Verlof"/>
    <m/>
    <x v="0"/>
    <m/>
    <m/>
    <s v="Gepresteerd "/>
    <m/>
    <m/>
    <m/>
    <m/>
    <m/>
    <m/>
    <m/>
  </r>
  <r>
    <s v="do"/>
    <n v="2"/>
    <x v="7"/>
    <x v="0"/>
    <n v="8"/>
    <n v="0"/>
    <n v="12"/>
    <n v="0"/>
    <s v="T"/>
    <n v="4"/>
    <s v="U"/>
    <s v="Louis Culot"/>
    <s v="Tim Culot "/>
    <s v="TNL"/>
    <s v="TNL"/>
    <x v="5"/>
    <n v="500"/>
    <m/>
    <s v="Gepresteerd"/>
    <m/>
    <n v="1000"/>
    <n v="220"/>
    <n v="19.25"/>
    <n v="19.25"/>
    <n v="0"/>
    <n v="181.5"/>
  </r>
  <r>
    <s v="do"/>
    <n v="2"/>
    <x v="7"/>
    <x v="0"/>
    <n v="9"/>
    <n v="0"/>
    <n v="17"/>
    <n v="0"/>
    <s v="T"/>
    <n v="8"/>
    <s v="DA"/>
    <s v="Ariadne"/>
    <s v="Dirk Vander Eyken"/>
    <s v="Verlof"/>
    <m/>
    <x v="0"/>
    <m/>
    <m/>
    <s v="Gepresteerd "/>
    <m/>
    <m/>
    <m/>
    <m/>
    <m/>
    <m/>
    <m/>
  </r>
  <r>
    <s v="Vr"/>
    <n v="3"/>
    <x v="7"/>
    <x v="0"/>
    <n v="8"/>
    <n v="0"/>
    <n v="12"/>
    <n v="0"/>
    <s v="T"/>
    <n v="4"/>
    <s v="U"/>
    <s v="EMDS"/>
    <s v="Gino Dierckx"/>
    <s v="TNL"/>
    <m/>
    <x v="5"/>
    <n v="500"/>
    <s v="Voorbereiding rapportage files "/>
    <s v="Gefactureerd"/>
    <m/>
    <m/>
    <m/>
    <m/>
    <m/>
    <m/>
    <m/>
  </r>
  <r>
    <s v="Vr"/>
    <n v="3"/>
    <x v="7"/>
    <x v="0"/>
    <n v="9"/>
    <n v="0"/>
    <n v="17"/>
    <n v="0"/>
    <s v="T"/>
    <n v="8"/>
    <s v="DA"/>
    <s v="Ariadne"/>
    <s v="Dirk Vander Eyken"/>
    <s v="Verlof"/>
    <m/>
    <x v="0"/>
    <m/>
    <m/>
    <s v="Gepresteerd "/>
    <m/>
    <m/>
    <m/>
    <m/>
    <m/>
    <m/>
    <m/>
  </r>
  <r>
    <s v="ma"/>
    <n v="6"/>
    <x v="7"/>
    <x v="0"/>
    <n v="9"/>
    <n v="0"/>
    <n v="17"/>
    <n v="0"/>
    <s v="T"/>
    <n v="8"/>
    <s v="DA"/>
    <s v="Ariadne"/>
    <s v="Dirk Vander Eyken"/>
    <s v="Verlof"/>
    <m/>
    <x v="0"/>
    <m/>
    <m/>
    <s v="Gepresteerd "/>
    <m/>
    <m/>
    <m/>
    <m/>
    <m/>
    <m/>
    <m/>
  </r>
  <r>
    <s v="di"/>
    <n v="7"/>
    <x v="7"/>
    <x v="0"/>
    <n v="8"/>
    <n v="0"/>
    <n v="10"/>
    <n v="0"/>
    <s v="T"/>
    <n v="2"/>
    <s v="U"/>
    <s v="EMDS"/>
    <s v="Gino Dierckx"/>
    <s v="TNL"/>
    <s v="TNL"/>
    <x v="0"/>
    <n v="250"/>
    <s v="Voorbereiden P&amp;L - EDMS met Carlos "/>
    <s v="Gefactureerd"/>
    <m/>
    <m/>
    <m/>
    <m/>
    <m/>
    <m/>
    <m/>
  </r>
  <r>
    <s v="di"/>
    <n v="7"/>
    <x v="7"/>
    <x v="0"/>
    <n v="8"/>
    <n v="0"/>
    <n v="10"/>
    <n v="0"/>
    <s v="T"/>
    <n v="2"/>
    <s v="U"/>
    <s v="Louis Culot "/>
    <s v="Tim Culot "/>
    <s v="TNL"/>
    <s v="TNL"/>
    <x v="0"/>
    <n v="250"/>
    <s v="Voorbereiden P&amp;L - Culot met Carlos "/>
    <s v="Gepresteerd "/>
    <m/>
    <n v="1000"/>
    <n v="220"/>
    <n v="9.625"/>
    <n v="9.625"/>
    <n v="0"/>
    <n v="200.75"/>
  </r>
  <r>
    <s v="di"/>
    <n v="7"/>
    <x v="7"/>
    <x v="0"/>
    <n v="8"/>
    <n v="0"/>
    <n v="16"/>
    <n v="0"/>
    <s v="V"/>
    <n v="8"/>
    <s v="DA"/>
    <s v="Advas"/>
    <s v="Anneliese Simoens"/>
    <s v="TNL"/>
    <m/>
    <x v="5"/>
    <n v="1150"/>
    <s v="P&amp;L RvA"/>
    <s v="Gepresteerd"/>
    <m/>
    <n v="1150"/>
    <n v="250"/>
    <n v="43.75"/>
    <n v="43.75"/>
    <n v="0"/>
    <n v="162.5"/>
  </r>
  <r>
    <s v="di"/>
    <n v="7"/>
    <x v="7"/>
    <x v="0"/>
    <n v="13"/>
    <n v="0"/>
    <n v="17"/>
    <n v="0"/>
    <s v="V"/>
    <n v="4"/>
    <s v="DD"/>
    <s v="Advas "/>
    <s v="Anneliese Simoens "/>
    <s v="TNL"/>
    <s v="TNL"/>
    <x v="0"/>
    <n v="650"/>
    <s v="Voorbereiden en Toelichten P&amp;L - Advas "/>
    <s v="Gefactureerd"/>
    <m/>
    <n v="1300"/>
    <n v="250"/>
    <n v="21.875"/>
    <n v="21.875"/>
    <n v="0"/>
    <n v="206.25"/>
  </r>
  <r>
    <s v="wo"/>
    <n v="8"/>
    <x v="7"/>
    <x v="0"/>
    <n v="9"/>
    <n v="0"/>
    <n v="17"/>
    <n v="0"/>
    <s v="V"/>
    <n v="8"/>
    <s v="DA"/>
    <s v="Louis Culot "/>
    <s v="Tim Culot "/>
    <s v="TNL"/>
    <s v="TNL"/>
    <x v="0"/>
    <n v="1150"/>
    <s v="Functiebeschrijving Planner - Waarden - Interviews planner - Lange termijn doelstellingen "/>
    <s v="Gepresteerd "/>
    <m/>
    <n v="1150"/>
    <n v="250"/>
    <n v="43.75"/>
    <n v="43.75"/>
    <n v="0"/>
    <n v="162.5"/>
  </r>
  <r>
    <s v="do"/>
    <n v="9"/>
    <x v="7"/>
    <x v="0"/>
    <n v="7"/>
    <n v="30"/>
    <n v="8"/>
    <n v="0"/>
    <s v="T"/>
    <n v="0.5"/>
    <s v="U"/>
    <s v="Louis Culot "/>
    <s v="Tim Culot "/>
    <s v="TNL"/>
    <s v="TNL"/>
    <x v="0"/>
    <n v="62.5"/>
    <s v="Management Report invullen en TO do lijst actualiseren - Project Opzetten - planning maken en uitnodiging sturen "/>
    <s v="Gepresteerd "/>
    <m/>
    <n v="1000"/>
    <n v="220"/>
    <n v="2.40625"/>
    <n v="2.40625"/>
    <n v="0"/>
    <n v="215.1875"/>
  </r>
  <r>
    <s v="do"/>
    <n v="9"/>
    <x v="7"/>
    <x v="0"/>
    <n v="8"/>
    <n v="0"/>
    <n v="12"/>
    <n v="0"/>
    <s v="V"/>
    <n v="4"/>
    <s v="DD"/>
    <s v="EMDS"/>
    <s v="Gino Dierckx"/>
    <s v="TNL"/>
    <m/>
    <x v="5"/>
    <n v="650"/>
    <s v="Bespreking rapportage files "/>
    <s v="Gefactureerd"/>
    <m/>
    <m/>
    <m/>
    <m/>
    <m/>
    <m/>
    <m/>
  </r>
  <r>
    <s v="do"/>
    <n v="9"/>
    <x v="7"/>
    <x v="0"/>
    <n v="9"/>
    <n v="0"/>
    <n v="13"/>
    <n v="0"/>
    <s v="V"/>
    <n v="4"/>
    <s v="DD"/>
    <s v="Solid Networks "/>
    <s v="Ben Langers "/>
    <s v="TNL"/>
    <m/>
    <x v="0"/>
    <n v="650"/>
    <s v="Quick Scan "/>
    <s v="Gefactureerd"/>
    <m/>
    <n v="1300"/>
    <n v="250"/>
    <n v="21.875"/>
    <n v="21.875"/>
    <n v="0"/>
    <n v="206.25"/>
  </r>
  <r>
    <s v="do"/>
    <n v="9"/>
    <x v="7"/>
    <x v="0"/>
    <n v="9"/>
    <n v="0"/>
    <n v="17"/>
    <n v="0"/>
    <s v="V"/>
    <n v="8"/>
    <s v="DA"/>
    <s v="Advas"/>
    <s v="Anneliese Simoens"/>
    <s v="TNL"/>
    <s v="Fase 2"/>
    <x v="1"/>
    <n v="1150"/>
    <s v="Voorbereiding Kick-off  + gesprek VP"/>
    <s v="Gepresteerd"/>
    <m/>
    <n v="1150"/>
    <n v="250"/>
    <n v="43.75"/>
    <n v="43.75"/>
    <n v="0"/>
    <n v="162.5"/>
  </r>
  <r>
    <s v="do"/>
    <n v="9"/>
    <x v="7"/>
    <x v="0"/>
    <n v="14"/>
    <n v="0"/>
    <n v="18"/>
    <n v="0"/>
    <s v="V"/>
    <n v="4"/>
    <s v="DD"/>
    <s v="EMDS"/>
    <s v="Gino Dierckx"/>
    <s v="TNL"/>
    <s v="TNL"/>
    <x v="0"/>
    <n v="650"/>
    <s v="Toelichten P&amp;L - EDMS"/>
    <s v="Gefactureerd"/>
    <m/>
    <m/>
    <m/>
    <m/>
    <m/>
    <m/>
    <m/>
  </r>
  <r>
    <s v="Vr"/>
    <s v="10"/>
    <x v="7"/>
    <x v="0"/>
    <n v="8"/>
    <n v="30"/>
    <n v="12"/>
    <n v="30"/>
    <s v="V"/>
    <n v="3"/>
    <s v="U"/>
    <s v="Erie Water Treatment "/>
    <s v="Bert Verbeeck"/>
    <s v="TNL"/>
    <s v="HR2.0"/>
    <x v="0"/>
    <n v="356.25"/>
    <s v="Bespreking Lore - processen Iyopro + diversen + PMO projecten "/>
    <s v="Gefactureerd"/>
    <m/>
    <m/>
    <m/>
    <m/>
    <m/>
    <m/>
    <m/>
  </r>
  <r>
    <s v="Vr"/>
    <n v="10"/>
    <x v="7"/>
    <x v="0"/>
    <n v="8"/>
    <n v="0"/>
    <n v="12"/>
    <n v="0"/>
    <s v="V"/>
    <n v="4"/>
    <s v="DD"/>
    <s v="Advas"/>
    <s v="Anneliese Simoens"/>
    <s v="TNL"/>
    <s v="Fase 2"/>
    <x v="1"/>
    <n v="650"/>
    <s v="Kick-off DeBemiddelaar"/>
    <s v="Gepresteerd"/>
    <m/>
    <n v="1300"/>
    <n v="250"/>
    <n v="21.875"/>
    <n v="21.875"/>
    <n v="0"/>
    <n v="206.25"/>
  </r>
  <r>
    <s v="ma"/>
    <s v="13"/>
    <x v="7"/>
    <x v="0"/>
    <n v="8"/>
    <n v="0"/>
    <n v="10"/>
    <n v="0"/>
    <s v="T"/>
    <n v="1.5"/>
    <s v="U"/>
    <s v="Louis Culot "/>
    <s v="Tim Culot "/>
    <s v="TNL"/>
    <s v="TNL"/>
    <x v="0"/>
    <n v="187.5"/>
    <s v="Functiebeschrijving Planner + ingeven waarden in TNL Tool "/>
    <s v="Gepresteerd "/>
    <m/>
    <n v="1000"/>
    <n v="220"/>
    <n v="7.21875"/>
    <n v="7.21875"/>
    <n v="0"/>
    <n v="205.5625"/>
  </r>
  <r>
    <s v="ma"/>
    <s v="13"/>
    <x v="7"/>
    <x v="0"/>
    <m/>
    <m/>
    <m/>
    <m/>
    <s v="V"/>
    <m/>
    <m/>
    <s v="BYTA Comm.V"/>
    <s v="Wilfried Fransch "/>
    <s v="TNL"/>
    <m/>
    <x v="4"/>
    <n v="906.25"/>
    <m/>
    <s v="Gefactureerd"/>
    <m/>
    <m/>
    <m/>
    <m/>
    <m/>
    <m/>
    <m/>
  </r>
  <r>
    <s v="di"/>
    <s v="14"/>
    <x v="7"/>
    <x v="0"/>
    <n v="8"/>
    <n v="0"/>
    <n v="12"/>
    <n v="0"/>
    <s v="V"/>
    <n v="4"/>
    <s v="DD"/>
    <s v="Louis Culot "/>
    <s v="Tim Culot "/>
    <s v="TNL"/>
    <s v="TNL"/>
    <x v="0"/>
    <n v="650"/>
    <s v="Functiebeschrijving en bespreking Eddy Van Dam "/>
    <s v="Gepresteerd "/>
    <m/>
    <n v="1300"/>
    <n v="250"/>
    <n v="21.875"/>
    <n v="21.875"/>
    <n v="0"/>
    <n v="206.25"/>
  </r>
  <r>
    <s v="wo"/>
    <s v="15"/>
    <x v="7"/>
    <x v="0"/>
    <n v="9"/>
    <n v="0"/>
    <n v="17"/>
    <n v="0"/>
    <s v="T"/>
    <n v="8"/>
    <s v="DA"/>
    <s v="Ariadne"/>
    <s v="Dirk Vander Eyken"/>
    <s v="Verlof"/>
    <m/>
    <x v="0"/>
    <m/>
    <m/>
    <s v="Gepresteerd "/>
    <m/>
    <m/>
    <m/>
    <m/>
    <m/>
    <m/>
    <m/>
  </r>
  <r>
    <s v="do"/>
    <s v="16"/>
    <x v="7"/>
    <x v="0"/>
    <n v="8"/>
    <n v="0"/>
    <n v="14"/>
    <n v="0"/>
    <s v="V"/>
    <n v="6"/>
    <s v="U"/>
    <s v="Endo"/>
    <s v="Cédric Daems "/>
    <s v="TNL"/>
    <s v="TNL"/>
    <x v="0"/>
    <n v="675"/>
    <s v="Bezoek Rescope "/>
    <s v="Gefactureerd"/>
    <m/>
    <m/>
    <m/>
    <m/>
    <m/>
    <m/>
    <m/>
  </r>
  <r>
    <s v="do"/>
    <n v="16"/>
    <x v="7"/>
    <x v="0"/>
    <n v="8"/>
    <n v="0"/>
    <n v="13"/>
    <n v="0"/>
    <s v="T"/>
    <n v="5"/>
    <s v="U"/>
    <s v="Bakkerij David "/>
    <s v="David  De Smedt"/>
    <s v="TNL"/>
    <m/>
    <x v="5"/>
    <n v="625"/>
    <m/>
    <s v="Gefactureerd"/>
    <m/>
    <n v="1000"/>
    <n v="220"/>
    <n v="24.0625"/>
    <n v="24.0625"/>
    <n v="0"/>
    <n v="171.875"/>
  </r>
  <r>
    <s v="Vr"/>
    <s v="17"/>
    <x v="7"/>
    <x v="0"/>
    <n v="8"/>
    <n v="30"/>
    <n v="12"/>
    <n v="30"/>
    <s v="V"/>
    <n v="4"/>
    <s v="DD"/>
    <s v="Erie Water Treatment "/>
    <s v="Bert Verbeeck"/>
    <s v="TNL"/>
    <s v="HR2.0"/>
    <x v="0"/>
    <n v="575"/>
    <s v="Bespreking Lore - processen Iyopro + diversen"/>
    <s v="Gefactureerd"/>
    <m/>
    <m/>
    <m/>
    <m/>
    <m/>
    <m/>
    <m/>
  </r>
  <r>
    <s v="Vr"/>
    <n v="17"/>
    <x v="7"/>
    <x v="0"/>
    <n v="8"/>
    <n v="0"/>
    <n v="12"/>
    <n v="0"/>
    <s v="V"/>
    <n v="4"/>
    <s v="DD"/>
    <s v="Louis Culot"/>
    <s v="Tim Culot "/>
    <s v="TNL"/>
    <s v="TNL"/>
    <x v="5"/>
    <n v="650"/>
    <m/>
    <s v="Gepresteerd"/>
    <m/>
    <n v="1300"/>
    <n v="250"/>
    <n v="21.875"/>
    <n v="21.875"/>
    <n v="0"/>
    <n v="206.25"/>
  </r>
  <r>
    <s v="Vr"/>
    <n v="17"/>
    <x v="7"/>
    <x v="0"/>
    <n v="8"/>
    <n v="0"/>
    <n v="12"/>
    <n v="0"/>
    <s v="V"/>
    <n v="4"/>
    <s v="DD"/>
    <s v="Advas"/>
    <s v="Anneliese Simoens"/>
    <s v="TNL"/>
    <s v="Fase 2"/>
    <x v="1"/>
    <n v="650"/>
    <s v="Voorbereiding Kleos Opleiding met Jan en Veerle P."/>
    <s v="Gepresteerd"/>
    <m/>
    <n v="1300"/>
    <n v="250"/>
    <n v="21.875"/>
    <n v="21.875"/>
    <n v="0"/>
    <n v="206.25"/>
  </r>
  <r>
    <s v="za"/>
    <n v="17"/>
    <x v="7"/>
    <x v="0"/>
    <n v="13"/>
    <n v="30"/>
    <n v="16"/>
    <n v="30"/>
    <s v="V"/>
    <n v="4"/>
    <s v="DD"/>
    <s v="Louis Culot "/>
    <s v="Tim Culot "/>
    <s v="TNL"/>
    <s v="TNL"/>
    <x v="0"/>
    <n v="650"/>
    <s v="Bespreking P&amp;L - Budget - langetermijn doelstellingen "/>
    <s v="Gepresteerd "/>
    <m/>
    <n v="1300"/>
    <n v="250"/>
    <n v="21.875"/>
    <n v="21.875"/>
    <n v="0"/>
    <n v="206.25"/>
  </r>
  <r>
    <s v="Vr"/>
    <n v="17"/>
    <x v="7"/>
    <x v="0"/>
    <n v="15"/>
    <n v="0"/>
    <n v="17"/>
    <n v="30"/>
    <s v="T"/>
    <s v="2,5"/>
    <s v="U"/>
    <s v="Advas"/>
    <s v="Anneliese Simoens"/>
    <s v="TNL"/>
    <s v="Fase 2"/>
    <x v="1"/>
    <n v="312.5"/>
    <s v="Ontwerp en afdruk Kleos Remindertool"/>
    <s v="Gepresteerd"/>
    <m/>
    <n v="1000"/>
    <n v="220"/>
    <n v="12.03125"/>
    <n v="12.03125"/>
    <n v="0"/>
    <n v="195.9375"/>
  </r>
  <r>
    <s v="ma"/>
    <s v="20"/>
    <x v="7"/>
    <x v="0"/>
    <n v="8"/>
    <n v="0"/>
    <n v="17"/>
    <n v="0"/>
    <s v="V"/>
    <n v="8"/>
    <s v="DA"/>
    <s v="Ultrazonic "/>
    <s v="Nancy Steenbakkers "/>
    <s v="TNL"/>
    <s v="TNL"/>
    <x v="0"/>
    <n v="1250"/>
    <m/>
    <s v="Gefactureerd"/>
    <m/>
    <n v="1250"/>
    <n v="250"/>
    <n v="43.75"/>
    <n v="43.75"/>
    <n v="0"/>
    <n v="162.5"/>
  </r>
  <r>
    <s v="ma"/>
    <n v="20"/>
    <x v="7"/>
    <x v="0"/>
    <n v="8"/>
    <n v="0"/>
    <n v="13"/>
    <n v="30"/>
    <s v="T"/>
    <s v="5,5"/>
    <s v="U"/>
    <s v="Advas"/>
    <s v="Anneliese Simoens"/>
    <s v="TNL"/>
    <s v="Fase 2"/>
    <x v="1"/>
    <n v="687.5"/>
    <s v="Voorbereiding Projectmatig Werken Opleiding"/>
    <s v="Gepresteerd"/>
    <m/>
    <n v="1000"/>
    <n v="220"/>
    <n v="26.46875"/>
    <n v="26.46875"/>
    <n v="0"/>
    <n v="167.0625"/>
  </r>
  <r>
    <s v="di"/>
    <s v="21"/>
    <x v="7"/>
    <x v="0"/>
    <n v="8"/>
    <n v="30"/>
    <n v="12"/>
    <n v="30"/>
    <s v="V"/>
    <n v="4"/>
    <s v="DD"/>
    <s v="Erie Water Treatment "/>
    <s v="Bert Verbeeck"/>
    <s v="TNL"/>
    <s v="PMO 2.0"/>
    <x v="0"/>
    <n v="575"/>
    <s v="Bespreking Nick  Overdracht PMO"/>
    <s v="Gefactureerd"/>
    <m/>
    <m/>
    <m/>
    <m/>
    <m/>
    <m/>
    <m/>
  </r>
  <r>
    <s v="di"/>
    <n v="21"/>
    <x v="7"/>
    <x v="0"/>
    <n v="8"/>
    <n v="0"/>
    <n v="12"/>
    <n v="0"/>
    <s v="T"/>
    <n v="4"/>
    <s v="U"/>
    <s v="EMDS"/>
    <s v="Gino Dierckx"/>
    <s v="TNL"/>
    <m/>
    <x v="5"/>
    <n v="500"/>
    <s v="Voorbereiding, opmaak file driejarenplan "/>
    <s v="Gefactureerd"/>
    <m/>
    <m/>
    <m/>
    <m/>
    <m/>
    <m/>
    <m/>
  </r>
  <r>
    <s v="di"/>
    <n v="21"/>
    <x v="7"/>
    <x v="0"/>
    <n v="8"/>
    <n v="0"/>
    <n v="10"/>
    <n v="0"/>
    <s v="T"/>
    <n v="2"/>
    <s v="U"/>
    <s v="Bakkerij David "/>
    <s v="David  De Smedt"/>
    <s v="TNL"/>
    <m/>
    <x v="5"/>
    <n v="250"/>
    <m/>
    <s v="Gefactureerd"/>
    <m/>
    <n v="1000"/>
    <n v="220"/>
    <n v="9.625"/>
    <n v="9.625"/>
    <n v="0"/>
    <n v="200.75"/>
  </r>
  <r>
    <s v="di"/>
    <s v="21"/>
    <x v="7"/>
    <x v="0"/>
    <n v="13"/>
    <n v="0"/>
    <n v="15"/>
    <n v="0"/>
    <s v="V"/>
    <n v="2"/>
    <s v="U"/>
    <s v="Ultrazonic "/>
    <s v="Nancy Steenbakkers "/>
    <s v="TNL"/>
    <s v="TNL"/>
    <x v="0"/>
    <n v="370"/>
    <m/>
    <s v="Gefactureerd"/>
    <m/>
    <n v="1480"/>
    <n v="250"/>
    <n v="10.9375"/>
    <n v="10.9375"/>
    <n v="0"/>
    <n v="228.125"/>
  </r>
  <r>
    <s v="di"/>
    <n v="21"/>
    <x v="7"/>
    <x v="0"/>
    <n v="13"/>
    <n v="0"/>
    <n v="13"/>
    <n v="30"/>
    <s v="T"/>
    <n v="0.5"/>
    <s v="U"/>
    <s v="Advas"/>
    <s v="Anneliese Simoens"/>
    <s v="TNL"/>
    <s v="Fase 2"/>
    <x v="1"/>
    <n v="62.5"/>
    <s v="Kleos: drukkerij contact en reset WORD doc"/>
    <s v="Gepresteerd"/>
    <m/>
    <n v="1000"/>
    <n v="220"/>
    <n v="2.40625"/>
    <n v="2.40625"/>
    <n v="0"/>
    <n v="215.1875"/>
  </r>
  <r>
    <s v="di"/>
    <s v="21"/>
    <x v="7"/>
    <x v="0"/>
    <n v="15"/>
    <n v="0"/>
    <n v="16"/>
    <n v="30"/>
    <s v="V"/>
    <n v="1.5"/>
    <s v="U"/>
    <s v="EMDS"/>
    <s v="Gino Dierckx"/>
    <s v="TNL"/>
    <s v="TNL"/>
    <x v="0"/>
    <n v="262.5"/>
    <s v="Voorbereiding en opzet budget EDMS @ CHE Sinai"/>
    <s v="Gefactureerd"/>
    <m/>
    <m/>
    <m/>
    <m/>
    <m/>
    <m/>
    <m/>
  </r>
  <r>
    <s v="wo"/>
    <n v="22"/>
    <x v="7"/>
    <x v="0"/>
    <n v="8"/>
    <n v="0"/>
    <n v="12"/>
    <n v="0"/>
    <s v="T"/>
    <n v="4"/>
    <s v="U"/>
    <s v="Solid Networks "/>
    <s v="Ben Langers "/>
    <s v="TNL"/>
    <m/>
    <x v="5"/>
    <n v="500"/>
    <m/>
    <s v="Gefactureerd"/>
    <m/>
    <n v="1000"/>
    <n v="220"/>
    <n v="19.25"/>
    <n v="19.25"/>
    <n v="0"/>
    <n v="181.5"/>
  </r>
  <r>
    <s v="wo"/>
    <s v="22"/>
    <x v="7"/>
    <x v="0"/>
    <n v="9"/>
    <n v="0"/>
    <n v="17"/>
    <n v="0"/>
    <s v="V"/>
    <n v="8"/>
    <s v="DA"/>
    <s v="Eagle IT"/>
    <s v="Jan Keersmaekers "/>
    <s v="TNL"/>
    <s v="TNL"/>
    <x v="0"/>
    <n v="1150"/>
    <s v="Implementatie elementen TNL Metroplan"/>
    <s v="Gefactureerd"/>
    <m/>
    <n v="1150"/>
    <n v="250"/>
    <n v="43.75"/>
    <n v="43.75"/>
    <n v="0"/>
    <n v="162.5"/>
  </r>
  <r>
    <s v="do"/>
    <n v="23"/>
    <x v="7"/>
    <x v="0"/>
    <n v="8"/>
    <n v="0"/>
    <n v="12"/>
    <n v="0"/>
    <s v="V"/>
    <n v="4"/>
    <s v="DD"/>
    <s v="Solid Networks "/>
    <s v="Ben Langers "/>
    <s v="TNL"/>
    <m/>
    <x v="5"/>
    <n v="650"/>
    <m/>
    <s v="Gefactureerd"/>
    <m/>
    <n v="1300"/>
    <n v="250"/>
    <n v="21.875"/>
    <n v="21.875"/>
    <n v="0"/>
    <n v="206.25"/>
  </r>
  <r>
    <s v="do"/>
    <n v="23"/>
    <x v="7"/>
    <x v="0"/>
    <n v="8"/>
    <n v="0"/>
    <n v="11"/>
    <n v="0"/>
    <s v="V"/>
    <n v="3"/>
    <s v="U"/>
    <s v="Bakkerij David "/>
    <s v="David  De Smedt"/>
    <s v="TNL"/>
    <m/>
    <x v="5"/>
    <n v="525"/>
    <m/>
    <s v="Gefactureerd"/>
    <m/>
    <n v="1400"/>
    <n v="250"/>
    <n v="16.40625"/>
    <n v="16.40625"/>
    <n v="0"/>
    <n v="217.1875"/>
  </r>
  <r>
    <s v="do"/>
    <s v="23"/>
    <x v="7"/>
    <x v="0"/>
    <n v="9"/>
    <n v="0"/>
    <n v="12"/>
    <n v="30"/>
    <s v="V"/>
    <n v="4"/>
    <s v="DD"/>
    <s v="Solid Networks "/>
    <s v="Ben Langers "/>
    <s v="TNL"/>
    <s v="TNL"/>
    <x v="0"/>
    <n v="650"/>
    <s v="Overlopen P&amp;L ism Carlos Herman + bespreking diverse voortgang project TNL"/>
    <s v="Gefactureerd"/>
    <m/>
    <n v="1300"/>
    <n v="250"/>
    <n v="21.875"/>
    <n v="21.875"/>
    <n v="0"/>
    <n v="206.25"/>
  </r>
  <r>
    <s v="do"/>
    <n v="23"/>
    <x v="7"/>
    <x v="0"/>
    <n v="14"/>
    <n v="30"/>
    <n v="17"/>
    <n v="30"/>
    <s v="V"/>
    <n v="3"/>
    <s v="U"/>
    <s v="Bakkerij David "/>
    <s v="David  De Smedt"/>
    <s v="TNL"/>
    <s v="TNL"/>
    <x v="0"/>
    <n v="525"/>
    <s v="Overlopen P&amp;L en strategisch advies mbt aankoop extra pand. "/>
    <s v="Gefactureerd"/>
    <m/>
    <n v="1400"/>
    <n v="250"/>
    <n v="16.40625"/>
    <n v="16.40625"/>
    <n v="0"/>
    <n v="217.1875"/>
  </r>
  <r>
    <s v="do"/>
    <n v="23"/>
    <x v="7"/>
    <x v="0"/>
    <n v="15"/>
    <n v="0"/>
    <n v="15"/>
    <n v="15"/>
    <s v="T"/>
    <s v="0,25"/>
    <s v="U"/>
    <s v="Advas"/>
    <s v="Anneliese Simoens"/>
    <s v="TNL"/>
    <s v="Fase 2"/>
    <x v="1"/>
    <n v="31.25"/>
    <s v="Drukkerij: finaal contact"/>
    <s v="Gepresteerd"/>
    <m/>
    <n v="1000"/>
    <n v="220"/>
    <n v="1.203125"/>
    <n v="1.203125"/>
    <n v="0"/>
    <n v="217.59375"/>
  </r>
  <r>
    <s v="do"/>
    <s v="23"/>
    <x v="7"/>
    <x v="0"/>
    <n v="19"/>
    <n v="30"/>
    <n v="22"/>
    <n v="30"/>
    <s v="V"/>
    <n v="3"/>
    <s v="U"/>
    <s v="Ultrazonic "/>
    <s v="Nancy Steenbakkers "/>
    <s v="TNL"/>
    <s v="TNL"/>
    <x v="0"/>
    <n v="555"/>
    <s v="Voorstelling 5 jaren budget aan shareholders "/>
    <s v="Gefactureerd"/>
    <m/>
    <n v="1480"/>
    <n v="250"/>
    <n v="16.40625"/>
    <n v="16.40625"/>
    <n v="0"/>
    <n v="217.1875"/>
  </r>
  <r>
    <s v="Vr"/>
    <n v="24"/>
    <x v="7"/>
    <x v="0"/>
    <n v="8"/>
    <n v="30"/>
    <n v="11"/>
    <n v="30"/>
    <s v="V"/>
    <n v="3"/>
    <s v="U"/>
    <s v="Erie Water Treatment "/>
    <s v="Bert Verbeeck"/>
    <s v="TNL"/>
    <s v="HR2.0"/>
    <x v="0"/>
    <n v="356.25"/>
    <s v="Bespreking Lore - processen Iyopro + diversen + PMO projecten "/>
    <s v="Gefactureerd"/>
    <m/>
    <m/>
    <m/>
    <m/>
    <m/>
    <m/>
    <m/>
  </r>
  <r>
    <s v="Vr"/>
    <n v="24"/>
    <x v="7"/>
    <x v="0"/>
    <n v="13"/>
    <n v="30"/>
    <n v="17"/>
    <n v="0"/>
    <s v="V"/>
    <n v="4"/>
    <s v="DD"/>
    <s v="Louis Culot "/>
    <s v="Tim Culot "/>
    <s v="TNL"/>
    <s v="TNL"/>
    <x v="0"/>
    <n v="650"/>
    <s v="Bespreking strategie en voorstelling Jan Brackx "/>
    <s v="Gepresteerd "/>
    <m/>
    <n v="1300"/>
    <n v="250"/>
    <n v="21.875"/>
    <n v="21.875"/>
    <n v="0"/>
    <n v="206.25"/>
  </r>
  <r>
    <s v="ma"/>
    <n v="27"/>
    <x v="7"/>
    <x v="0"/>
    <n v="8"/>
    <n v="0"/>
    <n v="17"/>
    <n v="0"/>
    <s v="V"/>
    <n v="8"/>
    <s v="DA"/>
    <s v="Ultrazonic "/>
    <s v="Nancy Steenbakkers "/>
    <s v="TNL"/>
    <s v="TNL"/>
    <x v="0"/>
    <n v="1250"/>
    <s v="Voorbereiding PowerPoint en Voorstelling 5 jaren budget aan Banken "/>
    <s v="Gefactureerd"/>
    <m/>
    <n v="1250"/>
    <n v="250"/>
    <n v="43.75"/>
    <n v="43.75"/>
    <n v="0"/>
    <n v="162.5"/>
  </r>
  <r>
    <s v="ma"/>
    <n v="27"/>
    <x v="7"/>
    <x v="0"/>
    <n v="14"/>
    <n v="0"/>
    <n v="16"/>
    <n v="0"/>
    <s v="T"/>
    <n v="2"/>
    <s v="U"/>
    <s v="Advas"/>
    <s v="Anneliese Simoens"/>
    <s v="TNL"/>
    <s v="Fase 2"/>
    <x v="1"/>
    <n v="250"/>
    <s v="Opleiding Projectmatig Werken: voorbereiding en afdrukken"/>
    <s v="Gepresteerd"/>
    <m/>
    <n v="1000"/>
    <n v="220"/>
    <n v="9.625"/>
    <n v="9.625"/>
    <n v="0"/>
    <n v="200.75"/>
  </r>
  <r>
    <s v="di"/>
    <n v="28"/>
    <x v="7"/>
    <x v="0"/>
    <n v="8"/>
    <n v="0"/>
    <n v="14"/>
    <n v="0"/>
    <s v="T"/>
    <n v="6"/>
    <s v="U"/>
    <s v="EMDS"/>
    <s v="Gino Dierckx"/>
    <s v="TNL"/>
    <m/>
    <x v="5"/>
    <n v="750"/>
    <s v="Voorbereiding, opmaak file driejarenplan"/>
    <s v="Gefactureerd"/>
    <m/>
    <m/>
    <m/>
    <m/>
    <m/>
    <m/>
    <m/>
  </r>
  <r>
    <s v="di"/>
    <n v="28"/>
    <x v="7"/>
    <x v="0"/>
    <n v="9"/>
    <n v="0"/>
    <n v="13"/>
    <n v="0"/>
    <s v="V"/>
    <n v="4"/>
    <s v="DD"/>
    <s v="Eagle IT"/>
    <s v="Jan Keersmaekers "/>
    <s v="TNL"/>
    <s v="TNL"/>
    <x v="0"/>
    <n v="650"/>
    <s v="Missie &amp; visie samen met Ben Langers Solid Networks "/>
    <s v="Gefactureerd"/>
    <m/>
    <n v="1300"/>
    <n v="250"/>
    <n v="21.875"/>
    <n v="21.875"/>
    <n v="0"/>
    <n v="206.25"/>
  </r>
  <r>
    <s v="di"/>
    <n v="28"/>
    <x v="7"/>
    <x v="0"/>
    <n v="14"/>
    <n v="0"/>
    <n v="17"/>
    <n v="30"/>
    <s v="T"/>
    <n v="3.5"/>
    <s v="U"/>
    <s v="Erie Water Treatment "/>
    <s v="Bert Verbeeck"/>
    <s v="TNL"/>
    <s v="HR2.0"/>
    <x v="0"/>
    <n v="415.625"/>
    <s v="Bespreking Lore - Finalisering Functiebeschrijvigen - 300 verantwoordelijkheden lijst "/>
    <s v="Gefactureerd"/>
    <m/>
    <m/>
    <m/>
    <m/>
    <m/>
    <m/>
    <m/>
  </r>
  <r>
    <s v="wo"/>
    <n v="29"/>
    <x v="7"/>
    <x v="0"/>
    <n v="9"/>
    <n v="0"/>
    <n v="17"/>
    <n v="0"/>
    <s v="V"/>
    <n v="8"/>
    <s v="DA"/>
    <s v="Louis Culot"/>
    <s v="Tim  Culot"/>
    <s v="TNL"/>
    <s v="TNL"/>
    <x v="0"/>
    <n v="1150"/>
    <s v="Missie &amp; Visie Culot "/>
    <s v="Gepresteerd"/>
    <m/>
    <n v="1150"/>
    <n v="250"/>
    <n v="43.75"/>
    <n v="43.75"/>
    <n v="0"/>
    <n v="162.5"/>
  </r>
  <r>
    <s v="do"/>
    <n v="30"/>
    <x v="7"/>
    <x v="0"/>
    <n v="8"/>
    <n v="0"/>
    <n v="16"/>
    <n v="0"/>
    <s v="V"/>
    <n v="8"/>
    <s v="DA"/>
    <s v="EMDS"/>
    <s v="Gino Dierckx"/>
    <s v="TNL"/>
    <m/>
    <x v="5"/>
    <n v="1150"/>
    <s v="Opbouw, afwerking driejarenplan"/>
    <s v="Gefactureerd"/>
    <m/>
    <m/>
    <m/>
    <m/>
    <m/>
    <m/>
    <m/>
  </r>
  <r>
    <s v="do"/>
    <n v="30"/>
    <x v="7"/>
    <x v="0"/>
    <n v="8"/>
    <n v="0"/>
    <n v="16"/>
    <n v="0"/>
    <s v="V"/>
    <n v="8"/>
    <s v="DA"/>
    <s v="Advas"/>
    <s v="Anneliese Simoens"/>
    <s v="TNL"/>
    <s v="Fase 2"/>
    <x v="1"/>
    <n v="1150"/>
    <s v="Opleiding Projectmatig Werken"/>
    <s v="Gepresteerd"/>
    <m/>
    <n v="1150"/>
    <n v="250"/>
    <n v="43.75"/>
    <n v="43.75"/>
    <n v="0"/>
    <n v="162.5"/>
  </r>
  <r>
    <s v="do"/>
    <n v="30"/>
    <x v="7"/>
    <x v="0"/>
    <n v="9"/>
    <n v="0"/>
    <n v="17"/>
    <n v="0"/>
    <s v="V"/>
    <n v="8"/>
    <s v="DA"/>
    <s v="EMDS"/>
    <s v="Gino Dierckx"/>
    <s v="TNL"/>
    <s v="TNL"/>
    <x v="0"/>
    <n v="1150"/>
    <s v="Voorbereiding en opzet budget EDMS + 3 jaren plan "/>
    <s v="Gefactureerd"/>
    <m/>
    <m/>
    <m/>
    <m/>
    <m/>
    <m/>
    <m/>
  </r>
  <r>
    <s v="wo"/>
    <n v="5"/>
    <x v="8"/>
    <x v="0"/>
    <n v="8"/>
    <n v="0"/>
    <n v="16"/>
    <n v="0"/>
    <s v="V"/>
    <n v="8"/>
    <s v="DA"/>
    <s v="Eagle IT"/>
    <s v="Marleen Van Zele"/>
    <s v="TNL"/>
    <m/>
    <x v="0"/>
    <n v="1150"/>
    <s v="Budgetten + 3 jaarplan eagle IT samen met CHE en MVZ"/>
    <s v="Gepresteerd"/>
    <m/>
    <n v="1150"/>
    <n v="220"/>
    <n v="38.5"/>
    <n v="38.5"/>
    <n v="0"/>
    <n v="143"/>
  </r>
  <r>
    <s v="Vr"/>
    <n v="7"/>
    <x v="8"/>
    <x v="0"/>
    <n v="10"/>
    <n v="0"/>
    <n v="15"/>
    <n v="0"/>
    <s v="T"/>
    <n v="5"/>
    <s v="U"/>
    <s v="Erie Water Treatment"/>
    <s v="Bert Verbeeck"/>
    <s v="TNL"/>
    <m/>
    <x v="0"/>
    <n v="593.75"/>
    <s v="Afwerken functiebeschrijvingen 300 + Agenda MT met toelichting van de item HR2.0"/>
    <s v="Gepresteerd"/>
    <m/>
    <m/>
    <m/>
    <m/>
    <m/>
    <m/>
    <m/>
  </r>
  <r>
    <s v="Vr"/>
    <n v="7"/>
    <x v="8"/>
    <x v="0"/>
    <n v="18"/>
    <n v="0"/>
    <n v="21"/>
    <n v="0"/>
    <s v="T"/>
    <n v="3"/>
    <s v="U"/>
    <s v="Erie Water Treatment"/>
    <s v="Bert Verbeeck"/>
    <s v="TNL"/>
    <m/>
    <x v="0"/>
    <n v="356.25"/>
    <s v="aanpassen docs functioneringsgesprekken (klaar voor afdruk) + programmatie "/>
    <s v="Gepresteerd"/>
    <m/>
    <m/>
    <m/>
    <m/>
    <m/>
    <m/>
    <m/>
  </r>
  <r>
    <s v="za"/>
    <n v="8"/>
    <x v="8"/>
    <x v="0"/>
    <n v="8"/>
    <n v="0"/>
    <n v="10"/>
    <n v="0"/>
    <s v="T"/>
    <n v="2"/>
    <s v="U"/>
    <s v="Erie Water Treatment"/>
    <s v="Bert Verbeeck"/>
    <s v="TNL"/>
    <m/>
    <x v="0"/>
    <n v="237.5"/>
    <s v="Aanassen afdrukversie viir functioneringsgesprekken"/>
    <s v="Gepresteerd"/>
    <m/>
    <m/>
    <m/>
    <n v="813.203125"/>
    <n v="813.203125"/>
    <n v="0"/>
    <n v="6763.59375"/>
  </r>
  <r>
    <s v="ma"/>
    <n v="10"/>
    <x v="8"/>
    <x v="0"/>
    <n v="9"/>
    <n v="0"/>
    <n v="10"/>
    <n v="0"/>
    <s v="T"/>
    <n v="1"/>
    <s v="U"/>
    <s v="Ariadne"/>
    <s v=" "/>
    <s v="TNL"/>
    <m/>
    <x v="0"/>
    <n v="0"/>
    <s v="mails en diverse "/>
    <s v="Gepresteerd"/>
    <m/>
    <m/>
    <m/>
    <m/>
    <m/>
    <m/>
    <m/>
  </r>
  <r>
    <s v="ma"/>
    <n v="10"/>
    <x v="8"/>
    <x v="0"/>
    <n v="11"/>
    <n v="0"/>
    <n v="13"/>
    <n v="0"/>
    <s v="T"/>
    <n v="2"/>
    <s v="U"/>
    <s v="Ariadne"/>
    <s v=" "/>
    <s v="TNL"/>
    <m/>
    <x v="0"/>
    <n v="0"/>
    <s v="overdracht info FB - PMO @ IVT"/>
    <s v="Gepresteerd"/>
    <m/>
    <m/>
    <m/>
    <m/>
    <m/>
    <m/>
    <m/>
  </r>
  <r>
    <s v="ma"/>
    <n v="10"/>
    <x v="8"/>
    <x v="0"/>
    <n v="14"/>
    <n v="0"/>
    <n v="18"/>
    <n v="0"/>
    <s v="T"/>
    <n v="4"/>
    <s v="U"/>
    <s v="Ariadne"/>
    <s v=" "/>
    <s v="TNL"/>
    <m/>
    <x v="0"/>
    <n v="0"/>
    <s v="Intake gesprek consultant GVB (gwen)"/>
    <s v="Gepresteerd"/>
    <m/>
    <m/>
    <m/>
    <m/>
    <m/>
    <m/>
    <m/>
  </r>
  <r>
    <s v="di"/>
    <n v="11"/>
    <x v="8"/>
    <x v="0"/>
    <n v="9"/>
    <n v="0"/>
    <n v="13"/>
    <n v="0"/>
    <s v="V"/>
    <n v="4"/>
    <s v="DD"/>
    <s v="Eagle IT"/>
    <s v="Marleen Van Zele"/>
    <s v="TNL"/>
    <m/>
    <x v="0"/>
    <n v="650"/>
    <s v="Processen in Iyopro samen met Melissa en Jan "/>
    <s v="Gepresteerd"/>
    <m/>
    <n v="1300"/>
    <n v="250"/>
    <n v="21.875"/>
    <n v="21.875"/>
    <n v="0"/>
    <n v="206.25"/>
  </r>
  <r>
    <s v="di"/>
    <n v="11"/>
    <x v="8"/>
    <x v="0"/>
    <n v="14"/>
    <n v="0"/>
    <n v="16"/>
    <n v="30"/>
    <s v="T"/>
    <n v="2.5"/>
    <s v="U"/>
    <s v="Ariadne"/>
    <s v=" "/>
    <s v="TNL"/>
    <m/>
    <x v="0"/>
    <n v="0"/>
    <s v="Bespreken met IVT prijssetting commissie PL en commerciëel werk"/>
    <s v="Gepresteerd"/>
    <m/>
    <m/>
    <m/>
    <m/>
    <m/>
    <m/>
    <m/>
  </r>
  <r>
    <s v="di"/>
    <n v="11"/>
    <x v="8"/>
    <x v="0"/>
    <n v="17"/>
    <n v="0"/>
    <n v="19"/>
    <n v="0"/>
    <s v="T"/>
    <n v="2"/>
    <s v="U"/>
    <s v="Erie Water Treatment"/>
    <s v="Bert Verbeeck"/>
    <s v="HR 2.0"/>
    <m/>
    <x v="0"/>
    <n v="237.5"/>
    <s v="Opmaken docs functioneringsgesprekken Maarten, Attila, Sabine "/>
    <s v="Gepresteerd"/>
    <m/>
    <m/>
    <m/>
    <m/>
    <m/>
    <m/>
    <m/>
  </r>
  <r>
    <s v="wo"/>
    <n v="12"/>
    <x v="8"/>
    <x v="0"/>
    <n v="8"/>
    <n v="30"/>
    <n v="12"/>
    <n v="30"/>
    <s v="V"/>
    <n v="4"/>
    <s v="DD"/>
    <s v="EMDS"/>
    <s v="Gino Dierckx"/>
    <s v="TNL"/>
    <m/>
    <x v="0"/>
    <n v="650"/>
    <s v="Processen van order tot factuur met Anne/Bert/Gino + PMO + Project Summary"/>
    <s v="Gepresteerd"/>
    <m/>
    <m/>
    <m/>
    <m/>
    <m/>
    <m/>
    <m/>
  </r>
  <r>
    <s v="wo"/>
    <n v="12"/>
    <x v="8"/>
    <x v="0"/>
    <n v="14"/>
    <n v="0"/>
    <n v="17"/>
    <n v="0"/>
    <s v="T"/>
    <n v="3"/>
    <s v="U"/>
    <s v="Erie Water Treatment"/>
    <s v="Bert Verbeeck"/>
    <s v="TNL"/>
    <m/>
    <x v="0"/>
    <n v="356.25"/>
    <s v="Presentatie voor Amy + communicatie intern over HR 2.0 aan MT"/>
    <s v="Gepresteerd"/>
    <m/>
    <m/>
    <m/>
    <m/>
    <m/>
    <m/>
    <m/>
  </r>
  <r>
    <s v="wo"/>
    <n v="12"/>
    <x v="8"/>
    <x v="0"/>
    <n v="19"/>
    <n v="0"/>
    <n v="20"/>
    <n v="0"/>
    <s v="T"/>
    <n v="1"/>
    <s v="U"/>
    <s v="Ariadne"/>
    <s v=" "/>
    <s v="TNL"/>
    <m/>
    <x v="0"/>
    <n v="0"/>
    <s v="PMO voor Advas uitleggen aan IVT"/>
    <s v="Gepresteerd"/>
    <m/>
    <m/>
    <m/>
    <m/>
    <m/>
    <m/>
    <m/>
  </r>
  <r>
    <s v="wo"/>
    <n v="12"/>
    <x v="8"/>
    <x v="0"/>
    <n v="17"/>
    <n v="0"/>
    <n v="18"/>
    <n v="0"/>
    <s v="T"/>
    <n v="1"/>
    <s v="U"/>
    <s v="Erie Water Treatment"/>
    <s v="Bert Verbeeck"/>
    <s v="HR 2.0"/>
    <m/>
    <x v="0"/>
    <n v="118.75"/>
    <s v="Definief maken lay out Doc functioneringsgesprekken"/>
    <s v="Gepresteerd"/>
    <m/>
    <m/>
    <m/>
    <m/>
    <m/>
    <m/>
    <m/>
  </r>
  <r>
    <s v="do"/>
    <n v="13"/>
    <x v="8"/>
    <x v="0"/>
    <n v="16"/>
    <n v="30"/>
    <n v="20"/>
    <n v="0"/>
    <s v="V"/>
    <s v="3,5"/>
    <s v="U"/>
    <s v="Ariadne"/>
    <s v=" "/>
    <s v="TNL"/>
    <m/>
    <x v="0"/>
    <n v="0"/>
    <s v="Prospectie Tegel Outlet"/>
    <s v="Gepresteerd"/>
    <m/>
    <m/>
    <m/>
    <m/>
    <m/>
    <m/>
    <m/>
  </r>
  <r>
    <s v="do"/>
    <n v="13"/>
    <x v="8"/>
    <x v="0"/>
    <n v="8"/>
    <n v="30"/>
    <n v="10"/>
    <n v="0"/>
    <s v="T"/>
    <n v="1.5"/>
    <s v="U"/>
    <s v="Eagle IT"/>
    <s v="Marleen Van Zele"/>
    <s v="TNL"/>
    <m/>
    <x v="0"/>
    <n v="187.5"/>
    <s v="Presentatie opleiding 'Modeleren van Processen @ eagle IT + Verklaring document Quick Start"/>
    <s v="Gepresteerd"/>
    <m/>
    <m/>
    <m/>
    <m/>
    <m/>
    <m/>
    <m/>
  </r>
  <r>
    <s v="do"/>
    <n v="13"/>
    <x v="8"/>
    <x v="0"/>
    <n v="10"/>
    <n v="0"/>
    <n v="11"/>
    <n v="30"/>
    <s v="T"/>
    <n v="1.5"/>
    <s v="U"/>
    <s v="Eagle IT"/>
    <s v="Marleen Van Zele"/>
    <s v="TNL"/>
    <m/>
    <x v="0"/>
    <n v="187.5"/>
    <s v="Opmaken functie beschrijving in FB-tool + Correct zetten Organogram volgens TNL template"/>
    <s v="Gepresteerd"/>
    <m/>
    <m/>
    <m/>
    <m/>
    <m/>
    <m/>
    <m/>
  </r>
  <r>
    <s v="do"/>
    <n v="13"/>
    <x v="8"/>
    <x v="0"/>
    <n v="11"/>
    <n v="30"/>
    <n v="12"/>
    <n v="30"/>
    <s v="T"/>
    <n v="1"/>
    <s v="U"/>
    <s v="Eagle IT"/>
    <s v="Marleen Van Zele"/>
    <s v="TNL"/>
    <m/>
    <x v="0"/>
    <n v="125"/>
    <s v="Opmaken proces &quot;toekennen van loonsverhogingen&quot; en importeren in Iyopro - eagle IT"/>
    <s v="Gepresteerd"/>
    <m/>
    <m/>
    <m/>
    <m/>
    <m/>
    <m/>
    <m/>
  </r>
  <r>
    <s v="ma"/>
    <n v="17"/>
    <x v="8"/>
    <x v="0"/>
    <n v="13"/>
    <n v="0"/>
    <n v="15"/>
    <n v="0"/>
    <s v="T"/>
    <n v="2"/>
    <s v="U"/>
    <s v="Erie Water Treatment"/>
    <s v="Bert Verbeeck"/>
    <s v="TNL"/>
    <m/>
    <x v="0"/>
    <n v="237.5"/>
    <s v="Overlopen ppt Amy&amp; MT  + Uitleggen werking Functionerings gesprekken document "/>
    <s v="Gebudgetteerd"/>
    <m/>
    <m/>
    <m/>
    <m/>
    <m/>
    <m/>
    <m/>
  </r>
  <r>
    <s v="ma"/>
    <n v="17"/>
    <x v="8"/>
    <x v="0"/>
    <n v="9"/>
    <n v="0"/>
    <n v="10"/>
    <n v="30"/>
    <s v="T"/>
    <n v="1.5"/>
    <s v="U"/>
    <s v="Erie Water Treatment"/>
    <s v="Bert Verbeeck"/>
    <s v="TNL"/>
    <m/>
    <x v="0"/>
    <n v="178.125"/>
    <s v="FG's Bianca/Tiny; actie plan Missie waarden/ PMO vraag Nick/ vvorbereidng Achievements HR2.0"/>
    <s v="Gepresteerd"/>
    <m/>
    <m/>
    <m/>
    <m/>
    <m/>
    <m/>
    <m/>
  </r>
  <r>
    <s v="wo"/>
    <n v="19"/>
    <x v="8"/>
    <x v="0"/>
    <n v="7"/>
    <n v="30"/>
    <n v="11"/>
    <n v="30"/>
    <s v="V"/>
    <n v="4"/>
    <s v="DD"/>
    <s v="DeHuisVerbouwer"/>
    <s v="Gunter Aerts"/>
    <s v="TNL"/>
    <m/>
    <x v="0"/>
    <n v="650"/>
    <s v="P&amp;L met CHE "/>
    <s v="Gebudgetteerd"/>
    <m/>
    <m/>
    <m/>
    <m/>
    <m/>
    <m/>
    <m/>
  </r>
  <r>
    <s v="wo"/>
    <n v="19"/>
    <x v="8"/>
    <x v="0"/>
    <n v="16"/>
    <n v="0"/>
    <n v="18"/>
    <n v="0"/>
    <s v="T"/>
    <n v="2"/>
    <s v="U"/>
    <s v="Erie Water Treatment"/>
    <s v="Bert Verbeeck"/>
    <s v="TNL"/>
    <m/>
    <x v="0"/>
    <n v="237.5"/>
    <s v="Prestentatie @ Amy Aquion"/>
    <s v="Gebudgetteerd"/>
    <m/>
    <m/>
    <m/>
    <m/>
    <m/>
    <m/>
    <m/>
  </r>
  <r>
    <s v="wo"/>
    <n v="26"/>
    <x v="8"/>
    <x v="0"/>
    <n v="8"/>
    <n v="30"/>
    <n v="12"/>
    <n v="30"/>
    <s v="V"/>
    <n v="4"/>
    <s v="DD"/>
    <s v="EMDS"/>
    <s v="Gino Dierckx"/>
    <s v="TNL"/>
    <m/>
    <x v="0"/>
    <n v="650"/>
    <s v="Proces facturen maken vanuit Optedo met Anne"/>
    <s v="Gebudgetteerd"/>
    <m/>
    <m/>
    <m/>
    <m/>
    <m/>
    <m/>
    <m/>
  </r>
  <r>
    <s v="do"/>
    <n v="27"/>
    <x v="8"/>
    <x v="0"/>
    <n v="8"/>
    <n v="30"/>
    <n v="12"/>
    <n v="30"/>
    <s v="V"/>
    <n v="4"/>
    <s v="DD"/>
    <s v="Erie Water Treatment"/>
    <s v="Bert Verbeeck"/>
    <s v="TNL"/>
    <m/>
    <x v="0"/>
    <n v="575"/>
    <s v="Voorstellig aan MT alle items van HR2.0"/>
    <s v="Gebudgetteerd"/>
    <m/>
    <m/>
    <m/>
    <m/>
    <m/>
    <m/>
    <m/>
  </r>
  <r>
    <s v="do"/>
    <n v="27"/>
    <x v="8"/>
    <x v="0"/>
    <n v="8"/>
    <n v="30"/>
    <n v="12"/>
    <n v="30"/>
    <s v="V"/>
    <n v="4"/>
    <s v="DD"/>
    <s v="Erie Water Treatment"/>
    <s v="Bert Verbeeck"/>
    <s v="TNL"/>
    <m/>
    <x v="0"/>
    <n v="575"/>
    <s v="MT presentatie achievements HR 2.0"/>
    <s v="Gebudgetteerd"/>
    <m/>
    <m/>
    <m/>
    <m/>
    <m/>
    <m/>
    <m/>
  </r>
  <r>
    <s v="do"/>
    <n v="27"/>
    <x v="8"/>
    <x v="0"/>
    <n v="13"/>
    <n v="0"/>
    <n v="17"/>
    <n v="0"/>
    <s v="V"/>
    <n v="4"/>
    <s v="DD"/>
    <s v="Solid Networks "/>
    <s v="Ben Langers"/>
    <s v="TNL"/>
    <m/>
    <x v="0"/>
    <n v="650"/>
    <s v="Budget Solid Networks geïntegreerd in Aegle IT"/>
    <s v="Gebudgetteerd"/>
    <m/>
    <m/>
    <m/>
    <m/>
    <m/>
    <m/>
    <m/>
  </r>
  <r>
    <s v="do"/>
    <n v="27"/>
    <x v="8"/>
    <x v="0"/>
    <n v="18"/>
    <n v="0"/>
    <n v="22"/>
    <n v="0"/>
    <s v="V"/>
    <n v="4"/>
    <s v="DD"/>
    <s v="Endo Projects"/>
    <s v="Cédric Daems"/>
    <s v="TNL"/>
    <m/>
    <x v="0"/>
    <n v="450"/>
    <s v="RvA financial meeting "/>
    <s v="Gebudgetteerd"/>
    <m/>
    <m/>
    <m/>
    <m/>
    <m/>
    <m/>
    <m/>
  </r>
  <r>
    <s v="WE"/>
    <n v="26"/>
    <x v="8"/>
    <x v="0"/>
    <n v="8"/>
    <n v="0"/>
    <n v="9"/>
    <n v="0"/>
    <s v="T"/>
    <n v="1"/>
    <s v="U"/>
    <s v="BYTA Comm.V"/>
    <s v="Wilfried Frensch"/>
    <s v="TNL"/>
    <m/>
    <x v="0"/>
    <n v="6.25"/>
    <m/>
    <s v="Gepresteerd"/>
    <m/>
    <m/>
    <m/>
    <m/>
    <m/>
    <m/>
    <m/>
  </r>
  <r>
    <s v="WE"/>
    <n v="26"/>
    <x v="8"/>
    <x v="0"/>
    <n v="8"/>
    <n v="0"/>
    <n v="9"/>
    <n v="0"/>
    <s v="T"/>
    <n v="1"/>
    <s v="U"/>
    <s v="Bakkerij David "/>
    <s v="David  De Smedt"/>
    <s v="TNL"/>
    <m/>
    <x v="0"/>
    <n v="125"/>
    <m/>
    <s v="Gepresteerd"/>
    <m/>
    <m/>
    <m/>
    <m/>
    <m/>
    <m/>
    <m/>
  </r>
  <r>
    <m/>
    <m/>
    <x v="9"/>
    <x v="1"/>
    <m/>
    <m/>
    <m/>
    <m/>
    <m/>
    <m/>
    <m/>
    <m/>
    <m/>
    <m/>
    <m/>
    <x v="6"/>
    <m/>
    <m/>
    <m/>
    <m/>
    <m/>
    <m/>
    <m/>
    <m/>
    <m/>
    <m/>
  </r>
  <r>
    <m/>
    <m/>
    <x v="9"/>
    <x v="1"/>
    <m/>
    <m/>
    <m/>
    <m/>
    <m/>
    <m/>
    <m/>
    <m/>
    <m/>
    <m/>
    <m/>
    <x v="6"/>
    <m/>
    <m/>
    <m/>
    <m/>
    <m/>
    <m/>
    <m/>
    <m/>
    <m/>
    <m/>
  </r>
  <r>
    <m/>
    <m/>
    <x v="9"/>
    <x v="1"/>
    <m/>
    <m/>
    <m/>
    <m/>
    <m/>
    <m/>
    <m/>
    <m/>
    <m/>
    <m/>
    <m/>
    <x v="6"/>
    <m/>
    <m/>
    <m/>
    <m/>
    <m/>
    <m/>
    <m/>
    <m/>
    <m/>
    <m/>
  </r>
  <r>
    <m/>
    <m/>
    <x v="9"/>
    <x v="1"/>
    <m/>
    <m/>
    <m/>
    <m/>
    <m/>
    <m/>
    <m/>
    <m/>
    <m/>
    <m/>
    <m/>
    <x v="6"/>
    <m/>
    <m/>
    <m/>
    <m/>
    <m/>
    <m/>
    <m/>
    <m/>
    <m/>
    <m/>
  </r>
  <r>
    <m/>
    <m/>
    <x v="9"/>
    <x v="1"/>
    <m/>
    <m/>
    <m/>
    <m/>
    <m/>
    <m/>
    <m/>
    <m/>
    <m/>
    <m/>
    <m/>
    <x v="6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BCC75-A1D5-45C5-96BB-BA6D13FA8DFE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M72:N81" firstHeaderRow="1" firstDataRow="1" firstDataCol="1" rowPageCount="1" colPageCount="1"/>
  <pivotFields count="26">
    <pivotField showAll="0"/>
    <pivotField showAll="0"/>
    <pivotField axis="axisRow"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9">
        <item h="1" x="17"/>
        <item h="1" x="21"/>
        <item h="1" x="0"/>
        <item h="1" x="4"/>
        <item h="1" x="23"/>
        <item h="1" x="15"/>
        <item h="1" x="5"/>
        <item h="1" x="26"/>
        <item h="1" x="9"/>
        <item h="1" x="16"/>
        <item h="1" x="19"/>
        <item h="1" x="6"/>
        <item h="1" x="27"/>
        <item h="1" x="25"/>
        <item x="3"/>
        <item h="1" x="10"/>
        <item h="1" x="2"/>
        <item h="1" x="18"/>
        <item h="1" x="20"/>
        <item h="1" x="11"/>
        <item h="1" x="8"/>
        <item h="1" x="12"/>
        <item h="1" x="14"/>
        <item h="1" x="22"/>
        <item h="1" x="24"/>
        <item h="1" x="1"/>
        <item h="1" x="13"/>
        <item h="1"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11" hier="-1"/>
  </pageFields>
  <dataFields count="1">
    <dataField name="Sum of Bedrag " fld="16" baseField="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6DDCF-C4DE-4D71-8444-3797E2F07812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J73:K79" firstHeaderRow="1" firstDataRow="1" firstDataCol="1" rowPageCount="2" colPageCount="1"/>
  <pivotFields count="26">
    <pivotField showAll="0"/>
    <pivotField showAll="0"/>
    <pivotField axis="axisPage"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numFmtI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29">
        <item x="17"/>
        <item x="21"/>
        <item x="0"/>
        <item x="4"/>
        <item x="23"/>
        <item x="15"/>
        <item x="5"/>
        <item x="26"/>
        <item x="9"/>
        <item x="16"/>
        <item x="19"/>
        <item x="6"/>
        <item x="27"/>
        <item x="25"/>
        <item x="3"/>
        <item x="10"/>
        <item x="2"/>
        <item x="18"/>
        <item x="20"/>
        <item x="11"/>
        <item x="8"/>
        <item x="12"/>
        <item x="14"/>
        <item x="22"/>
        <item x="24"/>
        <item x="1"/>
        <item x="13"/>
        <item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6">
    <i>
      <x v="2"/>
    </i>
    <i>
      <x v="14"/>
    </i>
    <i>
      <x v="16"/>
    </i>
    <i>
      <x v="20"/>
    </i>
    <i>
      <x v="25"/>
    </i>
    <i t="grand">
      <x/>
    </i>
  </rowItems>
  <colItems count="1">
    <i/>
  </colItems>
  <pageFields count="2">
    <pageField fld="3" item="0" hier="-1"/>
    <pageField fld="2" item="2" hier="-1"/>
  </pageFields>
  <dataFields count="1">
    <dataField name="Sum of Bedrag " fld="16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1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25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289C25-46BA-40DB-BF67-92A9BFD3626C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Employee">
  <location ref="G73:H78" firstHeaderRow="1" firstDataRow="1" firstDataCol="1" rowPageCount="2" colPageCount="1"/>
  <pivotFields count="26">
    <pivotField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5"/>
        <item x="0"/>
        <item x="1"/>
        <item x="3"/>
        <item x="2"/>
        <item x="4"/>
        <item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/>
    </i>
    <i>
      <x v="1"/>
    </i>
    <i>
      <x v="2"/>
    </i>
    <i>
      <x v="5"/>
    </i>
    <i t="grand">
      <x/>
    </i>
  </rowItems>
  <colItems count="1">
    <i/>
  </colItems>
  <pageFields count="2">
    <pageField fld="3" item="0" hier="-1"/>
    <pageField fld="2" item="7" hier="-1"/>
  </pageFields>
  <dataFields count="1">
    <dataField name="Revenue" fld="16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678DEC-B9ED-43A8-AC1B-CB8AD0B16AB2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Month">
  <location ref="D73:E83" firstHeaderRow="1" firstDataRow="1" firstDataCol="1" rowPageCount="2" colPageCount="1"/>
  <pivotFields count="26"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ame="Jaar"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5"/>
        <item x="0"/>
        <item x="1"/>
        <item x="3"/>
        <item x="2"/>
        <item x="4"/>
        <item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15" hier="-1"/>
    <pageField fld="3" item="0" hier="-1"/>
  </pageFields>
  <dataFields count="1">
    <dataField name="Revenue" fld="1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F34C6F-E313-43A2-B0AB-F4CF926BD6B4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4" rowHeaderCaption="Month">
  <location ref="A72:B82" firstHeaderRow="1" firstDataRow="1" firstDataCol="1" rowPageCount="1" colPageCount="1"/>
  <pivotFields count="26"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ame="Jaar"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3" item="0" hier="-1"/>
  </pageFields>
  <dataFields count="1">
    <dataField name="Revenue" fld="16" baseField="0" baseItem="0"/>
  </dataFields>
  <chartFormats count="41"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9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9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9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9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2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2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2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2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3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3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3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3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3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KrisMotmans@labosmeets.be" TargetMode="External"/><Relationship Id="rId13" Type="http://schemas.openxmlformats.org/officeDocument/2006/relationships/hyperlink" Target="mailto:bakkerijdavid@telenet.be" TargetMode="External"/><Relationship Id="rId18" Type="http://schemas.openxmlformats.org/officeDocument/2006/relationships/hyperlink" Target="mailto:Michel.Albertz@Adrivo.be" TargetMode="External"/><Relationship Id="rId26" Type="http://schemas.openxmlformats.org/officeDocument/2006/relationships/hyperlink" Target="mailto:anneliese@advas-bvba.be" TargetMode="External"/><Relationship Id="rId3" Type="http://schemas.openxmlformats.org/officeDocument/2006/relationships/hyperlink" Target="mailto:jan@eagle-it.be" TargetMode="External"/><Relationship Id="rId21" Type="http://schemas.openxmlformats.org/officeDocument/2006/relationships/hyperlink" Target="mailto:guido@mercatorcleaning.be" TargetMode="External"/><Relationship Id="rId34" Type="http://schemas.openxmlformats.org/officeDocument/2006/relationships/image" Target="../media/image6.emf"/><Relationship Id="rId7" Type="http://schemas.openxmlformats.org/officeDocument/2006/relationships/hyperlink" Target="mailto:ilse@ariadnebvba.be" TargetMode="External"/><Relationship Id="rId12" Type="http://schemas.openxmlformats.org/officeDocument/2006/relationships/hyperlink" Target="mailto:ilse@ariadnebvba.be" TargetMode="External"/><Relationship Id="rId17" Type="http://schemas.openxmlformats.org/officeDocument/2006/relationships/hyperlink" Target="mailto:Vanessa@also-group.com" TargetMode="External"/><Relationship Id="rId25" Type="http://schemas.openxmlformats.org/officeDocument/2006/relationships/hyperlink" Target="mailto:steven.pauwels@roolit.com" TargetMode="External"/><Relationship Id="rId33" Type="http://schemas.openxmlformats.org/officeDocument/2006/relationships/control" Target="../activeX/activeX6.xml"/><Relationship Id="rId2" Type="http://schemas.openxmlformats.org/officeDocument/2006/relationships/hyperlink" Target="mailto:cedric.daems@endo-projects.be" TargetMode="External"/><Relationship Id="rId16" Type="http://schemas.openxmlformats.org/officeDocument/2006/relationships/hyperlink" Target="mailto:nicolas.vanderaa@vitesske.be" TargetMode="External"/><Relationship Id="rId20" Type="http://schemas.openxmlformats.org/officeDocument/2006/relationships/hyperlink" Target="mailto:sam@bbcharmehoteldenberg.be" TargetMode="External"/><Relationship Id="rId29" Type="http://schemas.openxmlformats.org/officeDocument/2006/relationships/hyperlink" Target="mailto:purchase@eagle-it.be" TargetMode="External"/><Relationship Id="rId1" Type="http://schemas.openxmlformats.org/officeDocument/2006/relationships/hyperlink" Target="mailto:ilse@ariadnebvba.be" TargetMode="External"/><Relationship Id="rId6" Type="http://schemas.openxmlformats.org/officeDocument/2006/relationships/hyperlink" Target="mailto:wilfried.frensch@hotmail.com" TargetMode="External"/><Relationship Id="rId11" Type="http://schemas.openxmlformats.org/officeDocument/2006/relationships/hyperlink" Target="mailto:bverbeek@eriewatertreatment.com" TargetMode="External"/><Relationship Id="rId24" Type="http://schemas.openxmlformats.org/officeDocument/2006/relationships/hyperlink" Target="mailto:Ben.Langers@solidnetworks.be" TargetMode="External"/><Relationship Id="rId32" Type="http://schemas.openxmlformats.org/officeDocument/2006/relationships/vmlDrawing" Target="../drawings/vmlDrawing4.vml"/><Relationship Id="rId5" Type="http://schemas.openxmlformats.org/officeDocument/2006/relationships/hyperlink" Target="mailto:ilse@ariadnebvba.be" TargetMode="External"/><Relationship Id="rId15" Type="http://schemas.openxmlformats.org/officeDocument/2006/relationships/hyperlink" Target="mailto:pieter.herman@betowest.be" TargetMode="External"/><Relationship Id="rId23" Type="http://schemas.openxmlformats.org/officeDocument/2006/relationships/hyperlink" Target="mailto:pr@rtconsultancy.be" TargetMode="External"/><Relationship Id="rId28" Type="http://schemas.openxmlformats.org/officeDocument/2006/relationships/hyperlink" Target="mailto:boekhouding@advas-bvba.be" TargetMode="External"/><Relationship Id="rId10" Type="http://schemas.openxmlformats.org/officeDocument/2006/relationships/hyperlink" Target="mailto:geertruivancampe@labosmeets.be" TargetMode="External"/><Relationship Id="rId19" Type="http://schemas.openxmlformats.org/officeDocument/2006/relationships/hyperlink" Target="mailto:peter@bbcharmehoteldenberg.be" TargetMode="External"/><Relationship Id="rId31" Type="http://schemas.openxmlformats.org/officeDocument/2006/relationships/drawing" Target="../drawings/drawing7.xml"/><Relationship Id="rId4" Type="http://schemas.openxmlformats.org/officeDocument/2006/relationships/hyperlink" Target="mailto:marleen@eagle-financials.be" TargetMode="External"/><Relationship Id="rId9" Type="http://schemas.openxmlformats.org/officeDocument/2006/relationships/hyperlink" Target="mailto:ilse@ariadnebvba.be" TargetMode="External"/><Relationship Id="rId14" Type="http://schemas.openxmlformats.org/officeDocument/2006/relationships/hyperlink" Target="mailto:ilse@ariadnebvba.be" TargetMode="External"/><Relationship Id="rId22" Type="http://schemas.openxmlformats.org/officeDocument/2006/relationships/hyperlink" Target="mailto:kathleen@rtconsultancy.be" TargetMode="External"/><Relationship Id="rId27" Type="http://schemas.openxmlformats.org/officeDocument/2006/relationships/hyperlink" Target="mailto:Kevin@dmvadvies.be" TargetMode="External"/><Relationship Id="rId30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B98A6-6372-4562-9CC5-75DB99A9EA65}">
  <sheetPr codeName="Meetstaat" filterMode="1"/>
  <dimension ref="A1:Z399"/>
  <sheetViews>
    <sheetView zoomScale="70" zoomScaleNormal="70" workbookViewId="0">
      <pane ySplit="3" topLeftCell="A102" activePane="bottomLeft" state="frozen"/>
      <selection pane="bottomLeft" activeCell="A9" sqref="A9:Z15000"/>
    </sheetView>
  </sheetViews>
  <sheetFormatPr defaultColWidth="9.140625" defaultRowHeight="15" x14ac:dyDescent="0.25"/>
  <cols>
    <col min="1" max="1" width="4.42578125" style="4" bestFit="1" customWidth="1"/>
    <col min="2" max="2" width="3" style="64" customWidth="1"/>
    <col min="3" max="3" width="4.42578125" style="64" bestFit="1" customWidth="1"/>
    <col min="4" max="4" width="7.42578125" style="64" bestFit="1" customWidth="1"/>
    <col min="5" max="5" width="7.85546875" style="60" customWidth="1"/>
    <col min="6" max="6" width="4.140625" style="64" customWidth="1"/>
    <col min="7" max="7" width="7.85546875" style="60" customWidth="1"/>
    <col min="8" max="8" width="5.42578125" style="64" bestFit="1" customWidth="1"/>
    <col min="9" max="9" width="7.140625" style="4" customWidth="1"/>
    <col min="10" max="10" width="6.140625" style="55" bestFit="1" customWidth="1"/>
    <col min="11" max="11" width="5.28515625" style="4" bestFit="1" customWidth="1"/>
    <col min="12" max="12" width="21.5703125" style="14" bestFit="1" customWidth="1"/>
    <col min="13" max="13" width="21.7109375" style="14" bestFit="1" customWidth="1"/>
    <col min="14" max="14" width="12.7109375" style="4" bestFit="1" customWidth="1"/>
    <col min="15" max="15" width="25" style="4" bestFit="1" customWidth="1"/>
    <col min="16" max="16" width="10.140625" style="4" bestFit="1" customWidth="1"/>
    <col min="17" max="17" width="15.85546875" style="50" bestFit="1" customWidth="1"/>
    <col min="18" max="18" width="121.5703125" style="14" customWidth="1"/>
    <col min="19" max="19" width="14" style="14" bestFit="1" customWidth="1"/>
    <col min="20" max="20" width="14" style="14" customWidth="1"/>
    <col min="21" max="21" width="10.7109375" style="20" customWidth="1"/>
    <col min="22" max="22" width="9.140625" style="20"/>
    <col min="23" max="24" width="10.5703125" style="20" bestFit="1" customWidth="1"/>
    <col min="25" max="25" width="9.140625" style="20"/>
    <col min="26" max="26" width="9.7109375" style="20" bestFit="1" customWidth="1"/>
    <col min="27" max="16384" width="9.140625" style="20"/>
  </cols>
  <sheetData>
    <row r="1" spans="1:26" s="19" customFormat="1" ht="50.25" customHeight="1" x14ac:dyDescent="0.3">
      <c r="A1" s="268" t="s">
        <v>721</v>
      </c>
      <c r="B1" s="58"/>
      <c r="C1" s="58"/>
      <c r="D1" s="58"/>
      <c r="E1" s="58"/>
      <c r="F1" s="58"/>
      <c r="G1" s="58"/>
      <c r="H1" s="58"/>
      <c r="I1" s="47"/>
      <c r="J1" s="49"/>
      <c r="K1" s="47"/>
      <c r="L1" s="47"/>
      <c r="M1" s="47"/>
      <c r="N1" s="47"/>
      <c r="O1" s="47"/>
      <c r="P1" s="47"/>
      <c r="Q1" s="161">
        <f>SUBTOTAL(109,Q4:Q399)</f>
        <v>30459.125</v>
      </c>
      <c r="R1" s="47"/>
      <c r="S1" s="48"/>
      <c r="T1" s="138"/>
      <c r="U1" s="37"/>
      <c r="V1" s="270" t="s">
        <v>563</v>
      </c>
      <c r="W1" s="270"/>
      <c r="X1" s="270"/>
      <c r="Y1" s="270"/>
      <c r="Z1" s="270"/>
    </row>
    <row r="2" spans="1:26" s="19" customFormat="1" ht="15" customHeight="1" x14ac:dyDescent="0.25">
      <c r="A2" s="166"/>
      <c r="B2" s="271" t="s">
        <v>37</v>
      </c>
      <c r="C2" s="272"/>
      <c r="D2" s="273"/>
      <c r="E2" s="274" t="s">
        <v>38</v>
      </c>
      <c r="F2" s="274"/>
      <c r="G2" s="274" t="s">
        <v>39</v>
      </c>
      <c r="H2" s="275"/>
      <c r="I2" s="167" t="s">
        <v>22</v>
      </c>
      <c r="J2" s="168" t="s">
        <v>41</v>
      </c>
      <c r="K2" s="169" t="s">
        <v>20</v>
      </c>
      <c r="L2" s="172" t="s">
        <v>42</v>
      </c>
      <c r="M2" s="173" t="s">
        <v>43</v>
      </c>
      <c r="N2" s="172" t="s">
        <v>44</v>
      </c>
      <c r="O2" s="173" t="s">
        <v>45</v>
      </c>
      <c r="P2" s="170" t="s">
        <v>46</v>
      </c>
      <c r="Q2" s="174" t="s">
        <v>47</v>
      </c>
      <c r="R2" s="170" t="s">
        <v>48</v>
      </c>
      <c r="S2" s="171" t="s">
        <v>320</v>
      </c>
      <c r="T2" s="139"/>
      <c r="U2" s="37"/>
      <c r="V2" s="93"/>
      <c r="W2" s="94">
        <v>0.17499999999999999</v>
      </c>
      <c r="X2" s="95">
        <v>0.17499999999999999</v>
      </c>
      <c r="Y2" s="95">
        <v>0</v>
      </c>
      <c r="Z2" s="96">
        <v>0.1</v>
      </c>
    </row>
    <row r="3" spans="1:26" s="19" customFormat="1" ht="30.75" thickBot="1" x14ac:dyDescent="0.3">
      <c r="A3" s="166" t="s">
        <v>25</v>
      </c>
      <c r="B3" s="68" t="s">
        <v>9</v>
      </c>
      <c r="C3" s="68" t="s">
        <v>10</v>
      </c>
      <c r="D3" s="68" t="s">
        <v>11</v>
      </c>
      <c r="E3" s="59" t="s">
        <v>40</v>
      </c>
      <c r="F3" s="63" t="s">
        <v>10</v>
      </c>
      <c r="G3" s="59" t="s">
        <v>40</v>
      </c>
      <c r="H3" s="63" t="s">
        <v>10</v>
      </c>
      <c r="I3" s="167" t="s">
        <v>22</v>
      </c>
      <c r="J3" s="168" t="s">
        <v>41</v>
      </c>
      <c r="K3" s="169" t="s">
        <v>20</v>
      </c>
      <c r="L3" s="172" t="s">
        <v>42</v>
      </c>
      <c r="M3" s="173" t="s">
        <v>43</v>
      </c>
      <c r="N3" s="172" t="s">
        <v>44</v>
      </c>
      <c r="O3" s="173" t="s">
        <v>45</v>
      </c>
      <c r="P3" s="170" t="s">
        <v>46</v>
      </c>
      <c r="Q3" s="174" t="s">
        <v>47</v>
      </c>
      <c r="R3" s="170" t="s">
        <v>48</v>
      </c>
      <c r="S3" s="171" t="s">
        <v>320</v>
      </c>
      <c r="T3" s="76" t="s">
        <v>432</v>
      </c>
      <c r="U3" s="75" t="s">
        <v>564</v>
      </c>
      <c r="V3" s="75" t="s">
        <v>565</v>
      </c>
      <c r="W3" s="38" t="s">
        <v>566</v>
      </c>
      <c r="X3" s="38" t="s">
        <v>567</v>
      </c>
      <c r="Y3" s="38" t="s">
        <v>568</v>
      </c>
      <c r="Z3" s="38" t="s">
        <v>569</v>
      </c>
    </row>
    <row r="4" spans="1:26" hidden="1" x14ac:dyDescent="0.25">
      <c r="A4" s="21" t="s">
        <v>77</v>
      </c>
      <c r="B4" s="69">
        <v>1</v>
      </c>
      <c r="C4" s="69">
        <v>1</v>
      </c>
      <c r="D4" s="69">
        <v>2018</v>
      </c>
      <c r="E4" s="60">
        <v>9</v>
      </c>
      <c r="F4" s="64">
        <v>0</v>
      </c>
      <c r="G4" s="60">
        <v>17</v>
      </c>
      <c r="H4" s="64">
        <v>0</v>
      </c>
      <c r="I4" s="4" t="s">
        <v>16</v>
      </c>
      <c r="J4" s="55">
        <v>8</v>
      </c>
      <c r="K4" s="4" t="s">
        <v>687</v>
      </c>
      <c r="L4" s="14" t="s">
        <v>99</v>
      </c>
      <c r="M4" s="14" t="s">
        <v>609</v>
      </c>
      <c r="N4" s="4" t="s">
        <v>419</v>
      </c>
      <c r="P4" s="4" t="s">
        <v>6</v>
      </c>
      <c r="S4" s="33" t="s">
        <v>322</v>
      </c>
      <c r="T4" s="33"/>
    </row>
    <row r="5" spans="1:26" hidden="1" x14ac:dyDescent="0.25">
      <c r="A5" s="21" t="s">
        <v>78</v>
      </c>
      <c r="B5" s="70">
        <v>2</v>
      </c>
      <c r="C5" s="70">
        <v>1</v>
      </c>
      <c r="D5" s="69">
        <v>2018</v>
      </c>
      <c r="E5" s="61">
        <v>11</v>
      </c>
      <c r="F5" s="64">
        <v>0</v>
      </c>
      <c r="G5" s="60">
        <v>16</v>
      </c>
      <c r="H5" s="64">
        <v>0</v>
      </c>
      <c r="I5" s="4" t="s">
        <v>16</v>
      </c>
      <c r="J5" s="55">
        <v>4</v>
      </c>
      <c r="K5" s="4" t="s">
        <v>12</v>
      </c>
      <c r="L5" s="14" t="s">
        <v>5</v>
      </c>
      <c r="M5" s="14" t="s">
        <v>104</v>
      </c>
      <c r="N5" s="4" t="s">
        <v>52</v>
      </c>
      <c r="O5" s="4" t="s">
        <v>125</v>
      </c>
      <c r="P5" s="4" t="s">
        <v>6</v>
      </c>
      <c r="Q5" s="50">
        <v>500</v>
      </c>
      <c r="R5" s="14" t="s">
        <v>136</v>
      </c>
      <c r="S5" s="33" t="s">
        <v>322</v>
      </c>
      <c r="T5" s="33"/>
    </row>
    <row r="6" spans="1:26" hidden="1" x14ac:dyDescent="0.25">
      <c r="A6" s="22" t="s">
        <v>79</v>
      </c>
      <c r="B6" s="69">
        <v>3</v>
      </c>
      <c r="C6" s="69">
        <v>1</v>
      </c>
      <c r="D6" s="69">
        <v>2018</v>
      </c>
      <c r="E6" s="60">
        <v>7</v>
      </c>
      <c r="F6" s="64">
        <v>0</v>
      </c>
      <c r="G6" s="60">
        <v>17</v>
      </c>
      <c r="H6" s="64">
        <v>0</v>
      </c>
      <c r="I6" s="4" t="s">
        <v>7</v>
      </c>
      <c r="J6" s="55">
        <v>8</v>
      </c>
      <c r="K6" s="4" t="s">
        <v>687</v>
      </c>
      <c r="L6" s="14" t="s">
        <v>5</v>
      </c>
      <c r="M6" s="14" t="s">
        <v>104</v>
      </c>
      <c r="N6" s="4" t="s">
        <v>52</v>
      </c>
      <c r="O6" s="4" t="s">
        <v>125</v>
      </c>
      <c r="P6" s="4" t="s">
        <v>21</v>
      </c>
      <c r="Q6" s="50">
        <v>950</v>
      </c>
      <c r="R6" s="14" t="s">
        <v>124</v>
      </c>
      <c r="S6" s="33" t="s">
        <v>322</v>
      </c>
      <c r="T6" s="33"/>
    </row>
    <row r="7" spans="1:26" hidden="1" x14ac:dyDescent="0.25">
      <c r="A7" s="21" t="s">
        <v>79</v>
      </c>
      <c r="B7" s="69">
        <v>3</v>
      </c>
      <c r="C7" s="69">
        <v>1</v>
      </c>
      <c r="D7" s="69">
        <v>2018</v>
      </c>
      <c r="E7" s="60">
        <v>10</v>
      </c>
      <c r="F7" s="64">
        <v>0</v>
      </c>
      <c r="G7" s="60">
        <v>18</v>
      </c>
      <c r="H7" s="64">
        <v>0</v>
      </c>
      <c r="I7" s="4" t="s">
        <v>7</v>
      </c>
      <c r="J7" s="55">
        <v>8</v>
      </c>
      <c r="K7" s="4" t="s">
        <v>687</v>
      </c>
      <c r="L7" s="14" t="s">
        <v>24</v>
      </c>
      <c r="M7" s="14" t="s">
        <v>105</v>
      </c>
      <c r="N7" s="4" t="s">
        <v>52</v>
      </c>
      <c r="O7" s="4" t="s">
        <v>52</v>
      </c>
      <c r="P7" s="4" t="s">
        <v>6</v>
      </c>
      <c r="Q7" s="50">
        <v>1000</v>
      </c>
      <c r="R7" s="14" t="s">
        <v>137</v>
      </c>
      <c r="S7" s="33" t="s">
        <v>322</v>
      </c>
      <c r="T7" s="33"/>
    </row>
    <row r="8" spans="1:26" hidden="1" x14ac:dyDescent="0.25">
      <c r="A8" s="21" t="s">
        <v>80</v>
      </c>
      <c r="B8" s="69">
        <v>4</v>
      </c>
      <c r="C8" s="69">
        <v>1</v>
      </c>
      <c r="D8" s="69">
        <v>2018</v>
      </c>
      <c r="E8" s="60">
        <v>8</v>
      </c>
      <c r="F8" s="64">
        <v>0</v>
      </c>
      <c r="G8" s="60">
        <v>16</v>
      </c>
      <c r="H8" s="64">
        <v>0</v>
      </c>
      <c r="I8" s="4" t="s">
        <v>7</v>
      </c>
      <c r="J8" s="55">
        <v>8</v>
      </c>
      <c r="K8" s="4" t="s">
        <v>687</v>
      </c>
      <c r="L8" s="14" t="s">
        <v>5</v>
      </c>
      <c r="M8" s="14" t="s">
        <v>104</v>
      </c>
      <c r="N8" s="4" t="s">
        <v>52</v>
      </c>
      <c r="O8" s="4" t="s">
        <v>125</v>
      </c>
      <c r="P8" s="4" t="s">
        <v>6</v>
      </c>
      <c r="Q8" s="50">
        <v>1050</v>
      </c>
      <c r="R8" s="14" t="s">
        <v>124</v>
      </c>
      <c r="S8" s="33" t="s">
        <v>322</v>
      </c>
      <c r="T8" s="33"/>
    </row>
    <row r="9" spans="1:26" x14ac:dyDescent="0.25">
      <c r="A9" s="21" t="s">
        <v>81</v>
      </c>
      <c r="B9" s="69">
        <v>5</v>
      </c>
      <c r="C9" s="69">
        <v>1</v>
      </c>
      <c r="D9" s="69">
        <v>2018</v>
      </c>
      <c r="E9" s="60">
        <v>8</v>
      </c>
      <c r="F9" s="64">
        <v>0</v>
      </c>
      <c r="G9" s="60">
        <v>12</v>
      </c>
      <c r="H9" s="64">
        <v>0</v>
      </c>
      <c r="I9" s="4" t="s">
        <v>7</v>
      </c>
      <c r="J9" s="55">
        <v>4</v>
      </c>
      <c r="K9" s="4" t="s">
        <v>12</v>
      </c>
      <c r="L9" s="14" t="s">
        <v>50</v>
      </c>
      <c r="M9" s="14" t="s">
        <v>51</v>
      </c>
      <c r="N9" s="4" t="s">
        <v>52</v>
      </c>
      <c r="O9" s="4" t="s">
        <v>53</v>
      </c>
      <c r="P9" s="4" t="s">
        <v>6</v>
      </c>
      <c r="Q9" s="50">
        <v>575</v>
      </c>
      <c r="R9" s="14" t="s">
        <v>124</v>
      </c>
      <c r="S9" s="33" t="s">
        <v>322</v>
      </c>
      <c r="T9" s="33"/>
    </row>
    <row r="10" spans="1:26" hidden="1" x14ac:dyDescent="0.25">
      <c r="A10" s="21" t="s">
        <v>81</v>
      </c>
      <c r="B10" s="69">
        <v>5</v>
      </c>
      <c r="C10" s="69">
        <v>1</v>
      </c>
      <c r="D10" s="69">
        <v>2018</v>
      </c>
      <c r="E10" s="60">
        <v>13</v>
      </c>
      <c r="F10" s="64">
        <v>0</v>
      </c>
      <c r="G10" s="60">
        <v>17</v>
      </c>
      <c r="H10" s="64">
        <v>0</v>
      </c>
      <c r="I10" s="4" t="s">
        <v>7</v>
      </c>
      <c r="J10" s="55">
        <v>4</v>
      </c>
      <c r="K10" s="4" t="s">
        <v>12</v>
      </c>
      <c r="L10" s="14" t="s">
        <v>24</v>
      </c>
      <c r="M10" s="14" t="s">
        <v>105</v>
      </c>
      <c r="N10" s="4" t="s">
        <v>52</v>
      </c>
      <c r="O10" s="4" t="s">
        <v>52</v>
      </c>
      <c r="P10" s="4" t="s">
        <v>6</v>
      </c>
      <c r="Q10" s="50">
        <v>600</v>
      </c>
      <c r="R10" s="14" t="s">
        <v>124</v>
      </c>
      <c r="S10" s="33" t="s">
        <v>322</v>
      </c>
      <c r="T10" s="33"/>
    </row>
    <row r="11" spans="1:26" hidden="1" x14ac:dyDescent="0.25">
      <c r="A11" s="23" t="s">
        <v>82</v>
      </c>
      <c r="B11" s="69">
        <v>6</v>
      </c>
      <c r="C11" s="69">
        <v>1</v>
      </c>
      <c r="D11" s="69">
        <v>2018</v>
      </c>
      <c r="E11" s="60">
        <v>8</v>
      </c>
      <c r="F11" s="64">
        <v>0</v>
      </c>
      <c r="G11" s="60">
        <v>12</v>
      </c>
      <c r="H11" s="64">
        <v>0</v>
      </c>
      <c r="I11" s="4" t="s">
        <v>16</v>
      </c>
      <c r="J11" s="55">
        <v>4</v>
      </c>
      <c r="K11" s="4" t="s">
        <v>13</v>
      </c>
      <c r="L11" s="14" t="s">
        <v>90</v>
      </c>
      <c r="M11" s="14" t="s">
        <v>609</v>
      </c>
      <c r="N11" s="4" t="s">
        <v>418</v>
      </c>
      <c r="P11" s="4" t="s">
        <v>6</v>
      </c>
      <c r="R11" s="14" t="s">
        <v>138</v>
      </c>
      <c r="S11" s="33" t="s">
        <v>322</v>
      </c>
      <c r="T11" s="33"/>
    </row>
    <row r="12" spans="1:26" hidden="1" x14ac:dyDescent="0.25">
      <c r="A12" s="24" t="s">
        <v>83</v>
      </c>
      <c r="B12" s="69">
        <v>7</v>
      </c>
      <c r="C12" s="69">
        <v>1</v>
      </c>
      <c r="D12" s="69">
        <v>2018</v>
      </c>
      <c r="E12" s="60">
        <v>8</v>
      </c>
      <c r="F12" s="64">
        <v>0</v>
      </c>
      <c r="G12" s="60">
        <v>14</v>
      </c>
      <c r="H12" s="64">
        <v>0</v>
      </c>
      <c r="I12" s="4" t="s">
        <v>16</v>
      </c>
      <c r="J12" s="55">
        <v>6</v>
      </c>
      <c r="K12" s="4" t="s">
        <v>13</v>
      </c>
      <c r="L12" s="14" t="s">
        <v>90</v>
      </c>
      <c r="M12" s="14" t="s">
        <v>609</v>
      </c>
      <c r="N12" s="4" t="s">
        <v>418</v>
      </c>
      <c r="P12" s="4" t="s">
        <v>6</v>
      </c>
      <c r="R12" s="14" t="s">
        <v>139</v>
      </c>
      <c r="S12" s="33" t="s">
        <v>322</v>
      </c>
      <c r="T12" s="33"/>
    </row>
    <row r="13" spans="1:26" hidden="1" x14ac:dyDescent="0.25">
      <c r="A13" s="21" t="s">
        <v>77</v>
      </c>
      <c r="B13" s="69">
        <v>8</v>
      </c>
      <c r="C13" s="69">
        <v>1</v>
      </c>
      <c r="D13" s="69">
        <v>2018</v>
      </c>
      <c r="E13" s="60">
        <v>8</v>
      </c>
      <c r="F13" s="64">
        <v>30</v>
      </c>
      <c r="G13" s="60">
        <v>14</v>
      </c>
      <c r="H13" s="64">
        <v>0</v>
      </c>
      <c r="I13" s="4" t="s">
        <v>7</v>
      </c>
      <c r="J13" s="55">
        <v>5.5</v>
      </c>
      <c r="K13" s="4" t="s">
        <v>13</v>
      </c>
      <c r="L13" s="14" t="s">
        <v>5</v>
      </c>
      <c r="M13" s="14" t="s">
        <v>104</v>
      </c>
      <c r="N13" s="4" t="s">
        <v>52</v>
      </c>
      <c r="O13" s="4" t="s">
        <v>125</v>
      </c>
      <c r="P13" s="4" t="s">
        <v>6</v>
      </c>
      <c r="Q13" s="50">
        <v>721.875</v>
      </c>
      <c r="R13" s="14" t="s">
        <v>124</v>
      </c>
      <c r="S13" s="33" t="s">
        <v>322</v>
      </c>
      <c r="T13" s="33"/>
    </row>
    <row r="14" spans="1:26" hidden="1" x14ac:dyDescent="0.25">
      <c r="A14" s="21" t="s">
        <v>77</v>
      </c>
      <c r="B14" s="69">
        <v>8</v>
      </c>
      <c r="C14" s="69">
        <v>1</v>
      </c>
      <c r="D14" s="69">
        <v>2018</v>
      </c>
      <c r="E14" s="60">
        <v>9</v>
      </c>
      <c r="F14" s="64">
        <v>0</v>
      </c>
      <c r="G14" s="60">
        <v>10</v>
      </c>
      <c r="H14" s="64">
        <v>0</v>
      </c>
      <c r="I14" s="4" t="s">
        <v>16</v>
      </c>
      <c r="J14" s="55">
        <v>1</v>
      </c>
      <c r="K14" s="4" t="s">
        <v>13</v>
      </c>
      <c r="L14" s="14" t="s">
        <v>5</v>
      </c>
      <c r="M14" s="14" t="s">
        <v>104</v>
      </c>
      <c r="N14" s="4" t="s">
        <v>52</v>
      </c>
      <c r="O14" s="4" t="s">
        <v>125</v>
      </c>
      <c r="P14" s="4" t="s">
        <v>21</v>
      </c>
      <c r="Q14" s="50">
        <v>118.75</v>
      </c>
      <c r="R14" s="14" t="s">
        <v>141</v>
      </c>
      <c r="S14" s="33" t="s">
        <v>322</v>
      </c>
      <c r="T14" s="33"/>
    </row>
    <row r="15" spans="1:26" hidden="1" x14ac:dyDescent="0.25">
      <c r="A15" s="21" t="s">
        <v>77</v>
      </c>
      <c r="B15" s="69">
        <v>8</v>
      </c>
      <c r="C15" s="69">
        <v>1</v>
      </c>
      <c r="D15" s="69">
        <v>2018</v>
      </c>
      <c r="E15" s="60">
        <v>15</v>
      </c>
      <c r="F15" s="64">
        <v>0</v>
      </c>
      <c r="G15" s="60">
        <v>17</v>
      </c>
      <c r="H15" s="64">
        <v>0</v>
      </c>
      <c r="I15" s="4" t="s">
        <v>16</v>
      </c>
      <c r="J15" s="55">
        <v>2</v>
      </c>
      <c r="K15" s="4" t="s">
        <v>13</v>
      </c>
      <c r="L15" s="14" t="s">
        <v>5</v>
      </c>
      <c r="M15" s="14" t="s">
        <v>104</v>
      </c>
      <c r="N15" s="4" t="s">
        <v>52</v>
      </c>
      <c r="O15" s="4" t="s">
        <v>125</v>
      </c>
      <c r="P15" s="4" t="s">
        <v>6</v>
      </c>
      <c r="Q15" s="50">
        <v>250</v>
      </c>
      <c r="R15" s="14" t="s">
        <v>140</v>
      </c>
      <c r="S15" s="33" t="s">
        <v>322</v>
      </c>
      <c r="T15" s="33"/>
    </row>
    <row r="16" spans="1:26" hidden="1" x14ac:dyDescent="0.25">
      <c r="A16" s="21" t="s">
        <v>77</v>
      </c>
      <c r="B16" s="69">
        <v>8</v>
      </c>
      <c r="C16" s="69">
        <v>1</v>
      </c>
      <c r="D16" s="69">
        <v>2018</v>
      </c>
      <c r="E16" s="60">
        <v>17</v>
      </c>
      <c r="F16" s="64">
        <v>0</v>
      </c>
      <c r="G16" s="60">
        <v>19</v>
      </c>
      <c r="H16" s="64">
        <v>0</v>
      </c>
      <c r="I16" s="4" t="s">
        <v>16</v>
      </c>
      <c r="J16" s="55">
        <v>2</v>
      </c>
      <c r="K16" s="4" t="s">
        <v>13</v>
      </c>
      <c r="L16" s="14" t="s">
        <v>24</v>
      </c>
      <c r="M16" s="14" t="s">
        <v>105</v>
      </c>
      <c r="N16" s="4" t="s">
        <v>52</v>
      </c>
      <c r="O16" s="4" t="s">
        <v>52</v>
      </c>
      <c r="P16" s="4" t="s">
        <v>6</v>
      </c>
      <c r="Q16" s="50">
        <v>250</v>
      </c>
      <c r="R16" s="14" t="s">
        <v>142</v>
      </c>
      <c r="S16" s="33" t="s">
        <v>322</v>
      </c>
      <c r="T16" s="33"/>
    </row>
    <row r="17" spans="1:26" hidden="1" x14ac:dyDescent="0.25">
      <c r="A17" s="21" t="s">
        <v>77</v>
      </c>
      <c r="B17" s="69">
        <v>8</v>
      </c>
      <c r="C17" s="69">
        <v>1</v>
      </c>
      <c r="D17" s="69">
        <v>2018</v>
      </c>
      <c r="E17" s="60">
        <v>21</v>
      </c>
      <c r="F17" s="64">
        <v>0</v>
      </c>
      <c r="G17" s="60">
        <v>22</v>
      </c>
      <c r="H17" s="64">
        <v>0</v>
      </c>
      <c r="I17" s="4" t="s">
        <v>16</v>
      </c>
      <c r="J17" s="55">
        <v>1</v>
      </c>
      <c r="K17" s="4" t="s">
        <v>13</v>
      </c>
      <c r="L17" s="14" t="s">
        <v>90</v>
      </c>
      <c r="M17" s="14" t="s">
        <v>609</v>
      </c>
      <c r="N17" s="4" t="s">
        <v>418</v>
      </c>
      <c r="P17" s="4" t="s">
        <v>6</v>
      </c>
      <c r="R17" s="14" t="s">
        <v>143</v>
      </c>
      <c r="S17" s="33" t="s">
        <v>322</v>
      </c>
      <c r="T17" s="33"/>
    </row>
    <row r="18" spans="1:26" x14ac:dyDescent="0.25">
      <c r="A18" s="21" t="s">
        <v>78</v>
      </c>
      <c r="B18" s="69">
        <v>9</v>
      </c>
      <c r="C18" s="69">
        <v>1</v>
      </c>
      <c r="D18" s="69">
        <v>2018</v>
      </c>
      <c r="E18" s="60">
        <v>8</v>
      </c>
      <c r="F18" s="64">
        <v>0</v>
      </c>
      <c r="G18" s="60">
        <v>12</v>
      </c>
      <c r="H18" s="64">
        <v>0</v>
      </c>
      <c r="I18" s="4" t="s">
        <v>16</v>
      </c>
      <c r="J18" s="55">
        <v>4</v>
      </c>
      <c r="K18" s="4" t="s">
        <v>12</v>
      </c>
      <c r="L18" s="14" t="s">
        <v>50</v>
      </c>
      <c r="M18" s="14" t="s">
        <v>51</v>
      </c>
      <c r="N18" s="4" t="s">
        <v>52</v>
      </c>
      <c r="O18" s="4" t="s">
        <v>53</v>
      </c>
      <c r="P18" s="4" t="s">
        <v>6</v>
      </c>
      <c r="Q18" s="50">
        <v>475</v>
      </c>
      <c r="R18" s="14" t="s">
        <v>146</v>
      </c>
      <c r="S18" s="33" t="s">
        <v>322</v>
      </c>
      <c r="T18" s="27"/>
      <c r="U18" s="45"/>
      <c r="V18" s="45"/>
      <c r="W18" s="143">
        <f>SUBTOTAL(9,W10:W17)</f>
        <v>0</v>
      </c>
      <c r="X18" s="143">
        <f>SUBTOTAL(9,X10:X17)</f>
        <v>0</v>
      </c>
      <c r="Y18" s="143">
        <f>SUBTOTAL(9,Y10:Y17)</f>
        <v>0</v>
      </c>
      <c r="Z18" s="143">
        <f>SUBTOTAL(9,Z10:Z17)</f>
        <v>0</v>
      </c>
    </row>
    <row r="19" spans="1:26" hidden="1" x14ac:dyDescent="0.25">
      <c r="A19" s="23" t="s">
        <v>84</v>
      </c>
      <c r="B19" s="69">
        <v>9</v>
      </c>
      <c r="C19" s="69">
        <v>1</v>
      </c>
      <c r="D19" s="69">
        <v>2018</v>
      </c>
      <c r="E19" s="60">
        <v>10</v>
      </c>
      <c r="F19" s="64">
        <v>0</v>
      </c>
      <c r="G19" s="60">
        <v>13</v>
      </c>
      <c r="H19" s="64">
        <v>30</v>
      </c>
      <c r="I19" s="4" t="s">
        <v>7</v>
      </c>
      <c r="J19" s="55">
        <v>3.5</v>
      </c>
      <c r="K19" s="4" t="s">
        <v>13</v>
      </c>
      <c r="L19" s="14" t="s">
        <v>91</v>
      </c>
      <c r="M19" s="14" t="s">
        <v>106</v>
      </c>
      <c r="N19" s="4" t="s">
        <v>52</v>
      </c>
      <c r="O19" s="4" t="s">
        <v>126</v>
      </c>
      <c r="P19" s="4" t="s">
        <v>21</v>
      </c>
      <c r="Q19" s="50">
        <v>437.5</v>
      </c>
      <c r="R19" s="14" t="s">
        <v>144</v>
      </c>
      <c r="S19" s="33" t="s">
        <v>322</v>
      </c>
      <c r="T19" s="33"/>
    </row>
    <row r="20" spans="1:26" x14ac:dyDescent="0.25">
      <c r="A20" s="21" t="s">
        <v>78</v>
      </c>
      <c r="B20" s="69">
        <v>9</v>
      </c>
      <c r="C20" s="69">
        <v>1</v>
      </c>
      <c r="D20" s="69">
        <v>2018</v>
      </c>
      <c r="E20" s="60">
        <v>13</v>
      </c>
      <c r="F20" s="64">
        <v>0</v>
      </c>
      <c r="G20" s="60">
        <v>17</v>
      </c>
      <c r="H20" s="64">
        <v>0</v>
      </c>
      <c r="I20" s="4" t="s">
        <v>7</v>
      </c>
      <c r="J20" s="55">
        <v>4</v>
      </c>
      <c r="K20" s="4" t="s">
        <v>12</v>
      </c>
      <c r="L20" s="14" t="s">
        <v>50</v>
      </c>
      <c r="M20" s="14" t="s">
        <v>51</v>
      </c>
      <c r="N20" s="4" t="s">
        <v>52</v>
      </c>
      <c r="O20" s="4" t="s">
        <v>53</v>
      </c>
      <c r="P20" s="4" t="s">
        <v>6</v>
      </c>
      <c r="Q20" s="50">
        <v>575</v>
      </c>
      <c r="R20" s="14" t="s">
        <v>124</v>
      </c>
      <c r="S20" s="33" t="s">
        <v>322</v>
      </c>
      <c r="T20" s="33"/>
    </row>
    <row r="21" spans="1:26" hidden="1" x14ac:dyDescent="0.25">
      <c r="A21" s="23" t="s">
        <v>84</v>
      </c>
      <c r="B21" s="69">
        <v>9</v>
      </c>
      <c r="C21" s="69">
        <v>1</v>
      </c>
      <c r="D21" s="69">
        <v>2018</v>
      </c>
      <c r="E21" s="60">
        <v>15</v>
      </c>
      <c r="F21" s="64">
        <v>30</v>
      </c>
      <c r="G21" s="60">
        <v>17</v>
      </c>
      <c r="H21" s="64">
        <v>0</v>
      </c>
      <c r="I21" s="4" t="s">
        <v>16</v>
      </c>
      <c r="J21" s="55">
        <v>2.5</v>
      </c>
      <c r="K21" s="4" t="s">
        <v>13</v>
      </c>
      <c r="L21" s="14" t="s">
        <v>92</v>
      </c>
      <c r="M21" s="14" t="s">
        <v>107</v>
      </c>
      <c r="N21" s="4" t="s">
        <v>52</v>
      </c>
      <c r="O21" s="4" t="s">
        <v>127</v>
      </c>
      <c r="P21" s="4" t="s">
        <v>21</v>
      </c>
      <c r="Q21" s="50">
        <v>878</v>
      </c>
      <c r="R21" s="14" t="s">
        <v>145</v>
      </c>
      <c r="S21" s="33" t="s">
        <v>322</v>
      </c>
      <c r="T21" s="33"/>
    </row>
    <row r="22" spans="1:26" hidden="1" x14ac:dyDescent="0.25">
      <c r="A22" s="21" t="s">
        <v>78</v>
      </c>
      <c r="B22" s="69">
        <v>9</v>
      </c>
      <c r="C22" s="69">
        <v>1</v>
      </c>
      <c r="D22" s="69">
        <v>2018</v>
      </c>
      <c r="E22" s="60">
        <v>15</v>
      </c>
      <c r="F22" s="64">
        <v>30</v>
      </c>
      <c r="G22" s="60">
        <v>18</v>
      </c>
      <c r="H22" s="64">
        <v>30</v>
      </c>
      <c r="I22" s="4" t="s">
        <v>7</v>
      </c>
      <c r="J22" s="55">
        <v>3</v>
      </c>
      <c r="K22" s="4" t="s">
        <v>13</v>
      </c>
      <c r="L22" s="14" t="s">
        <v>92</v>
      </c>
      <c r="M22" s="14" t="s">
        <v>107</v>
      </c>
      <c r="N22" s="4" t="s">
        <v>52</v>
      </c>
      <c r="O22" s="4" t="s">
        <v>127</v>
      </c>
      <c r="P22" s="4" t="s">
        <v>21</v>
      </c>
      <c r="Q22" s="50">
        <v>0</v>
      </c>
      <c r="R22" s="14" t="s">
        <v>147</v>
      </c>
      <c r="S22" s="33" t="s">
        <v>322</v>
      </c>
      <c r="T22" s="33"/>
    </row>
    <row r="23" spans="1:26" hidden="1" x14ac:dyDescent="0.25">
      <c r="A23" s="21" t="s">
        <v>79</v>
      </c>
      <c r="B23" s="69" t="s">
        <v>55</v>
      </c>
      <c r="C23" s="69">
        <v>1</v>
      </c>
      <c r="D23" s="69">
        <v>2018</v>
      </c>
      <c r="E23" s="60">
        <v>9</v>
      </c>
      <c r="F23" s="64">
        <v>0</v>
      </c>
      <c r="G23" s="60">
        <v>17</v>
      </c>
      <c r="H23" s="64">
        <v>0</v>
      </c>
      <c r="I23" s="4" t="s">
        <v>7</v>
      </c>
      <c r="J23" s="55">
        <v>8</v>
      </c>
      <c r="K23" s="4" t="s">
        <v>13</v>
      </c>
      <c r="L23" s="14" t="s">
        <v>93</v>
      </c>
      <c r="M23" s="14" t="s">
        <v>108</v>
      </c>
      <c r="N23" s="4" t="s">
        <v>52</v>
      </c>
      <c r="O23" s="4" t="s">
        <v>128</v>
      </c>
      <c r="P23" s="4" t="s">
        <v>21</v>
      </c>
      <c r="Q23" s="50">
        <v>1446.14</v>
      </c>
      <c r="S23" s="33" t="s">
        <v>322</v>
      </c>
      <c r="T23" s="33"/>
    </row>
    <row r="24" spans="1:26" hidden="1" x14ac:dyDescent="0.25">
      <c r="A24" s="21" t="s">
        <v>79</v>
      </c>
      <c r="B24" s="69" t="s">
        <v>55</v>
      </c>
      <c r="C24" s="69">
        <v>1</v>
      </c>
      <c r="D24" s="69">
        <v>2018</v>
      </c>
      <c r="E24" s="60">
        <v>9</v>
      </c>
      <c r="F24" s="64">
        <v>0</v>
      </c>
      <c r="G24" s="60">
        <v>12</v>
      </c>
      <c r="H24" s="64">
        <v>0</v>
      </c>
      <c r="I24" s="4" t="s">
        <v>16</v>
      </c>
      <c r="J24" s="55">
        <v>3</v>
      </c>
      <c r="K24" s="4" t="s">
        <v>13</v>
      </c>
      <c r="L24" s="14" t="s">
        <v>24</v>
      </c>
      <c r="M24" s="14" t="s">
        <v>105</v>
      </c>
      <c r="N24" s="4" t="s">
        <v>52</v>
      </c>
      <c r="O24" s="4" t="s">
        <v>52</v>
      </c>
      <c r="P24" s="4" t="s">
        <v>6</v>
      </c>
      <c r="Q24" s="50">
        <v>375</v>
      </c>
      <c r="R24" s="14" t="s">
        <v>148</v>
      </c>
      <c r="S24" s="33" t="s">
        <v>322</v>
      </c>
      <c r="T24" s="33"/>
    </row>
    <row r="25" spans="1:26" hidden="1" x14ac:dyDescent="0.25">
      <c r="A25" s="21" t="s">
        <v>79</v>
      </c>
      <c r="B25" s="69" t="s">
        <v>55</v>
      </c>
      <c r="C25" s="69">
        <v>1</v>
      </c>
      <c r="D25" s="69">
        <v>2018</v>
      </c>
      <c r="E25" s="60">
        <v>13</v>
      </c>
      <c r="F25" s="64">
        <v>0</v>
      </c>
      <c r="G25" s="60">
        <v>17</v>
      </c>
      <c r="H25" s="64">
        <v>0</v>
      </c>
      <c r="I25" s="4" t="s">
        <v>7</v>
      </c>
      <c r="J25" s="55">
        <v>4</v>
      </c>
      <c r="K25" s="4" t="s">
        <v>12</v>
      </c>
      <c r="L25" s="14" t="s">
        <v>24</v>
      </c>
      <c r="M25" s="14" t="s">
        <v>105</v>
      </c>
      <c r="N25" s="4" t="s">
        <v>52</v>
      </c>
      <c r="O25" s="4" t="s">
        <v>52</v>
      </c>
      <c r="P25" s="4" t="s">
        <v>6</v>
      </c>
      <c r="Q25" s="50">
        <v>600</v>
      </c>
      <c r="R25" s="14" t="s">
        <v>149</v>
      </c>
      <c r="S25" s="33" t="s">
        <v>322</v>
      </c>
      <c r="T25" s="33"/>
    </row>
    <row r="26" spans="1:26" hidden="1" x14ac:dyDescent="0.25">
      <c r="A26" s="23" t="s">
        <v>85</v>
      </c>
      <c r="B26" s="69" t="s">
        <v>56</v>
      </c>
      <c r="C26" s="69">
        <v>1</v>
      </c>
      <c r="D26" s="69">
        <v>2018</v>
      </c>
      <c r="E26" s="60">
        <v>9</v>
      </c>
      <c r="F26" s="64">
        <v>0</v>
      </c>
      <c r="G26" s="60">
        <v>10</v>
      </c>
      <c r="H26" s="64">
        <v>0</v>
      </c>
      <c r="I26" s="4" t="s">
        <v>16</v>
      </c>
      <c r="J26" s="55">
        <v>1</v>
      </c>
      <c r="K26" s="4" t="s">
        <v>13</v>
      </c>
      <c r="L26" s="14" t="s">
        <v>5</v>
      </c>
      <c r="M26" s="14" t="s">
        <v>104</v>
      </c>
      <c r="N26" s="4" t="s">
        <v>52</v>
      </c>
      <c r="O26" s="4" t="s">
        <v>125</v>
      </c>
      <c r="P26" s="4" t="s">
        <v>21</v>
      </c>
      <c r="Q26" s="50">
        <v>118.75</v>
      </c>
      <c r="R26" s="14" t="s">
        <v>150</v>
      </c>
      <c r="S26" s="33" t="s">
        <v>322</v>
      </c>
      <c r="T26" s="33"/>
    </row>
    <row r="27" spans="1:26" hidden="1" x14ac:dyDescent="0.25">
      <c r="A27" s="21" t="s">
        <v>80</v>
      </c>
      <c r="B27" s="69" t="s">
        <v>56</v>
      </c>
      <c r="C27" s="69">
        <v>1</v>
      </c>
      <c r="D27" s="69">
        <v>2018</v>
      </c>
      <c r="E27" s="60">
        <v>9</v>
      </c>
      <c r="F27" s="64">
        <v>0</v>
      </c>
      <c r="G27" s="60">
        <v>13</v>
      </c>
      <c r="H27" s="64">
        <v>0</v>
      </c>
      <c r="I27" s="4" t="s">
        <v>7</v>
      </c>
      <c r="J27" s="55">
        <v>4</v>
      </c>
      <c r="K27" s="4" t="s">
        <v>12</v>
      </c>
      <c r="L27" s="14" t="s">
        <v>5</v>
      </c>
      <c r="M27" s="14" t="s">
        <v>104</v>
      </c>
      <c r="N27" s="4" t="s">
        <v>52</v>
      </c>
      <c r="O27" s="4" t="s">
        <v>125</v>
      </c>
      <c r="P27" s="4" t="s">
        <v>6</v>
      </c>
      <c r="Q27" s="50">
        <v>575</v>
      </c>
      <c r="R27" s="14" t="s">
        <v>151</v>
      </c>
      <c r="S27" s="33" t="s">
        <v>322</v>
      </c>
      <c r="T27" s="33"/>
    </row>
    <row r="28" spans="1:26" hidden="1" x14ac:dyDescent="0.25">
      <c r="A28" s="21" t="s">
        <v>80</v>
      </c>
      <c r="B28" s="69" t="s">
        <v>56</v>
      </c>
      <c r="C28" s="69">
        <v>1</v>
      </c>
      <c r="D28" s="69">
        <v>2018</v>
      </c>
      <c r="E28" s="60">
        <v>14</v>
      </c>
      <c r="F28" s="64">
        <v>0</v>
      </c>
      <c r="G28" s="60">
        <v>17</v>
      </c>
      <c r="H28" s="64">
        <v>0</v>
      </c>
      <c r="I28" s="4" t="s">
        <v>7</v>
      </c>
      <c r="J28" s="55">
        <v>3</v>
      </c>
      <c r="K28" s="4" t="s">
        <v>13</v>
      </c>
      <c r="L28" s="14" t="s">
        <v>94</v>
      </c>
      <c r="M28" s="14" t="s">
        <v>109</v>
      </c>
      <c r="N28" s="4" t="s">
        <v>123</v>
      </c>
      <c r="O28" s="4" t="s">
        <v>129</v>
      </c>
      <c r="P28" s="4" t="s">
        <v>6</v>
      </c>
      <c r="Q28" s="50">
        <v>300</v>
      </c>
      <c r="R28" s="14" t="s">
        <v>152</v>
      </c>
      <c r="S28" s="33" t="s">
        <v>322</v>
      </c>
      <c r="T28" s="33"/>
    </row>
    <row r="29" spans="1:26" hidden="1" x14ac:dyDescent="0.25">
      <c r="A29" s="21" t="s">
        <v>81</v>
      </c>
      <c r="B29" s="69" t="s">
        <v>57</v>
      </c>
      <c r="C29" s="69">
        <v>1</v>
      </c>
      <c r="D29" s="69">
        <v>2018</v>
      </c>
      <c r="E29" s="60">
        <v>8</v>
      </c>
      <c r="F29" s="64">
        <v>0</v>
      </c>
      <c r="G29" s="60">
        <v>12</v>
      </c>
      <c r="H29" s="64">
        <v>0</v>
      </c>
      <c r="I29" s="4" t="s">
        <v>16</v>
      </c>
      <c r="J29" s="55">
        <v>4</v>
      </c>
      <c r="K29" s="4" t="s">
        <v>13</v>
      </c>
      <c r="L29" s="14" t="s">
        <v>90</v>
      </c>
      <c r="M29" s="14" t="s">
        <v>609</v>
      </c>
      <c r="N29" s="4" t="s">
        <v>418</v>
      </c>
      <c r="P29" s="4" t="s">
        <v>6</v>
      </c>
      <c r="R29" s="14" t="s">
        <v>154</v>
      </c>
      <c r="S29" s="33" t="s">
        <v>322</v>
      </c>
      <c r="T29" s="33"/>
    </row>
    <row r="30" spans="1:26" hidden="1" x14ac:dyDescent="0.25">
      <c r="A30" s="23" t="s">
        <v>86</v>
      </c>
      <c r="B30" s="69" t="s">
        <v>57</v>
      </c>
      <c r="C30" s="69">
        <v>1</v>
      </c>
      <c r="D30" s="69">
        <v>2018</v>
      </c>
      <c r="E30" s="60">
        <v>10</v>
      </c>
      <c r="F30" s="64">
        <v>0</v>
      </c>
      <c r="G30" s="60">
        <v>13</v>
      </c>
      <c r="H30" s="64">
        <v>30</v>
      </c>
      <c r="I30" s="4" t="s">
        <v>7</v>
      </c>
      <c r="J30" s="55">
        <v>3.5</v>
      </c>
      <c r="K30" s="4" t="s">
        <v>13</v>
      </c>
      <c r="L30" s="14" t="s">
        <v>95</v>
      </c>
      <c r="M30" s="14" t="s">
        <v>110</v>
      </c>
      <c r="N30" s="4" t="s">
        <v>610</v>
      </c>
      <c r="O30" s="4" t="s">
        <v>126</v>
      </c>
      <c r="P30" s="4" t="s">
        <v>21</v>
      </c>
      <c r="Q30" s="50">
        <v>579.04</v>
      </c>
      <c r="S30" s="33" t="s">
        <v>322</v>
      </c>
      <c r="T30" s="33"/>
    </row>
    <row r="31" spans="1:26" hidden="1" x14ac:dyDescent="0.25">
      <c r="A31" s="21" t="s">
        <v>81</v>
      </c>
      <c r="B31" s="69" t="s">
        <v>57</v>
      </c>
      <c r="C31" s="69">
        <v>1</v>
      </c>
      <c r="D31" s="69">
        <v>2018</v>
      </c>
      <c r="E31" s="60">
        <v>13</v>
      </c>
      <c r="F31" s="64">
        <v>0</v>
      </c>
      <c r="G31" s="60">
        <v>17</v>
      </c>
      <c r="H31" s="64">
        <v>0</v>
      </c>
      <c r="I31" s="4" t="s">
        <v>7</v>
      </c>
      <c r="J31" s="55">
        <v>4</v>
      </c>
      <c r="K31" s="4" t="s">
        <v>12</v>
      </c>
      <c r="L31" s="14" t="s">
        <v>5</v>
      </c>
      <c r="M31" s="14" t="s">
        <v>104</v>
      </c>
      <c r="N31" s="4" t="s">
        <v>52</v>
      </c>
      <c r="O31" s="4" t="s">
        <v>125</v>
      </c>
      <c r="P31" s="4" t="s">
        <v>6</v>
      </c>
      <c r="Q31" s="50">
        <v>575</v>
      </c>
      <c r="R31" s="14" t="s">
        <v>155</v>
      </c>
      <c r="S31" s="33" t="s">
        <v>322</v>
      </c>
      <c r="T31" s="33"/>
    </row>
    <row r="32" spans="1:26" hidden="1" x14ac:dyDescent="0.25">
      <c r="A32" s="22" t="s">
        <v>86</v>
      </c>
      <c r="B32" s="69" t="s">
        <v>57</v>
      </c>
      <c r="C32" s="69">
        <v>1</v>
      </c>
      <c r="D32" s="69">
        <v>2018</v>
      </c>
      <c r="E32" s="60">
        <v>15</v>
      </c>
      <c r="F32" s="64">
        <v>0</v>
      </c>
      <c r="G32" s="60">
        <v>19</v>
      </c>
      <c r="H32" s="64">
        <v>0</v>
      </c>
      <c r="I32" s="4" t="s">
        <v>16</v>
      </c>
      <c r="J32" s="55">
        <v>4</v>
      </c>
      <c r="K32" s="4" t="s">
        <v>12</v>
      </c>
      <c r="L32" s="14" t="s">
        <v>92</v>
      </c>
      <c r="M32" s="14" t="s">
        <v>107</v>
      </c>
      <c r="N32" s="4" t="s">
        <v>52</v>
      </c>
      <c r="O32" s="4" t="s">
        <v>127</v>
      </c>
      <c r="P32" s="4" t="s">
        <v>21</v>
      </c>
      <c r="Q32" s="50">
        <v>0</v>
      </c>
      <c r="R32" s="14" t="s">
        <v>153</v>
      </c>
      <c r="S32" s="33" t="s">
        <v>322</v>
      </c>
      <c r="T32" s="33"/>
    </row>
    <row r="33" spans="1:20" hidden="1" x14ac:dyDescent="0.25">
      <c r="A33" s="23" t="s">
        <v>82</v>
      </c>
      <c r="B33" s="69" t="s">
        <v>58</v>
      </c>
      <c r="C33" s="69">
        <v>1</v>
      </c>
      <c r="D33" s="69">
        <v>2018</v>
      </c>
      <c r="E33" s="60">
        <v>8</v>
      </c>
      <c r="F33" s="64">
        <v>0</v>
      </c>
      <c r="G33" s="60">
        <v>11</v>
      </c>
      <c r="H33" s="64">
        <v>0</v>
      </c>
      <c r="I33" s="4" t="s">
        <v>16</v>
      </c>
      <c r="J33" s="55">
        <v>3</v>
      </c>
      <c r="K33" s="4" t="s">
        <v>13</v>
      </c>
      <c r="L33" s="14" t="s">
        <v>90</v>
      </c>
      <c r="M33" s="14" t="s">
        <v>609</v>
      </c>
      <c r="N33" s="4" t="s">
        <v>418</v>
      </c>
      <c r="P33" s="4" t="s">
        <v>6</v>
      </c>
      <c r="R33" s="14" t="s">
        <v>156</v>
      </c>
      <c r="S33" s="33" t="s">
        <v>322</v>
      </c>
      <c r="T33" s="33"/>
    </row>
    <row r="34" spans="1:20" hidden="1" x14ac:dyDescent="0.25">
      <c r="A34" s="23" t="s">
        <v>83</v>
      </c>
      <c r="B34" s="71" t="s">
        <v>59</v>
      </c>
      <c r="C34" s="71">
        <v>1</v>
      </c>
      <c r="D34" s="69">
        <v>2018</v>
      </c>
      <c r="E34" s="60">
        <v>10</v>
      </c>
      <c r="F34" s="64">
        <v>0</v>
      </c>
      <c r="G34" s="60">
        <v>13</v>
      </c>
      <c r="H34" s="64">
        <v>0</v>
      </c>
      <c r="I34" s="4" t="s">
        <v>16</v>
      </c>
      <c r="J34" s="55">
        <v>3</v>
      </c>
      <c r="K34" s="4" t="s">
        <v>13</v>
      </c>
      <c r="L34" s="14" t="s">
        <v>96</v>
      </c>
      <c r="M34" s="14" t="s">
        <v>105</v>
      </c>
      <c r="N34" s="4" t="s">
        <v>52</v>
      </c>
      <c r="O34" s="4" t="s">
        <v>52</v>
      </c>
      <c r="P34" s="4" t="s">
        <v>6</v>
      </c>
      <c r="Q34" s="50">
        <v>375</v>
      </c>
      <c r="R34" s="14" t="s">
        <v>157</v>
      </c>
      <c r="S34" s="33" t="s">
        <v>322</v>
      </c>
      <c r="T34" s="33"/>
    </row>
    <row r="35" spans="1:20" hidden="1" x14ac:dyDescent="0.25">
      <c r="A35" s="23" t="s">
        <v>77</v>
      </c>
      <c r="B35" s="69" t="s">
        <v>60</v>
      </c>
      <c r="C35" s="69">
        <v>1</v>
      </c>
      <c r="D35" s="69">
        <v>2018</v>
      </c>
      <c r="E35" s="60">
        <v>7</v>
      </c>
      <c r="F35" s="64">
        <v>0</v>
      </c>
      <c r="G35" s="60">
        <v>16</v>
      </c>
      <c r="H35" s="64">
        <v>0</v>
      </c>
      <c r="I35" s="4" t="s">
        <v>7</v>
      </c>
      <c r="J35" s="55">
        <v>8</v>
      </c>
      <c r="K35" s="4" t="s">
        <v>687</v>
      </c>
      <c r="L35" s="14" t="s">
        <v>5</v>
      </c>
      <c r="M35" s="14" t="s">
        <v>104</v>
      </c>
      <c r="N35" s="4" t="s">
        <v>52</v>
      </c>
      <c r="O35" s="4" t="s">
        <v>125</v>
      </c>
      <c r="P35" s="4" t="s">
        <v>133</v>
      </c>
      <c r="Q35" s="50">
        <v>750</v>
      </c>
      <c r="R35" s="14" t="s">
        <v>124</v>
      </c>
      <c r="S35" s="33" t="s">
        <v>322</v>
      </c>
      <c r="T35" s="33"/>
    </row>
    <row r="36" spans="1:20" hidden="1" x14ac:dyDescent="0.25">
      <c r="A36" s="21" t="s">
        <v>77</v>
      </c>
      <c r="B36" s="69" t="s">
        <v>60</v>
      </c>
      <c r="C36" s="69">
        <v>1</v>
      </c>
      <c r="D36" s="69">
        <v>2018</v>
      </c>
      <c r="E36" s="60">
        <v>8</v>
      </c>
      <c r="F36" s="64">
        <v>0</v>
      </c>
      <c r="G36" s="60">
        <v>16</v>
      </c>
      <c r="H36" s="64">
        <v>0</v>
      </c>
      <c r="I36" s="4" t="s">
        <v>7</v>
      </c>
      <c r="J36" s="55">
        <v>8</v>
      </c>
      <c r="K36" s="4" t="s">
        <v>687</v>
      </c>
      <c r="L36" s="14" t="s">
        <v>5</v>
      </c>
      <c r="M36" s="14" t="s">
        <v>104</v>
      </c>
      <c r="N36" s="4" t="s">
        <v>52</v>
      </c>
      <c r="O36" s="4" t="s">
        <v>125</v>
      </c>
      <c r="P36" s="4" t="s">
        <v>6</v>
      </c>
      <c r="Q36" s="50">
        <v>1050</v>
      </c>
      <c r="R36" s="14" t="s">
        <v>159</v>
      </c>
      <c r="S36" s="33" t="s">
        <v>322</v>
      </c>
      <c r="T36" s="33"/>
    </row>
    <row r="37" spans="1:20" hidden="1" x14ac:dyDescent="0.25">
      <c r="A37" s="23" t="s">
        <v>87</v>
      </c>
      <c r="B37" s="69" t="s">
        <v>60</v>
      </c>
      <c r="C37" s="69">
        <v>1</v>
      </c>
      <c r="D37" s="69">
        <v>2018</v>
      </c>
      <c r="E37" s="60">
        <v>14</v>
      </c>
      <c r="F37" s="64">
        <v>0</v>
      </c>
      <c r="G37" s="60">
        <v>16</v>
      </c>
      <c r="H37" s="64">
        <v>30</v>
      </c>
      <c r="I37" s="4" t="s">
        <v>7</v>
      </c>
      <c r="J37" s="55">
        <v>2.5</v>
      </c>
      <c r="K37" s="4" t="s">
        <v>13</v>
      </c>
      <c r="L37" s="14" t="s">
        <v>91</v>
      </c>
      <c r="M37" s="14" t="s">
        <v>106</v>
      </c>
      <c r="N37" s="4" t="s">
        <v>610</v>
      </c>
      <c r="O37" s="4" t="s">
        <v>126</v>
      </c>
      <c r="P37" s="4" t="s">
        <v>21</v>
      </c>
      <c r="Q37" s="50">
        <v>312.5</v>
      </c>
      <c r="S37" s="33" t="s">
        <v>322</v>
      </c>
      <c r="T37" s="33"/>
    </row>
    <row r="38" spans="1:20" hidden="1" x14ac:dyDescent="0.25">
      <c r="A38" s="22" t="s">
        <v>87</v>
      </c>
      <c r="B38" s="69" t="s">
        <v>60</v>
      </c>
      <c r="C38" s="69">
        <v>1</v>
      </c>
      <c r="D38" s="69">
        <v>2018</v>
      </c>
      <c r="E38" s="60">
        <v>19</v>
      </c>
      <c r="F38" s="64">
        <v>0</v>
      </c>
      <c r="G38" s="60">
        <v>21</v>
      </c>
      <c r="H38" s="64">
        <v>45</v>
      </c>
      <c r="I38" s="4" t="s">
        <v>16</v>
      </c>
      <c r="J38" s="55">
        <v>2.75</v>
      </c>
      <c r="K38" s="4" t="s">
        <v>13</v>
      </c>
      <c r="L38" s="14" t="s">
        <v>97</v>
      </c>
      <c r="M38" s="14" t="s">
        <v>111</v>
      </c>
      <c r="N38" s="4" t="s">
        <v>52</v>
      </c>
      <c r="O38" s="4">
        <v>20</v>
      </c>
      <c r="P38" s="4" t="s">
        <v>21</v>
      </c>
      <c r="Q38" s="50">
        <v>343.75</v>
      </c>
      <c r="R38" s="14" t="s">
        <v>158</v>
      </c>
      <c r="S38" s="33" t="s">
        <v>322</v>
      </c>
      <c r="T38" s="33"/>
    </row>
    <row r="39" spans="1:20" hidden="1" x14ac:dyDescent="0.25">
      <c r="A39" s="23" t="s">
        <v>78</v>
      </c>
      <c r="B39" s="69" t="s">
        <v>61</v>
      </c>
      <c r="C39" s="69">
        <v>1</v>
      </c>
      <c r="D39" s="69">
        <v>2018</v>
      </c>
      <c r="E39" s="60">
        <v>7</v>
      </c>
      <c r="F39" s="64">
        <v>0</v>
      </c>
      <c r="G39" s="60">
        <v>16</v>
      </c>
      <c r="H39" s="64">
        <v>0</v>
      </c>
      <c r="I39" s="4" t="s">
        <v>7</v>
      </c>
      <c r="J39" s="55">
        <v>8</v>
      </c>
      <c r="K39" s="4" t="s">
        <v>687</v>
      </c>
      <c r="L39" s="14" t="s">
        <v>5</v>
      </c>
      <c r="M39" s="14" t="s">
        <v>104</v>
      </c>
      <c r="N39" s="4" t="s">
        <v>52</v>
      </c>
      <c r="O39" s="4" t="s">
        <v>125</v>
      </c>
      <c r="P39" s="4" t="s">
        <v>133</v>
      </c>
      <c r="Q39" s="50">
        <v>750</v>
      </c>
      <c r="R39" s="14" t="s">
        <v>124</v>
      </c>
      <c r="S39" s="33" t="s">
        <v>322</v>
      </c>
      <c r="T39" s="33"/>
    </row>
    <row r="40" spans="1:20" hidden="1" x14ac:dyDescent="0.25">
      <c r="A40" s="23" t="s">
        <v>78</v>
      </c>
      <c r="B40" s="69" t="s">
        <v>61</v>
      </c>
      <c r="C40" s="69">
        <v>1</v>
      </c>
      <c r="D40" s="69">
        <v>2018</v>
      </c>
      <c r="E40" s="60">
        <v>10</v>
      </c>
      <c r="F40" s="64">
        <v>0</v>
      </c>
      <c r="G40" s="60">
        <v>12</v>
      </c>
      <c r="H40" s="64">
        <v>0</v>
      </c>
      <c r="I40" s="4" t="s">
        <v>7</v>
      </c>
      <c r="J40" s="55">
        <v>3</v>
      </c>
      <c r="K40" s="4" t="s">
        <v>13</v>
      </c>
      <c r="L40" s="14" t="s">
        <v>94</v>
      </c>
      <c r="M40" s="14" t="s">
        <v>109</v>
      </c>
      <c r="N40" s="4" t="s">
        <v>123</v>
      </c>
      <c r="O40" s="4" t="s">
        <v>129</v>
      </c>
      <c r="P40" s="4" t="s">
        <v>6</v>
      </c>
      <c r="Q40" s="50">
        <v>300</v>
      </c>
      <c r="R40" s="14" t="s">
        <v>152</v>
      </c>
      <c r="S40" s="33" t="s">
        <v>322</v>
      </c>
      <c r="T40" s="33"/>
    </row>
    <row r="41" spans="1:20" hidden="1" x14ac:dyDescent="0.25">
      <c r="A41" s="21" t="s">
        <v>78</v>
      </c>
      <c r="B41" s="69" t="s">
        <v>61</v>
      </c>
      <c r="C41" s="69">
        <v>1</v>
      </c>
      <c r="D41" s="69">
        <v>2018</v>
      </c>
      <c r="E41" s="60">
        <v>13</v>
      </c>
      <c r="F41" s="64">
        <v>0</v>
      </c>
      <c r="G41" s="60">
        <v>17</v>
      </c>
      <c r="H41" s="64">
        <v>0</v>
      </c>
      <c r="I41" s="4" t="s">
        <v>7</v>
      </c>
      <c r="J41" s="55">
        <v>8</v>
      </c>
      <c r="K41" s="4" t="s">
        <v>687</v>
      </c>
      <c r="L41" s="14" t="s">
        <v>5</v>
      </c>
      <c r="M41" s="14" t="s">
        <v>104</v>
      </c>
      <c r="N41" s="4" t="s">
        <v>52</v>
      </c>
      <c r="O41" s="4" t="s">
        <v>125</v>
      </c>
      <c r="P41" s="4" t="s">
        <v>6</v>
      </c>
      <c r="Q41" s="50">
        <v>1050</v>
      </c>
      <c r="R41" s="14" t="s">
        <v>124</v>
      </c>
      <c r="S41" s="33" t="s">
        <v>322</v>
      </c>
      <c r="T41" s="33"/>
    </row>
    <row r="42" spans="1:20" hidden="1" x14ac:dyDescent="0.25">
      <c r="A42" s="23" t="s">
        <v>79</v>
      </c>
      <c r="B42" s="69" t="s">
        <v>62</v>
      </c>
      <c r="C42" s="69">
        <v>1</v>
      </c>
      <c r="D42" s="69">
        <v>2018</v>
      </c>
      <c r="E42" s="60">
        <v>7</v>
      </c>
      <c r="F42" s="64">
        <v>0</v>
      </c>
      <c r="G42" s="60">
        <v>16</v>
      </c>
      <c r="H42" s="64">
        <v>0</v>
      </c>
      <c r="I42" s="4" t="s">
        <v>7</v>
      </c>
      <c r="J42" s="55">
        <v>8</v>
      </c>
      <c r="K42" s="4" t="s">
        <v>687</v>
      </c>
      <c r="L42" s="14" t="s">
        <v>5</v>
      </c>
      <c r="M42" s="14" t="s">
        <v>104</v>
      </c>
      <c r="N42" s="4" t="s">
        <v>52</v>
      </c>
      <c r="O42" s="4" t="s">
        <v>125</v>
      </c>
      <c r="P42" s="4" t="s">
        <v>133</v>
      </c>
      <c r="Q42" s="50">
        <v>750</v>
      </c>
      <c r="R42" s="14" t="s">
        <v>124</v>
      </c>
      <c r="S42" s="33" t="s">
        <v>322</v>
      </c>
      <c r="T42" s="33"/>
    </row>
    <row r="43" spans="1:20" hidden="1" x14ac:dyDescent="0.25">
      <c r="A43" s="23" t="s">
        <v>79</v>
      </c>
      <c r="B43" s="69" t="s">
        <v>62</v>
      </c>
      <c r="C43" s="69">
        <v>1</v>
      </c>
      <c r="D43" s="69">
        <v>2018</v>
      </c>
      <c r="E43" s="60">
        <v>9</v>
      </c>
      <c r="F43" s="64">
        <v>0</v>
      </c>
      <c r="G43" s="60">
        <v>12</v>
      </c>
      <c r="H43" s="64">
        <v>0</v>
      </c>
      <c r="I43" s="4" t="s">
        <v>7</v>
      </c>
      <c r="J43" s="55">
        <v>3</v>
      </c>
      <c r="K43" s="4" t="s">
        <v>13</v>
      </c>
      <c r="L43" s="14" t="s">
        <v>94</v>
      </c>
      <c r="M43" s="14" t="s">
        <v>109</v>
      </c>
      <c r="N43" s="4" t="s">
        <v>52</v>
      </c>
      <c r="O43" s="4" t="s">
        <v>52</v>
      </c>
      <c r="P43" s="4" t="s">
        <v>6</v>
      </c>
      <c r="Q43" s="50">
        <v>300</v>
      </c>
      <c r="R43" s="14" t="s">
        <v>160</v>
      </c>
      <c r="S43" s="33" t="s">
        <v>322</v>
      </c>
      <c r="T43" s="33"/>
    </row>
    <row r="44" spans="1:20" hidden="1" x14ac:dyDescent="0.25">
      <c r="A44" s="23" t="s">
        <v>80</v>
      </c>
      <c r="B44" s="69" t="s">
        <v>63</v>
      </c>
      <c r="C44" s="69">
        <v>1</v>
      </c>
      <c r="D44" s="69">
        <v>2018</v>
      </c>
      <c r="E44" s="60">
        <v>7</v>
      </c>
      <c r="F44" s="64">
        <v>0</v>
      </c>
      <c r="G44" s="60">
        <v>16</v>
      </c>
      <c r="H44" s="64">
        <v>0</v>
      </c>
      <c r="I44" s="4" t="s">
        <v>7</v>
      </c>
      <c r="J44" s="55">
        <v>8</v>
      </c>
      <c r="K44" s="4" t="s">
        <v>687</v>
      </c>
      <c r="L44" s="14" t="s">
        <v>5</v>
      </c>
      <c r="M44" s="14" t="s">
        <v>104</v>
      </c>
      <c r="N44" s="4" t="s">
        <v>52</v>
      </c>
      <c r="O44" s="4" t="s">
        <v>125</v>
      </c>
      <c r="P44" s="4" t="s">
        <v>133</v>
      </c>
      <c r="Q44" s="50">
        <v>750</v>
      </c>
      <c r="R44" s="14" t="s">
        <v>124</v>
      </c>
      <c r="S44" s="33" t="s">
        <v>322</v>
      </c>
      <c r="T44" s="33"/>
    </row>
    <row r="45" spans="1:20" hidden="1" x14ac:dyDescent="0.25">
      <c r="A45" s="23" t="s">
        <v>80</v>
      </c>
      <c r="B45" s="69" t="s">
        <v>63</v>
      </c>
      <c r="C45" s="69">
        <v>1</v>
      </c>
      <c r="D45" s="69">
        <v>2018</v>
      </c>
      <c r="E45" s="60">
        <v>8</v>
      </c>
      <c r="F45" s="64">
        <v>0</v>
      </c>
      <c r="G45" s="60">
        <v>10</v>
      </c>
      <c r="H45" s="64">
        <v>0</v>
      </c>
      <c r="I45" s="4" t="s">
        <v>16</v>
      </c>
      <c r="J45" s="55">
        <v>2</v>
      </c>
      <c r="K45" s="4" t="s">
        <v>13</v>
      </c>
      <c r="L45" s="14" t="s">
        <v>24</v>
      </c>
      <c r="M45" s="14" t="s">
        <v>105</v>
      </c>
      <c r="N45" s="4" t="s">
        <v>52</v>
      </c>
      <c r="O45" s="4" t="s">
        <v>52</v>
      </c>
      <c r="P45" s="4" t="s">
        <v>6</v>
      </c>
      <c r="Q45" s="50">
        <v>250</v>
      </c>
      <c r="R45" s="14" t="s">
        <v>161</v>
      </c>
      <c r="S45" s="33" t="s">
        <v>322</v>
      </c>
      <c r="T45" s="33"/>
    </row>
    <row r="46" spans="1:20" hidden="1" x14ac:dyDescent="0.25">
      <c r="A46" s="23" t="s">
        <v>80</v>
      </c>
      <c r="B46" s="69" t="s">
        <v>63</v>
      </c>
      <c r="C46" s="69">
        <v>1</v>
      </c>
      <c r="D46" s="69">
        <v>2018</v>
      </c>
      <c r="E46" s="60">
        <v>15</v>
      </c>
      <c r="F46" s="64">
        <v>0</v>
      </c>
      <c r="G46" s="60">
        <v>17</v>
      </c>
      <c r="H46" s="64">
        <v>0</v>
      </c>
      <c r="I46" s="4" t="s">
        <v>16</v>
      </c>
      <c r="J46" s="55">
        <v>1</v>
      </c>
      <c r="K46" s="4" t="s">
        <v>13</v>
      </c>
      <c r="L46" s="14" t="s">
        <v>94</v>
      </c>
      <c r="M46" s="14" t="s">
        <v>109</v>
      </c>
      <c r="N46" s="4" t="s">
        <v>52</v>
      </c>
      <c r="O46" s="4" t="s">
        <v>52</v>
      </c>
      <c r="P46" s="4" t="s">
        <v>6</v>
      </c>
      <c r="Q46" s="50">
        <v>100</v>
      </c>
      <c r="R46" s="14" t="s">
        <v>162</v>
      </c>
      <c r="S46" s="33" t="s">
        <v>322</v>
      </c>
      <c r="T46" s="33"/>
    </row>
    <row r="47" spans="1:20" hidden="1" x14ac:dyDescent="0.25">
      <c r="A47" s="23" t="s">
        <v>49</v>
      </c>
      <c r="B47" s="69" t="s">
        <v>64</v>
      </c>
      <c r="C47" s="69">
        <v>1</v>
      </c>
      <c r="D47" s="69">
        <v>2018</v>
      </c>
      <c r="E47" s="60">
        <v>7</v>
      </c>
      <c r="F47" s="64">
        <v>0</v>
      </c>
      <c r="G47" s="60">
        <v>16</v>
      </c>
      <c r="H47" s="64">
        <v>0</v>
      </c>
      <c r="I47" s="4" t="s">
        <v>7</v>
      </c>
      <c r="J47" s="55">
        <v>8</v>
      </c>
      <c r="K47" s="4" t="s">
        <v>687</v>
      </c>
      <c r="L47" s="14" t="s">
        <v>5</v>
      </c>
      <c r="M47" s="14" t="s">
        <v>104</v>
      </c>
      <c r="N47" s="4" t="s">
        <v>52</v>
      </c>
      <c r="O47" s="4" t="s">
        <v>125</v>
      </c>
      <c r="P47" s="4" t="s">
        <v>133</v>
      </c>
      <c r="Q47" s="50">
        <v>750</v>
      </c>
      <c r="R47" s="14" t="s">
        <v>124</v>
      </c>
      <c r="S47" s="33" t="s">
        <v>322</v>
      </c>
      <c r="T47" s="33"/>
    </row>
    <row r="48" spans="1:20" hidden="1" x14ac:dyDescent="0.25">
      <c r="A48" s="23" t="s">
        <v>81</v>
      </c>
      <c r="B48" s="69" t="s">
        <v>64</v>
      </c>
      <c r="C48" s="69">
        <v>1</v>
      </c>
      <c r="D48" s="69">
        <v>2018</v>
      </c>
      <c r="E48" s="60">
        <v>9</v>
      </c>
      <c r="F48" s="64">
        <v>0</v>
      </c>
      <c r="G48" s="60">
        <v>17</v>
      </c>
      <c r="H48" s="64">
        <v>0</v>
      </c>
      <c r="I48" s="4" t="s">
        <v>16</v>
      </c>
      <c r="J48" s="55">
        <v>8</v>
      </c>
      <c r="K48" s="4" t="s">
        <v>687</v>
      </c>
      <c r="L48" s="14" t="s">
        <v>99</v>
      </c>
      <c r="M48" s="14" t="s">
        <v>609</v>
      </c>
      <c r="N48" s="4" t="s">
        <v>419</v>
      </c>
      <c r="P48" s="4" t="s">
        <v>6</v>
      </c>
      <c r="S48" s="33" t="s">
        <v>322</v>
      </c>
      <c r="T48" s="33"/>
    </row>
    <row r="49" spans="1:26" hidden="1" x14ac:dyDescent="0.25">
      <c r="A49" s="23" t="s">
        <v>77</v>
      </c>
      <c r="B49" s="69" t="s">
        <v>67</v>
      </c>
      <c r="C49" s="69">
        <v>1</v>
      </c>
      <c r="D49" s="69">
        <v>2018</v>
      </c>
      <c r="E49" s="60">
        <v>7</v>
      </c>
      <c r="F49" s="64">
        <v>0</v>
      </c>
      <c r="G49" s="60">
        <v>16</v>
      </c>
      <c r="H49" s="64">
        <v>0</v>
      </c>
      <c r="I49" s="4" t="s">
        <v>7</v>
      </c>
      <c r="J49" s="55">
        <v>8</v>
      </c>
      <c r="K49" s="4" t="s">
        <v>687</v>
      </c>
      <c r="L49" s="14" t="s">
        <v>5</v>
      </c>
      <c r="M49" s="14" t="s">
        <v>104</v>
      </c>
      <c r="N49" s="4" t="s">
        <v>52</v>
      </c>
      <c r="O49" s="4" t="s">
        <v>125</v>
      </c>
      <c r="P49" s="4" t="s">
        <v>133</v>
      </c>
      <c r="Q49" s="50">
        <v>750</v>
      </c>
      <c r="R49" s="14" t="s">
        <v>124</v>
      </c>
      <c r="S49" s="33" t="s">
        <v>322</v>
      </c>
      <c r="T49" s="33"/>
    </row>
    <row r="50" spans="1:26" hidden="1" x14ac:dyDescent="0.25">
      <c r="A50" s="23" t="s">
        <v>77</v>
      </c>
      <c r="B50" s="69" t="s">
        <v>67</v>
      </c>
      <c r="C50" s="69">
        <v>1</v>
      </c>
      <c r="D50" s="69">
        <v>2018</v>
      </c>
      <c r="E50" s="60">
        <v>10</v>
      </c>
      <c r="F50" s="64">
        <v>0</v>
      </c>
      <c r="G50" s="60">
        <v>12</v>
      </c>
      <c r="H50" s="64">
        <v>0</v>
      </c>
      <c r="I50" s="4" t="s">
        <v>7</v>
      </c>
      <c r="J50" s="55">
        <v>3</v>
      </c>
      <c r="K50" s="4" t="s">
        <v>13</v>
      </c>
      <c r="L50" s="14" t="s">
        <v>94</v>
      </c>
      <c r="M50" s="14" t="s">
        <v>109</v>
      </c>
      <c r="N50" s="4" t="s">
        <v>123</v>
      </c>
      <c r="O50" s="4" t="s">
        <v>129</v>
      </c>
      <c r="P50" s="4" t="s">
        <v>6</v>
      </c>
      <c r="Q50" s="50">
        <v>300</v>
      </c>
      <c r="R50" s="14" t="s">
        <v>152</v>
      </c>
      <c r="S50" s="33" t="s">
        <v>322</v>
      </c>
      <c r="T50" s="33"/>
    </row>
    <row r="51" spans="1:26" hidden="1" x14ac:dyDescent="0.25">
      <c r="A51" s="23" t="s">
        <v>77</v>
      </c>
      <c r="B51" s="69" t="s">
        <v>67</v>
      </c>
      <c r="C51" s="69">
        <v>1</v>
      </c>
      <c r="D51" s="69">
        <v>2018</v>
      </c>
      <c r="E51" s="60">
        <v>13</v>
      </c>
      <c r="F51" s="64">
        <v>0</v>
      </c>
      <c r="G51" s="60">
        <v>17</v>
      </c>
      <c r="H51" s="64">
        <v>30</v>
      </c>
      <c r="I51" s="4" t="s">
        <v>7</v>
      </c>
      <c r="J51" s="55">
        <v>4.5</v>
      </c>
      <c r="K51" s="4" t="s">
        <v>13</v>
      </c>
      <c r="L51" s="14" t="s">
        <v>5</v>
      </c>
      <c r="M51" s="14" t="s">
        <v>104</v>
      </c>
      <c r="N51" s="4" t="s">
        <v>52</v>
      </c>
      <c r="O51" s="4" t="s">
        <v>125</v>
      </c>
      <c r="P51" s="4" t="s">
        <v>6</v>
      </c>
      <c r="Q51" s="50">
        <v>590.625</v>
      </c>
      <c r="R51" s="14" t="s">
        <v>163</v>
      </c>
      <c r="S51" s="33" t="s">
        <v>322</v>
      </c>
      <c r="T51" s="33"/>
    </row>
    <row r="52" spans="1:26" hidden="1" x14ac:dyDescent="0.25">
      <c r="A52" s="23" t="s">
        <v>78</v>
      </c>
      <c r="B52" s="69" t="s">
        <v>68</v>
      </c>
      <c r="C52" s="69">
        <v>1</v>
      </c>
      <c r="D52" s="69">
        <v>2018</v>
      </c>
      <c r="E52" s="60">
        <v>7</v>
      </c>
      <c r="F52" s="64">
        <v>0</v>
      </c>
      <c r="G52" s="60">
        <v>16</v>
      </c>
      <c r="H52" s="64">
        <v>0</v>
      </c>
      <c r="I52" s="4" t="s">
        <v>7</v>
      </c>
      <c r="J52" s="55">
        <v>8</v>
      </c>
      <c r="K52" s="4" t="s">
        <v>687</v>
      </c>
      <c r="L52" s="14" t="s">
        <v>5</v>
      </c>
      <c r="M52" s="14" t="s">
        <v>104</v>
      </c>
      <c r="N52" s="4" t="s">
        <v>52</v>
      </c>
      <c r="O52" s="4" t="s">
        <v>125</v>
      </c>
      <c r="P52" s="4" t="s">
        <v>133</v>
      </c>
      <c r="Q52" s="50">
        <v>750</v>
      </c>
      <c r="R52" s="14" t="s">
        <v>124</v>
      </c>
      <c r="S52" s="33" t="s">
        <v>322</v>
      </c>
      <c r="T52" s="33"/>
    </row>
    <row r="53" spans="1:26" x14ac:dyDescent="0.25">
      <c r="A53" s="21" t="s">
        <v>78</v>
      </c>
      <c r="B53" s="69" t="s">
        <v>68</v>
      </c>
      <c r="C53" s="69">
        <v>1</v>
      </c>
      <c r="D53" s="69">
        <v>2018</v>
      </c>
      <c r="E53" s="60">
        <v>8</v>
      </c>
      <c r="F53" s="64">
        <v>0</v>
      </c>
      <c r="G53" s="60">
        <v>12</v>
      </c>
      <c r="H53" s="64">
        <v>0</v>
      </c>
      <c r="I53" s="4" t="s">
        <v>7</v>
      </c>
      <c r="J53" s="55">
        <v>4</v>
      </c>
      <c r="K53" s="4" t="s">
        <v>12</v>
      </c>
      <c r="L53" s="14" t="s">
        <v>50</v>
      </c>
      <c r="M53" s="14" t="s">
        <v>51</v>
      </c>
      <c r="N53" s="4" t="s">
        <v>52</v>
      </c>
      <c r="O53" s="4" t="s">
        <v>53</v>
      </c>
      <c r="P53" s="4" t="s">
        <v>6</v>
      </c>
      <c r="Q53" s="50">
        <v>575</v>
      </c>
      <c r="R53" s="14" t="s">
        <v>164</v>
      </c>
      <c r="S53" s="33" t="s">
        <v>322</v>
      </c>
      <c r="T53" s="27"/>
      <c r="U53" s="45"/>
      <c r="V53" s="45"/>
      <c r="W53" s="45"/>
      <c r="X53" s="45"/>
      <c r="Y53" s="45"/>
      <c r="Z53" s="45"/>
    </row>
    <row r="54" spans="1:26" hidden="1" x14ac:dyDescent="0.25">
      <c r="A54" s="21" t="s">
        <v>78</v>
      </c>
      <c r="B54" s="69" t="s">
        <v>68</v>
      </c>
      <c r="C54" s="69">
        <v>1</v>
      </c>
      <c r="D54" s="69">
        <v>2018</v>
      </c>
      <c r="E54" s="60">
        <v>13</v>
      </c>
      <c r="F54" s="64">
        <v>0</v>
      </c>
      <c r="G54" s="60">
        <v>17</v>
      </c>
      <c r="H54" s="64">
        <v>30</v>
      </c>
      <c r="I54" s="4" t="s">
        <v>7</v>
      </c>
      <c r="J54" s="55">
        <v>4.5</v>
      </c>
      <c r="K54" s="4" t="s">
        <v>13</v>
      </c>
      <c r="L54" s="14" t="s">
        <v>26</v>
      </c>
      <c r="M54" s="14" t="s">
        <v>112</v>
      </c>
      <c r="N54" s="4" t="s">
        <v>52</v>
      </c>
      <c r="O54" s="4" t="s">
        <v>52</v>
      </c>
      <c r="P54" s="4" t="s">
        <v>6</v>
      </c>
      <c r="Q54" s="50">
        <v>534.375</v>
      </c>
      <c r="R54" s="14" t="s">
        <v>165</v>
      </c>
      <c r="S54" s="33" t="s">
        <v>322</v>
      </c>
      <c r="T54" s="33"/>
    </row>
    <row r="55" spans="1:26" hidden="1" x14ac:dyDescent="0.25">
      <c r="A55" s="22" t="s">
        <v>78</v>
      </c>
      <c r="B55" s="69" t="s">
        <v>68</v>
      </c>
      <c r="C55" s="69">
        <v>1</v>
      </c>
      <c r="D55" s="69">
        <v>2018</v>
      </c>
      <c r="E55" s="60">
        <v>14</v>
      </c>
      <c r="F55" s="64">
        <v>40</v>
      </c>
      <c r="G55" s="60">
        <v>16</v>
      </c>
      <c r="H55" s="64">
        <v>30</v>
      </c>
      <c r="I55" s="4" t="s">
        <v>7</v>
      </c>
      <c r="J55" s="55">
        <v>1.8</v>
      </c>
      <c r="K55" s="4" t="s">
        <v>13</v>
      </c>
      <c r="L55" s="14" t="s">
        <v>91</v>
      </c>
      <c r="M55" s="14" t="s">
        <v>106</v>
      </c>
      <c r="N55" s="4" t="s">
        <v>610</v>
      </c>
      <c r="O55" s="4" t="s">
        <v>126</v>
      </c>
      <c r="P55" s="4" t="s">
        <v>21</v>
      </c>
      <c r="Q55" s="50">
        <v>225</v>
      </c>
      <c r="S55" s="33" t="s">
        <v>322</v>
      </c>
      <c r="T55" s="33"/>
    </row>
    <row r="56" spans="1:26" hidden="1" x14ac:dyDescent="0.25">
      <c r="A56" s="23" t="s">
        <v>79</v>
      </c>
      <c r="B56" s="69" t="s">
        <v>69</v>
      </c>
      <c r="C56" s="69">
        <v>1</v>
      </c>
      <c r="D56" s="69">
        <v>2018</v>
      </c>
      <c r="E56" s="60">
        <v>7</v>
      </c>
      <c r="F56" s="64">
        <v>0</v>
      </c>
      <c r="G56" s="60">
        <v>16</v>
      </c>
      <c r="H56" s="64">
        <v>0</v>
      </c>
      <c r="I56" s="4" t="s">
        <v>7</v>
      </c>
      <c r="J56" s="55">
        <v>8</v>
      </c>
      <c r="K56" s="4" t="s">
        <v>687</v>
      </c>
      <c r="L56" s="14" t="s">
        <v>5</v>
      </c>
      <c r="M56" s="14" t="s">
        <v>104</v>
      </c>
      <c r="N56" s="4" t="s">
        <v>52</v>
      </c>
      <c r="O56" s="4" t="s">
        <v>125</v>
      </c>
      <c r="P56" s="4" t="s">
        <v>133</v>
      </c>
      <c r="Q56" s="50">
        <v>750</v>
      </c>
      <c r="R56" s="14" t="s">
        <v>124</v>
      </c>
      <c r="S56" s="33" t="s">
        <v>322</v>
      </c>
      <c r="T56" s="33"/>
    </row>
    <row r="57" spans="1:26" hidden="1" x14ac:dyDescent="0.25">
      <c r="A57" s="21" t="s">
        <v>79</v>
      </c>
      <c r="B57" s="69" t="s">
        <v>69</v>
      </c>
      <c r="C57" s="69">
        <v>1</v>
      </c>
      <c r="D57" s="69">
        <v>2018</v>
      </c>
      <c r="E57" s="60">
        <v>10</v>
      </c>
      <c r="F57" s="64">
        <v>0</v>
      </c>
      <c r="G57" s="60">
        <v>18</v>
      </c>
      <c r="H57" s="64">
        <v>30</v>
      </c>
      <c r="I57" s="4" t="s">
        <v>7</v>
      </c>
      <c r="J57" s="55">
        <v>8</v>
      </c>
      <c r="K57" s="4" t="s">
        <v>687</v>
      </c>
      <c r="L57" s="14" t="s">
        <v>24</v>
      </c>
      <c r="M57" s="14" t="s">
        <v>105</v>
      </c>
      <c r="N57" s="4" t="s">
        <v>52</v>
      </c>
      <c r="O57" s="4" t="s">
        <v>52</v>
      </c>
      <c r="P57" s="4" t="s">
        <v>6</v>
      </c>
      <c r="Q57" s="50">
        <v>1000</v>
      </c>
      <c r="R57" s="14" t="s">
        <v>166</v>
      </c>
      <c r="S57" s="33" t="s">
        <v>322</v>
      </c>
      <c r="T57" s="33"/>
    </row>
    <row r="58" spans="1:26" hidden="1" x14ac:dyDescent="0.25">
      <c r="A58" s="23" t="s">
        <v>80</v>
      </c>
      <c r="B58" s="69" t="s">
        <v>70</v>
      </c>
      <c r="C58" s="69">
        <v>1</v>
      </c>
      <c r="D58" s="69">
        <v>2018</v>
      </c>
      <c r="E58" s="60">
        <v>7</v>
      </c>
      <c r="F58" s="64">
        <v>0</v>
      </c>
      <c r="G58" s="60">
        <v>16</v>
      </c>
      <c r="H58" s="64">
        <v>0</v>
      </c>
      <c r="I58" s="4" t="s">
        <v>7</v>
      </c>
      <c r="J58" s="55">
        <v>8</v>
      </c>
      <c r="K58" s="4" t="s">
        <v>687</v>
      </c>
      <c r="L58" s="14" t="s">
        <v>5</v>
      </c>
      <c r="M58" s="14" t="s">
        <v>104</v>
      </c>
      <c r="N58" s="4" t="s">
        <v>52</v>
      </c>
      <c r="O58" s="4" t="s">
        <v>125</v>
      </c>
      <c r="P58" s="4" t="s">
        <v>133</v>
      </c>
      <c r="Q58" s="50">
        <v>750</v>
      </c>
      <c r="R58" s="14" t="s">
        <v>124</v>
      </c>
      <c r="S58" s="33" t="s">
        <v>322</v>
      </c>
      <c r="T58" s="33"/>
    </row>
    <row r="59" spans="1:26" hidden="1" x14ac:dyDescent="0.25">
      <c r="A59" s="23" t="s">
        <v>85</v>
      </c>
      <c r="B59" s="69" t="s">
        <v>70</v>
      </c>
      <c r="C59" s="69">
        <v>1</v>
      </c>
      <c r="D59" s="69">
        <v>2018</v>
      </c>
      <c r="E59" s="60">
        <v>9</v>
      </c>
      <c r="F59" s="64">
        <v>0</v>
      </c>
      <c r="G59" s="60">
        <v>17</v>
      </c>
      <c r="H59" s="64">
        <v>0</v>
      </c>
      <c r="I59" s="4" t="s">
        <v>7</v>
      </c>
      <c r="J59" s="55">
        <v>8</v>
      </c>
      <c r="K59" s="4" t="s">
        <v>687</v>
      </c>
      <c r="L59" s="14" t="s">
        <v>98</v>
      </c>
      <c r="M59" s="14" t="s">
        <v>113</v>
      </c>
      <c r="N59" s="4" t="s">
        <v>610</v>
      </c>
      <c r="P59" s="4" t="s">
        <v>21</v>
      </c>
      <c r="Q59" s="50">
        <v>1050</v>
      </c>
      <c r="R59" s="14" t="s">
        <v>167</v>
      </c>
      <c r="S59" s="33" t="s">
        <v>322</v>
      </c>
      <c r="T59" s="33"/>
    </row>
    <row r="60" spans="1:26" hidden="1" x14ac:dyDescent="0.25">
      <c r="A60" s="21" t="s">
        <v>80</v>
      </c>
      <c r="B60" s="69" t="s">
        <v>70</v>
      </c>
      <c r="C60" s="69">
        <v>1</v>
      </c>
      <c r="D60" s="69">
        <v>2018</v>
      </c>
      <c r="E60" s="60">
        <v>9</v>
      </c>
      <c r="F60" s="64">
        <v>0</v>
      </c>
      <c r="G60" s="60">
        <v>17</v>
      </c>
      <c r="H60" s="64">
        <v>0</v>
      </c>
      <c r="I60" s="4" t="s">
        <v>7</v>
      </c>
      <c r="J60" s="55">
        <v>8</v>
      </c>
      <c r="K60" s="4" t="s">
        <v>687</v>
      </c>
      <c r="L60" s="14" t="s">
        <v>5</v>
      </c>
      <c r="M60" s="14" t="s">
        <v>104</v>
      </c>
      <c r="N60" s="4" t="s">
        <v>52</v>
      </c>
      <c r="O60" s="4" t="s">
        <v>125</v>
      </c>
      <c r="P60" s="4" t="s">
        <v>6</v>
      </c>
      <c r="Q60" s="50">
        <v>1050</v>
      </c>
      <c r="R60" s="14" t="s">
        <v>124</v>
      </c>
      <c r="S60" s="33" t="s">
        <v>322</v>
      </c>
      <c r="T60" s="33"/>
    </row>
    <row r="61" spans="1:26" hidden="1" x14ac:dyDescent="0.25">
      <c r="A61" s="23" t="s">
        <v>49</v>
      </c>
      <c r="B61" s="69" t="s">
        <v>71</v>
      </c>
      <c r="C61" s="69">
        <v>1</v>
      </c>
      <c r="D61" s="69">
        <v>2018</v>
      </c>
      <c r="E61" s="60">
        <v>7</v>
      </c>
      <c r="F61" s="64">
        <v>0</v>
      </c>
      <c r="G61" s="60">
        <v>16</v>
      </c>
      <c r="H61" s="64">
        <v>0</v>
      </c>
      <c r="I61" s="4" t="s">
        <v>7</v>
      </c>
      <c r="J61" s="55">
        <v>8</v>
      </c>
      <c r="K61" s="4" t="s">
        <v>687</v>
      </c>
      <c r="L61" s="14" t="s">
        <v>5</v>
      </c>
      <c r="M61" s="14" t="s">
        <v>104</v>
      </c>
      <c r="N61" s="4" t="s">
        <v>52</v>
      </c>
      <c r="O61" s="4" t="s">
        <v>125</v>
      </c>
      <c r="P61" s="4" t="s">
        <v>133</v>
      </c>
      <c r="Q61" s="50">
        <v>750</v>
      </c>
      <c r="R61" s="14" t="s">
        <v>124</v>
      </c>
      <c r="S61" s="33" t="s">
        <v>322</v>
      </c>
      <c r="T61" s="33"/>
    </row>
    <row r="62" spans="1:26" hidden="1" x14ac:dyDescent="0.25">
      <c r="A62" s="23" t="s">
        <v>86</v>
      </c>
      <c r="B62" s="69" t="s">
        <v>71</v>
      </c>
      <c r="C62" s="69">
        <v>1</v>
      </c>
      <c r="D62" s="69">
        <v>2018</v>
      </c>
      <c r="E62" s="60">
        <v>9</v>
      </c>
      <c r="F62" s="64">
        <v>0</v>
      </c>
      <c r="G62" s="60">
        <v>11</v>
      </c>
      <c r="H62" s="64">
        <v>30</v>
      </c>
      <c r="I62" s="4" t="s">
        <v>16</v>
      </c>
      <c r="J62" s="55">
        <v>2.5</v>
      </c>
      <c r="K62" s="4" t="s">
        <v>13</v>
      </c>
      <c r="L62" s="14" t="s">
        <v>94</v>
      </c>
      <c r="M62" s="14" t="s">
        <v>114</v>
      </c>
      <c r="N62" s="4" t="s">
        <v>52</v>
      </c>
      <c r="O62" s="4" t="s">
        <v>130</v>
      </c>
      <c r="P62" s="4" t="s">
        <v>21</v>
      </c>
      <c r="Q62" s="50">
        <v>428</v>
      </c>
      <c r="R62" s="14" t="s">
        <v>168</v>
      </c>
      <c r="S62" s="33" t="s">
        <v>322</v>
      </c>
      <c r="T62" s="33"/>
    </row>
    <row r="63" spans="1:26" x14ac:dyDescent="0.25">
      <c r="A63" s="21" t="s">
        <v>81</v>
      </c>
      <c r="B63" s="69" t="s">
        <v>71</v>
      </c>
      <c r="C63" s="69">
        <v>1</v>
      </c>
      <c r="D63" s="69">
        <v>2018</v>
      </c>
      <c r="E63" s="60">
        <v>9</v>
      </c>
      <c r="F63" s="64">
        <v>0</v>
      </c>
      <c r="G63" s="60">
        <v>10</v>
      </c>
      <c r="H63" s="64">
        <v>0</v>
      </c>
      <c r="I63" s="4" t="s">
        <v>16</v>
      </c>
      <c r="J63" s="55">
        <v>1</v>
      </c>
      <c r="K63" s="4" t="s">
        <v>13</v>
      </c>
      <c r="L63" s="14" t="s">
        <v>50</v>
      </c>
      <c r="M63" s="14" t="s">
        <v>51</v>
      </c>
      <c r="N63" s="4" t="s">
        <v>52</v>
      </c>
      <c r="O63" s="4" t="s">
        <v>53</v>
      </c>
      <c r="P63" s="4" t="s">
        <v>6</v>
      </c>
      <c r="Q63" s="50">
        <v>118.75</v>
      </c>
      <c r="R63" s="14" t="s">
        <v>169</v>
      </c>
      <c r="S63" s="33" t="s">
        <v>322</v>
      </c>
      <c r="T63" s="33"/>
    </row>
    <row r="64" spans="1:26" hidden="1" x14ac:dyDescent="0.25">
      <c r="A64" s="21" t="s">
        <v>81</v>
      </c>
      <c r="B64" s="69" t="s">
        <v>71</v>
      </c>
      <c r="C64" s="69">
        <v>1</v>
      </c>
      <c r="D64" s="69">
        <v>2018</v>
      </c>
      <c r="E64" s="60">
        <v>10</v>
      </c>
      <c r="F64" s="64">
        <v>0</v>
      </c>
      <c r="G64" s="60">
        <v>11</v>
      </c>
      <c r="H64" s="64">
        <v>0</v>
      </c>
      <c r="I64" s="4" t="s">
        <v>16</v>
      </c>
      <c r="J64" s="55">
        <v>1</v>
      </c>
      <c r="K64" s="4" t="s">
        <v>13</v>
      </c>
      <c r="L64" s="14" t="s">
        <v>5</v>
      </c>
      <c r="M64" s="14" t="s">
        <v>104</v>
      </c>
      <c r="N64" s="4" t="s">
        <v>52</v>
      </c>
      <c r="O64" s="4" t="s">
        <v>125</v>
      </c>
      <c r="P64" s="4" t="s">
        <v>6</v>
      </c>
      <c r="Q64" s="50">
        <v>125</v>
      </c>
      <c r="R64" s="14" t="s">
        <v>170</v>
      </c>
      <c r="S64" s="33" t="s">
        <v>322</v>
      </c>
      <c r="T64" s="33"/>
    </row>
    <row r="65" spans="1:20" hidden="1" x14ac:dyDescent="0.25">
      <c r="A65" s="21" t="s">
        <v>81</v>
      </c>
      <c r="B65" s="69" t="s">
        <v>71</v>
      </c>
      <c r="C65" s="69">
        <v>1</v>
      </c>
      <c r="D65" s="69">
        <v>2018</v>
      </c>
      <c r="E65" s="60">
        <v>13</v>
      </c>
      <c r="F65" s="64">
        <v>0</v>
      </c>
      <c r="G65" s="60">
        <v>16</v>
      </c>
      <c r="H65" s="64">
        <v>30</v>
      </c>
      <c r="I65" s="4" t="s">
        <v>16</v>
      </c>
      <c r="J65" s="55">
        <v>3.5</v>
      </c>
      <c r="K65" s="4" t="s">
        <v>13</v>
      </c>
      <c r="L65" s="14" t="s">
        <v>24</v>
      </c>
      <c r="M65" s="14" t="s">
        <v>105</v>
      </c>
      <c r="N65" s="4" t="s">
        <v>52</v>
      </c>
      <c r="O65" s="4" t="s">
        <v>52</v>
      </c>
      <c r="P65" s="4" t="s">
        <v>6</v>
      </c>
      <c r="Q65" s="50">
        <v>437.5</v>
      </c>
      <c r="R65" s="14" t="s">
        <v>171</v>
      </c>
      <c r="S65" s="33" t="s">
        <v>322</v>
      </c>
      <c r="T65" s="33"/>
    </row>
    <row r="66" spans="1:20" hidden="1" x14ac:dyDescent="0.25">
      <c r="A66" s="23" t="s">
        <v>77</v>
      </c>
      <c r="B66" s="69" t="s">
        <v>74</v>
      </c>
      <c r="C66" s="69">
        <v>1</v>
      </c>
      <c r="D66" s="69">
        <v>2018</v>
      </c>
      <c r="E66" s="60">
        <v>7</v>
      </c>
      <c r="F66" s="64">
        <v>0</v>
      </c>
      <c r="G66" s="60">
        <v>16</v>
      </c>
      <c r="H66" s="64">
        <v>0</v>
      </c>
      <c r="I66" s="4" t="s">
        <v>7</v>
      </c>
      <c r="J66" s="55">
        <v>8</v>
      </c>
      <c r="K66" s="4" t="s">
        <v>687</v>
      </c>
      <c r="L66" s="14" t="s">
        <v>5</v>
      </c>
      <c r="M66" s="14" t="s">
        <v>104</v>
      </c>
      <c r="N66" s="4" t="s">
        <v>52</v>
      </c>
      <c r="O66" s="4" t="s">
        <v>125</v>
      </c>
      <c r="P66" s="4" t="s">
        <v>133</v>
      </c>
      <c r="Q66" s="50">
        <v>750</v>
      </c>
      <c r="R66" s="14" t="s">
        <v>124</v>
      </c>
      <c r="S66" s="33" t="s">
        <v>322</v>
      </c>
      <c r="T66" s="33"/>
    </row>
    <row r="67" spans="1:20" hidden="1" x14ac:dyDescent="0.25">
      <c r="A67" s="21" t="s">
        <v>77</v>
      </c>
      <c r="B67" s="69" t="s">
        <v>74</v>
      </c>
      <c r="C67" s="69">
        <v>1</v>
      </c>
      <c r="D67" s="69">
        <v>2018</v>
      </c>
      <c r="E67" s="60">
        <v>8</v>
      </c>
      <c r="F67" s="64">
        <v>0</v>
      </c>
      <c r="G67" s="60">
        <v>10</v>
      </c>
      <c r="H67" s="64">
        <v>0</v>
      </c>
      <c r="I67" s="4" t="s">
        <v>16</v>
      </c>
      <c r="J67" s="55">
        <v>2</v>
      </c>
      <c r="K67" s="4" t="s">
        <v>13</v>
      </c>
      <c r="L67" s="14" t="s">
        <v>24</v>
      </c>
      <c r="M67" s="14" t="s">
        <v>105</v>
      </c>
      <c r="N67" s="4" t="s">
        <v>52</v>
      </c>
      <c r="O67" s="4" t="s">
        <v>52</v>
      </c>
      <c r="P67" s="4" t="s">
        <v>6</v>
      </c>
      <c r="Q67" s="50">
        <v>250</v>
      </c>
      <c r="R67" s="14" t="s">
        <v>174</v>
      </c>
      <c r="S67" s="33" t="s">
        <v>322</v>
      </c>
      <c r="T67" s="33"/>
    </row>
    <row r="68" spans="1:20" hidden="1" x14ac:dyDescent="0.25">
      <c r="A68" s="23" t="s">
        <v>87</v>
      </c>
      <c r="B68" s="69" t="s">
        <v>74</v>
      </c>
      <c r="C68" s="69">
        <v>1</v>
      </c>
      <c r="D68" s="69">
        <v>2018</v>
      </c>
      <c r="E68" s="60">
        <v>13</v>
      </c>
      <c r="F68" s="64">
        <v>30</v>
      </c>
      <c r="G68" s="60">
        <v>16</v>
      </c>
      <c r="H68" s="64">
        <v>30</v>
      </c>
      <c r="I68" s="4" t="s">
        <v>16</v>
      </c>
      <c r="J68" s="55">
        <v>3</v>
      </c>
      <c r="K68" s="4" t="s">
        <v>13</v>
      </c>
      <c r="L68" s="14" t="s">
        <v>97</v>
      </c>
      <c r="M68" s="14" t="s">
        <v>111</v>
      </c>
      <c r="N68" s="4" t="s">
        <v>52</v>
      </c>
      <c r="O68" s="4">
        <v>20</v>
      </c>
      <c r="P68" s="4" t="s">
        <v>21</v>
      </c>
      <c r="Q68" s="50">
        <v>375</v>
      </c>
      <c r="R68" s="14" t="s">
        <v>172</v>
      </c>
      <c r="S68" s="33" t="s">
        <v>322</v>
      </c>
      <c r="T68" s="33"/>
    </row>
    <row r="69" spans="1:20" hidden="1" x14ac:dyDescent="0.25">
      <c r="A69" s="23" t="s">
        <v>87</v>
      </c>
      <c r="B69" s="69" t="s">
        <v>74</v>
      </c>
      <c r="C69" s="69">
        <v>1</v>
      </c>
      <c r="D69" s="69">
        <v>2018</v>
      </c>
      <c r="E69" s="60">
        <v>16</v>
      </c>
      <c r="F69" s="64">
        <v>30</v>
      </c>
      <c r="G69" s="60">
        <v>20</v>
      </c>
      <c r="H69" s="64">
        <v>0</v>
      </c>
      <c r="I69" s="4" t="s">
        <v>16</v>
      </c>
      <c r="J69" s="55">
        <v>4.5</v>
      </c>
      <c r="K69" s="4" t="s">
        <v>13</v>
      </c>
      <c r="L69" s="14" t="s">
        <v>94</v>
      </c>
      <c r="M69" s="14" t="s">
        <v>114</v>
      </c>
      <c r="N69" s="4" t="s">
        <v>52</v>
      </c>
      <c r="O69" s="4" t="s">
        <v>130</v>
      </c>
      <c r="P69" s="4" t="s">
        <v>21</v>
      </c>
      <c r="Q69" s="50">
        <v>509</v>
      </c>
      <c r="R69" s="14" t="s">
        <v>173</v>
      </c>
      <c r="S69" s="33" t="s">
        <v>322</v>
      </c>
      <c r="T69" s="33"/>
    </row>
    <row r="70" spans="1:20" hidden="1" x14ac:dyDescent="0.25">
      <c r="A70" s="23" t="s">
        <v>78</v>
      </c>
      <c r="B70" s="69" t="s">
        <v>75</v>
      </c>
      <c r="C70" s="69">
        <v>1</v>
      </c>
      <c r="D70" s="69">
        <v>2018</v>
      </c>
      <c r="E70" s="60">
        <v>7</v>
      </c>
      <c r="F70" s="64">
        <v>0</v>
      </c>
      <c r="G70" s="60">
        <v>16</v>
      </c>
      <c r="H70" s="64">
        <v>0</v>
      </c>
      <c r="I70" s="4" t="s">
        <v>7</v>
      </c>
      <c r="J70" s="55">
        <v>8</v>
      </c>
      <c r="K70" s="4" t="s">
        <v>687</v>
      </c>
      <c r="L70" s="14" t="s">
        <v>5</v>
      </c>
      <c r="M70" s="14" t="s">
        <v>104</v>
      </c>
      <c r="N70" s="4" t="s">
        <v>52</v>
      </c>
      <c r="O70" s="4" t="s">
        <v>125</v>
      </c>
      <c r="P70" s="4" t="s">
        <v>133</v>
      </c>
      <c r="Q70" s="50">
        <v>750</v>
      </c>
      <c r="R70" s="14" t="s">
        <v>124</v>
      </c>
      <c r="S70" s="33" t="s">
        <v>322</v>
      </c>
      <c r="T70" s="33"/>
    </row>
    <row r="71" spans="1:20" hidden="1" x14ac:dyDescent="0.25">
      <c r="A71" s="23" t="s">
        <v>84</v>
      </c>
      <c r="B71" s="69" t="s">
        <v>75</v>
      </c>
      <c r="C71" s="69">
        <v>1</v>
      </c>
      <c r="D71" s="69">
        <v>2018</v>
      </c>
      <c r="E71" s="60">
        <v>10</v>
      </c>
      <c r="F71" s="64">
        <v>30</v>
      </c>
      <c r="G71" s="60">
        <v>12</v>
      </c>
      <c r="H71" s="64">
        <v>30</v>
      </c>
      <c r="I71" s="4" t="s">
        <v>16</v>
      </c>
      <c r="J71" s="55">
        <v>2</v>
      </c>
      <c r="K71" s="4" t="s">
        <v>13</v>
      </c>
      <c r="L71" s="14" t="s">
        <v>97</v>
      </c>
      <c r="M71" s="14" t="s">
        <v>111</v>
      </c>
      <c r="N71" s="4" t="s">
        <v>52</v>
      </c>
      <c r="O71" s="4">
        <v>20</v>
      </c>
      <c r="P71" s="4" t="s">
        <v>21</v>
      </c>
      <c r="Q71" s="50">
        <v>250</v>
      </c>
      <c r="S71" s="33" t="s">
        <v>322</v>
      </c>
      <c r="T71" s="33"/>
    </row>
    <row r="72" spans="1:20" x14ac:dyDescent="0.25">
      <c r="A72" s="21" t="s">
        <v>78</v>
      </c>
      <c r="B72" s="69" t="s">
        <v>75</v>
      </c>
      <c r="C72" s="69">
        <v>1</v>
      </c>
      <c r="D72" s="69">
        <v>2018</v>
      </c>
      <c r="E72" s="60">
        <v>13</v>
      </c>
      <c r="F72" s="64">
        <v>0</v>
      </c>
      <c r="G72" s="60">
        <v>17</v>
      </c>
      <c r="H72" s="64">
        <v>0</v>
      </c>
      <c r="I72" s="4" t="s">
        <v>7</v>
      </c>
      <c r="J72" s="55">
        <v>4</v>
      </c>
      <c r="K72" s="4" t="s">
        <v>12</v>
      </c>
      <c r="L72" s="14" t="s">
        <v>50</v>
      </c>
      <c r="M72" s="14" t="s">
        <v>51</v>
      </c>
      <c r="N72" s="4" t="s">
        <v>52</v>
      </c>
      <c r="O72" s="4" t="s">
        <v>53</v>
      </c>
      <c r="P72" s="4" t="s">
        <v>6</v>
      </c>
      <c r="Q72" s="50">
        <v>575</v>
      </c>
      <c r="R72" s="14" t="s">
        <v>176</v>
      </c>
      <c r="S72" s="33" t="s">
        <v>322</v>
      </c>
      <c r="T72" s="33"/>
    </row>
    <row r="73" spans="1:20" hidden="1" x14ac:dyDescent="0.25">
      <c r="A73" s="23" t="s">
        <v>84</v>
      </c>
      <c r="B73" s="69" t="s">
        <v>75</v>
      </c>
      <c r="C73" s="69">
        <v>1</v>
      </c>
      <c r="D73" s="69">
        <v>2018</v>
      </c>
      <c r="E73" s="60">
        <v>17</v>
      </c>
      <c r="F73" s="64">
        <v>30</v>
      </c>
      <c r="G73" s="60">
        <v>20</v>
      </c>
      <c r="H73" s="64">
        <v>45</v>
      </c>
      <c r="I73" s="4" t="s">
        <v>7</v>
      </c>
      <c r="J73" s="55">
        <v>3.25</v>
      </c>
      <c r="K73" s="4" t="s">
        <v>13</v>
      </c>
      <c r="L73" s="14" t="s">
        <v>99</v>
      </c>
      <c r="M73" s="14" t="s">
        <v>609</v>
      </c>
      <c r="N73" s="4" t="s">
        <v>418</v>
      </c>
      <c r="P73" s="4" t="s">
        <v>21</v>
      </c>
      <c r="R73" s="14" t="s">
        <v>175</v>
      </c>
      <c r="S73" s="33" t="s">
        <v>322</v>
      </c>
      <c r="T73" s="33"/>
    </row>
    <row r="74" spans="1:20" hidden="1" x14ac:dyDescent="0.25">
      <c r="A74" s="23" t="s">
        <v>79</v>
      </c>
      <c r="B74" s="69" t="s">
        <v>76</v>
      </c>
      <c r="C74" s="69">
        <v>1</v>
      </c>
      <c r="D74" s="69">
        <v>2018</v>
      </c>
      <c r="E74" s="60">
        <v>7</v>
      </c>
      <c r="F74" s="64">
        <v>0</v>
      </c>
      <c r="G74" s="60">
        <v>16</v>
      </c>
      <c r="H74" s="64">
        <v>0</v>
      </c>
      <c r="I74" s="4" t="s">
        <v>7</v>
      </c>
      <c r="J74" s="55">
        <v>8</v>
      </c>
      <c r="K74" s="4" t="s">
        <v>687</v>
      </c>
      <c r="L74" s="14" t="s">
        <v>5</v>
      </c>
      <c r="M74" s="14" t="s">
        <v>104</v>
      </c>
      <c r="N74" s="4" t="s">
        <v>52</v>
      </c>
      <c r="O74" s="4" t="s">
        <v>125</v>
      </c>
      <c r="P74" s="4" t="s">
        <v>133</v>
      </c>
      <c r="Q74" s="50">
        <v>750</v>
      </c>
      <c r="R74" s="14" t="s">
        <v>124</v>
      </c>
      <c r="S74" s="33" t="s">
        <v>322</v>
      </c>
      <c r="T74" s="33"/>
    </row>
    <row r="75" spans="1:20" hidden="1" x14ac:dyDescent="0.25">
      <c r="A75" s="21" t="s">
        <v>79</v>
      </c>
      <c r="B75" s="69" t="s">
        <v>76</v>
      </c>
      <c r="C75" s="69">
        <v>1</v>
      </c>
      <c r="D75" s="69">
        <v>2018</v>
      </c>
      <c r="E75" s="60">
        <v>10</v>
      </c>
      <c r="F75" s="64">
        <v>0</v>
      </c>
      <c r="G75" s="60">
        <v>18</v>
      </c>
      <c r="H75" s="64">
        <v>0</v>
      </c>
      <c r="I75" s="4" t="s">
        <v>7</v>
      </c>
      <c r="J75" s="55">
        <v>8</v>
      </c>
      <c r="K75" s="4" t="s">
        <v>687</v>
      </c>
      <c r="L75" s="14" t="s">
        <v>24</v>
      </c>
      <c r="M75" s="14" t="s">
        <v>105</v>
      </c>
      <c r="N75" s="4" t="s">
        <v>52</v>
      </c>
      <c r="O75" s="4" t="s">
        <v>52</v>
      </c>
      <c r="P75" s="4" t="s">
        <v>6</v>
      </c>
      <c r="Q75" s="50">
        <v>1000</v>
      </c>
      <c r="R75" s="14" t="s">
        <v>177</v>
      </c>
      <c r="S75" s="33" t="s">
        <v>322</v>
      </c>
      <c r="T75" s="33"/>
    </row>
    <row r="76" spans="1:20" hidden="1" x14ac:dyDescent="0.25">
      <c r="A76" s="22" t="s">
        <v>79</v>
      </c>
      <c r="B76" s="69" t="s">
        <v>76</v>
      </c>
      <c r="C76" s="69">
        <v>1</v>
      </c>
      <c r="D76" s="69">
        <v>2018</v>
      </c>
      <c r="E76" s="60">
        <v>14</v>
      </c>
      <c r="F76" s="64">
        <v>30</v>
      </c>
      <c r="G76" s="60">
        <v>16</v>
      </c>
      <c r="H76" s="64">
        <v>30</v>
      </c>
      <c r="I76" s="4" t="s">
        <v>16</v>
      </c>
      <c r="J76" s="55">
        <v>2</v>
      </c>
      <c r="K76" s="4" t="s">
        <v>13</v>
      </c>
      <c r="L76" s="14" t="s">
        <v>97</v>
      </c>
      <c r="M76" s="14" t="s">
        <v>111</v>
      </c>
      <c r="N76" s="4" t="s">
        <v>52</v>
      </c>
      <c r="O76" s="4">
        <v>20</v>
      </c>
      <c r="P76" s="4" t="s">
        <v>21</v>
      </c>
      <c r="Q76" s="50">
        <v>250</v>
      </c>
      <c r="S76" s="33" t="s">
        <v>322</v>
      </c>
      <c r="T76" s="33"/>
    </row>
    <row r="77" spans="1:20" hidden="1" x14ac:dyDescent="0.25">
      <c r="A77" s="23" t="s">
        <v>79</v>
      </c>
      <c r="B77" s="69" t="s">
        <v>76</v>
      </c>
      <c r="C77" s="69">
        <v>1</v>
      </c>
      <c r="D77" s="69">
        <v>2018</v>
      </c>
      <c r="I77" s="4" t="s">
        <v>7</v>
      </c>
      <c r="J77" s="55">
        <v>5</v>
      </c>
      <c r="K77" s="4" t="s">
        <v>13</v>
      </c>
      <c r="L77" s="14" t="s">
        <v>5</v>
      </c>
      <c r="M77" s="14" t="s">
        <v>104</v>
      </c>
      <c r="N77" s="4" t="s">
        <v>52</v>
      </c>
      <c r="O77" s="4" t="s">
        <v>125</v>
      </c>
      <c r="P77" s="4" t="s">
        <v>134</v>
      </c>
      <c r="Q77" s="50">
        <v>437.5</v>
      </c>
      <c r="R77" s="14" t="s">
        <v>178</v>
      </c>
      <c r="S77" s="33" t="s">
        <v>322</v>
      </c>
      <c r="T77" s="33"/>
    </row>
    <row r="78" spans="1:20" hidden="1" x14ac:dyDescent="0.25">
      <c r="A78" s="23" t="s">
        <v>79</v>
      </c>
      <c r="B78" s="69" t="s">
        <v>76</v>
      </c>
      <c r="C78" s="69">
        <v>1</v>
      </c>
      <c r="D78" s="69">
        <v>2018</v>
      </c>
      <c r="I78" s="4" t="s">
        <v>16</v>
      </c>
      <c r="L78" s="14" t="s">
        <v>5</v>
      </c>
      <c r="M78" s="14" t="s">
        <v>104</v>
      </c>
      <c r="N78" s="4" t="s">
        <v>52</v>
      </c>
      <c r="O78" s="4" t="s">
        <v>125</v>
      </c>
      <c r="P78" s="4" t="s">
        <v>6</v>
      </c>
      <c r="Q78" s="50">
        <v>-397.2</v>
      </c>
      <c r="R78" s="14" t="s">
        <v>179</v>
      </c>
      <c r="S78" s="33" t="s">
        <v>322</v>
      </c>
      <c r="T78" s="33"/>
    </row>
    <row r="79" spans="1:20" hidden="1" x14ac:dyDescent="0.25">
      <c r="A79" s="23" t="s">
        <v>80</v>
      </c>
      <c r="B79" s="69">
        <v>1</v>
      </c>
      <c r="C79" s="69">
        <v>2</v>
      </c>
      <c r="D79" s="69">
        <v>2018</v>
      </c>
      <c r="E79" s="60">
        <v>7</v>
      </c>
      <c r="F79" s="64">
        <v>0</v>
      </c>
      <c r="G79" s="60">
        <v>16</v>
      </c>
      <c r="H79" s="64">
        <v>0</v>
      </c>
      <c r="I79" s="4" t="s">
        <v>7</v>
      </c>
      <c r="J79" s="55">
        <v>8</v>
      </c>
      <c r="K79" s="4" t="s">
        <v>687</v>
      </c>
      <c r="L79" s="14" t="s">
        <v>5</v>
      </c>
      <c r="M79" s="14" t="s">
        <v>104</v>
      </c>
      <c r="N79" s="4" t="s">
        <v>52</v>
      </c>
      <c r="O79" s="4" t="s">
        <v>125</v>
      </c>
      <c r="P79" s="4" t="s">
        <v>133</v>
      </c>
      <c r="Q79" s="50">
        <v>750</v>
      </c>
      <c r="S79" s="33" t="s">
        <v>322</v>
      </c>
      <c r="T79" s="33"/>
    </row>
    <row r="80" spans="1:20" hidden="1" x14ac:dyDescent="0.25">
      <c r="A80" s="21" t="s">
        <v>80</v>
      </c>
      <c r="B80" s="69">
        <v>1</v>
      </c>
      <c r="C80" s="69">
        <v>2</v>
      </c>
      <c r="D80" s="69">
        <v>2018</v>
      </c>
      <c r="E80" s="60">
        <v>10</v>
      </c>
      <c r="F80" s="64">
        <v>0</v>
      </c>
      <c r="G80" s="60">
        <v>14</v>
      </c>
      <c r="H80" s="64">
        <v>0</v>
      </c>
      <c r="I80" s="4" t="s">
        <v>7</v>
      </c>
      <c r="J80" s="55">
        <v>4</v>
      </c>
      <c r="K80" s="4" t="s">
        <v>12</v>
      </c>
      <c r="L80" s="14" t="s">
        <v>5</v>
      </c>
      <c r="M80" s="14" t="s">
        <v>104</v>
      </c>
      <c r="N80" s="4" t="s">
        <v>52</v>
      </c>
      <c r="O80" s="4" t="s">
        <v>125</v>
      </c>
      <c r="P80" s="4" t="s">
        <v>6</v>
      </c>
      <c r="Q80" s="50">
        <v>575</v>
      </c>
      <c r="R80" s="14" t="s">
        <v>180</v>
      </c>
      <c r="S80" s="33" t="s">
        <v>322</v>
      </c>
      <c r="T80" s="33"/>
    </row>
    <row r="81" spans="1:20" hidden="1" x14ac:dyDescent="0.25">
      <c r="A81" s="23" t="s">
        <v>49</v>
      </c>
      <c r="B81" s="69">
        <v>2</v>
      </c>
      <c r="C81" s="69">
        <v>2</v>
      </c>
      <c r="D81" s="69">
        <v>2018</v>
      </c>
      <c r="E81" s="60">
        <v>7</v>
      </c>
      <c r="F81" s="64">
        <v>0</v>
      </c>
      <c r="G81" s="60">
        <v>16</v>
      </c>
      <c r="H81" s="64">
        <v>0</v>
      </c>
      <c r="I81" s="4" t="s">
        <v>7</v>
      </c>
      <c r="J81" s="55">
        <v>8</v>
      </c>
      <c r="K81" s="4" t="s">
        <v>687</v>
      </c>
      <c r="L81" s="14" t="s">
        <v>5</v>
      </c>
      <c r="M81" s="14" t="s">
        <v>104</v>
      </c>
      <c r="N81" s="4" t="s">
        <v>52</v>
      </c>
      <c r="O81" s="4" t="s">
        <v>125</v>
      </c>
      <c r="P81" s="4" t="s">
        <v>133</v>
      </c>
      <c r="Q81" s="50">
        <v>750</v>
      </c>
      <c r="S81" s="33" t="s">
        <v>322</v>
      </c>
      <c r="T81" s="33"/>
    </row>
    <row r="82" spans="1:20" hidden="1" x14ac:dyDescent="0.25">
      <c r="A82" s="23" t="s">
        <v>49</v>
      </c>
      <c r="B82" s="69">
        <v>2</v>
      </c>
      <c r="C82" s="69">
        <v>2</v>
      </c>
      <c r="D82" s="69">
        <v>2018</v>
      </c>
      <c r="E82" s="60">
        <v>8</v>
      </c>
      <c r="F82" s="64">
        <v>0</v>
      </c>
      <c r="G82" s="60">
        <v>17</v>
      </c>
      <c r="H82" s="64">
        <v>0</v>
      </c>
      <c r="I82" s="4" t="s">
        <v>7</v>
      </c>
      <c r="J82" s="55">
        <v>8</v>
      </c>
      <c r="K82" s="4" t="s">
        <v>687</v>
      </c>
      <c r="L82" s="14" t="s">
        <v>5</v>
      </c>
      <c r="M82" s="14" t="s">
        <v>104</v>
      </c>
      <c r="N82" s="4" t="s">
        <v>52</v>
      </c>
      <c r="O82" s="4" t="s">
        <v>125</v>
      </c>
      <c r="P82" s="4" t="s">
        <v>21</v>
      </c>
      <c r="Q82" s="50">
        <v>950</v>
      </c>
      <c r="S82" s="33" t="s">
        <v>322</v>
      </c>
      <c r="T82" s="33"/>
    </row>
    <row r="83" spans="1:20" hidden="1" x14ac:dyDescent="0.25">
      <c r="A83" s="21" t="s">
        <v>81</v>
      </c>
      <c r="B83" s="69">
        <v>2</v>
      </c>
      <c r="C83" s="69">
        <v>2</v>
      </c>
      <c r="D83" s="69">
        <v>2018</v>
      </c>
      <c r="E83" s="60">
        <v>9</v>
      </c>
      <c r="F83" s="64">
        <v>0</v>
      </c>
      <c r="G83" s="60">
        <v>13</v>
      </c>
      <c r="H83" s="64">
        <v>0</v>
      </c>
      <c r="I83" s="4" t="s">
        <v>7</v>
      </c>
      <c r="J83" s="55">
        <v>4</v>
      </c>
      <c r="K83" s="4" t="s">
        <v>12</v>
      </c>
      <c r="L83" s="14" t="s">
        <v>100</v>
      </c>
      <c r="M83" s="14" t="s">
        <v>112</v>
      </c>
      <c r="N83" s="4" t="s">
        <v>52</v>
      </c>
      <c r="O83" s="4" t="s">
        <v>52</v>
      </c>
      <c r="P83" s="4" t="s">
        <v>6</v>
      </c>
      <c r="Q83" s="50">
        <v>570</v>
      </c>
      <c r="R83" s="14" t="s">
        <v>181</v>
      </c>
      <c r="S83" s="33" t="s">
        <v>322</v>
      </c>
      <c r="T83" s="33"/>
    </row>
    <row r="84" spans="1:20" hidden="1" x14ac:dyDescent="0.25">
      <c r="A84" s="21" t="s">
        <v>81</v>
      </c>
      <c r="B84" s="69">
        <v>2</v>
      </c>
      <c r="C84" s="69">
        <v>2</v>
      </c>
      <c r="D84" s="69">
        <v>2018</v>
      </c>
      <c r="E84" s="60">
        <v>14</v>
      </c>
      <c r="F84" s="64">
        <v>0</v>
      </c>
      <c r="G84" s="60">
        <v>17</v>
      </c>
      <c r="H84" s="64">
        <v>30</v>
      </c>
      <c r="I84" s="4" t="s">
        <v>7</v>
      </c>
      <c r="J84" s="55">
        <v>4</v>
      </c>
      <c r="K84" s="4" t="s">
        <v>13</v>
      </c>
      <c r="L84" s="14" t="s">
        <v>99</v>
      </c>
      <c r="M84" s="14" t="s">
        <v>609</v>
      </c>
      <c r="N84" s="4" t="s">
        <v>418</v>
      </c>
      <c r="P84" s="4" t="s">
        <v>6</v>
      </c>
      <c r="R84" s="14" t="s">
        <v>182</v>
      </c>
      <c r="S84" s="33" t="s">
        <v>322</v>
      </c>
      <c r="T84" s="33"/>
    </row>
    <row r="85" spans="1:20" hidden="1" x14ac:dyDescent="0.25">
      <c r="A85" s="24" t="s">
        <v>83</v>
      </c>
      <c r="B85" s="69">
        <v>4</v>
      </c>
      <c r="C85" s="69">
        <v>2</v>
      </c>
      <c r="D85" s="69">
        <v>2018</v>
      </c>
      <c r="E85" s="60">
        <v>19</v>
      </c>
      <c r="F85" s="64">
        <v>0</v>
      </c>
      <c r="G85" s="60">
        <v>21</v>
      </c>
      <c r="H85" s="64">
        <v>0</v>
      </c>
      <c r="I85" s="4" t="s">
        <v>16</v>
      </c>
      <c r="J85" s="55">
        <v>2</v>
      </c>
      <c r="K85" s="4" t="s">
        <v>13</v>
      </c>
      <c r="L85" s="14" t="s">
        <v>99</v>
      </c>
      <c r="M85" s="14" t="s">
        <v>609</v>
      </c>
      <c r="N85" s="4" t="s">
        <v>418</v>
      </c>
      <c r="P85" s="4" t="s">
        <v>6</v>
      </c>
      <c r="R85" s="14" t="s">
        <v>183</v>
      </c>
      <c r="S85" s="33" t="s">
        <v>322</v>
      </c>
      <c r="T85" s="33"/>
    </row>
    <row r="86" spans="1:20" hidden="1" x14ac:dyDescent="0.25">
      <c r="A86" s="23" t="s">
        <v>77</v>
      </c>
      <c r="B86" s="69">
        <v>5</v>
      </c>
      <c r="C86" s="69">
        <v>2</v>
      </c>
      <c r="D86" s="69">
        <v>2018</v>
      </c>
      <c r="E86" s="60">
        <v>7</v>
      </c>
      <c r="F86" s="64">
        <v>0</v>
      </c>
      <c r="G86" s="60">
        <v>16</v>
      </c>
      <c r="H86" s="64">
        <v>0</v>
      </c>
      <c r="I86" s="4" t="s">
        <v>7</v>
      </c>
      <c r="J86" s="55">
        <v>8</v>
      </c>
      <c r="K86" s="4" t="s">
        <v>687</v>
      </c>
      <c r="L86" s="14" t="s">
        <v>5</v>
      </c>
      <c r="M86" s="14" t="s">
        <v>104</v>
      </c>
      <c r="N86" s="4" t="s">
        <v>52</v>
      </c>
      <c r="O86" s="4" t="s">
        <v>125</v>
      </c>
      <c r="P86" s="4" t="s">
        <v>133</v>
      </c>
      <c r="Q86" s="50">
        <v>750</v>
      </c>
      <c r="S86" s="33" t="s">
        <v>322</v>
      </c>
      <c r="T86" s="33"/>
    </row>
    <row r="87" spans="1:20" hidden="1" x14ac:dyDescent="0.25">
      <c r="A87" s="21" t="s">
        <v>77</v>
      </c>
      <c r="B87" s="69">
        <v>5</v>
      </c>
      <c r="C87" s="69">
        <v>2</v>
      </c>
      <c r="D87" s="69">
        <v>2018</v>
      </c>
      <c r="E87" s="60">
        <v>9</v>
      </c>
      <c r="F87" s="64">
        <v>0</v>
      </c>
      <c r="G87" s="60">
        <v>12</v>
      </c>
      <c r="H87" s="64">
        <v>0</v>
      </c>
      <c r="I87" s="4" t="s">
        <v>7</v>
      </c>
      <c r="J87" s="55">
        <v>3</v>
      </c>
      <c r="K87" s="4" t="s">
        <v>13</v>
      </c>
      <c r="L87" s="14" t="s">
        <v>94</v>
      </c>
      <c r="M87" s="14" t="s">
        <v>109</v>
      </c>
      <c r="N87" s="4" t="s">
        <v>123</v>
      </c>
      <c r="O87" s="4" t="s">
        <v>129</v>
      </c>
      <c r="P87" s="4" t="s">
        <v>6</v>
      </c>
      <c r="Q87" s="50">
        <v>300</v>
      </c>
      <c r="R87" s="14" t="s">
        <v>184</v>
      </c>
      <c r="S87" s="33" t="s">
        <v>322</v>
      </c>
      <c r="T87" s="33"/>
    </row>
    <row r="88" spans="1:20" x14ac:dyDescent="0.25">
      <c r="A88" s="21" t="s">
        <v>77</v>
      </c>
      <c r="B88" s="69">
        <v>5</v>
      </c>
      <c r="C88" s="69">
        <v>2</v>
      </c>
      <c r="D88" s="69">
        <v>2018</v>
      </c>
      <c r="E88" s="60">
        <v>14</v>
      </c>
      <c r="F88" s="64">
        <v>0</v>
      </c>
      <c r="G88" s="60">
        <v>18</v>
      </c>
      <c r="H88" s="64">
        <v>0</v>
      </c>
      <c r="I88" s="4" t="s">
        <v>7</v>
      </c>
      <c r="J88" s="55">
        <v>4</v>
      </c>
      <c r="K88" s="4" t="s">
        <v>12</v>
      </c>
      <c r="L88" s="14" t="s">
        <v>50</v>
      </c>
      <c r="M88" s="14" t="s">
        <v>51</v>
      </c>
      <c r="N88" s="4" t="s">
        <v>52</v>
      </c>
      <c r="O88" s="4" t="s">
        <v>53</v>
      </c>
      <c r="P88" s="4" t="s">
        <v>6</v>
      </c>
      <c r="Q88" s="50">
        <v>575</v>
      </c>
      <c r="R88" s="14" t="s">
        <v>185</v>
      </c>
      <c r="S88" s="33" t="s">
        <v>322</v>
      </c>
      <c r="T88" s="33"/>
    </row>
    <row r="89" spans="1:20" hidden="1" x14ac:dyDescent="0.25">
      <c r="A89" s="23" t="s">
        <v>78</v>
      </c>
      <c r="B89" s="69">
        <v>6</v>
      </c>
      <c r="C89" s="69">
        <v>2</v>
      </c>
      <c r="D89" s="69">
        <v>2018</v>
      </c>
      <c r="E89" s="60">
        <v>7</v>
      </c>
      <c r="F89" s="64">
        <v>0</v>
      </c>
      <c r="G89" s="60">
        <v>16</v>
      </c>
      <c r="H89" s="64">
        <v>0</v>
      </c>
      <c r="I89" s="4" t="s">
        <v>7</v>
      </c>
      <c r="J89" s="55">
        <v>8</v>
      </c>
      <c r="K89" s="4" t="s">
        <v>687</v>
      </c>
      <c r="L89" s="14" t="s">
        <v>5</v>
      </c>
      <c r="M89" s="14" t="s">
        <v>104</v>
      </c>
      <c r="N89" s="4" t="s">
        <v>52</v>
      </c>
      <c r="O89" s="4" t="s">
        <v>125</v>
      </c>
      <c r="P89" s="4" t="s">
        <v>133</v>
      </c>
      <c r="Q89" s="50">
        <v>750</v>
      </c>
      <c r="S89" s="33" t="s">
        <v>322</v>
      </c>
      <c r="T89" s="33"/>
    </row>
    <row r="90" spans="1:20" x14ac:dyDescent="0.25">
      <c r="A90" s="21" t="s">
        <v>78</v>
      </c>
      <c r="B90" s="69">
        <v>6</v>
      </c>
      <c r="C90" s="69">
        <v>2</v>
      </c>
      <c r="D90" s="69">
        <v>2018</v>
      </c>
      <c r="E90" s="60">
        <v>9</v>
      </c>
      <c r="F90" s="64">
        <v>30</v>
      </c>
      <c r="G90" s="60">
        <v>12</v>
      </c>
      <c r="H90" s="64">
        <v>30</v>
      </c>
      <c r="I90" s="4" t="s">
        <v>7</v>
      </c>
      <c r="J90" s="55">
        <v>3.5</v>
      </c>
      <c r="K90" s="4" t="s">
        <v>13</v>
      </c>
      <c r="L90" s="14" t="s">
        <v>50</v>
      </c>
      <c r="M90" s="14" t="s">
        <v>51</v>
      </c>
      <c r="N90" s="4" t="s">
        <v>52</v>
      </c>
      <c r="O90" s="4" t="s">
        <v>53</v>
      </c>
      <c r="P90" s="4" t="s">
        <v>6</v>
      </c>
      <c r="Q90" s="50">
        <v>575</v>
      </c>
      <c r="R90" s="14" t="s">
        <v>186</v>
      </c>
      <c r="S90" s="33" t="s">
        <v>322</v>
      </c>
      <c r="T90" s="33"/>
    </row>
    <row r="91" spans="1:20" hidden="1" x14ac:dyDescent="0.25">
      <c r="A91" s="23" t="s">
        <v>79</v>
      </c>
      <c r="B91" s="69">
        <v>7</v>
      </c>
      <c r="C91" s="69">
        <v>2</v>
      </c>
      <c r="D91" s="69">
        <v>2018</v>
      </c>
      <c r="E91" s="60">
        <v>7</v>
      </c>
      <c r="F91" s="64">
        <v>0</v>
      </c>
      <c r="G91" s="60">
        <v>16</v>
      </c>
      <c r="H91" s="64">
        <v>0</v>
      </c>
      <c r="I91" s="4" t="s">
        <v>7</v>
      </c>
      <c r="J91" s="55">
        <v>8</v>
      </c>
      <c r="K91" s="4" t="s">
        <v>687</v>
      </c>
      <c r="L91" s="14" t="s">
        <v>5</v>
      </c>
      <c r="M91" s="14" t="s">
        <v>104</v>
      </c>
      <c r="N91" s="4" t="s">
        <v>52</v>
      </c>
      <c r="O91" s="4" t="s">
        <v>125</v>
      </c>
      <c r="P91" s="4" t="s">
        <v>133</v>
      </c>
      <c r="Q91" s="50">
        <v>750</v>
      </c>
      <c r="S91" s="33" t="s">
        <v>322</v>
      </c>
      <c r="T91" s="33"/>
    </row>
    <row r="92" spans="1:20" hidden="1" x14ac:dyDescent="0.25">
      <c r="A92" s="21" t="s">
        <v>79</v>
      </c>
      <c r="B92" s="69">
        <v>7</v>
      </c>
      <c r="C92" s="69">
        <v>2</v>
      </c>
      <c r="D92" s="69">
        <v>2018</v>
      </c>
      <c r="E92" s="60">
        <v>11</v>
      </c>
      <c r="F92" s="64">
        <v>0</v>
      </c>
      <c r="G92" s="60">
        <v>17</v>
      </c>
      <c r="H92" s="64">
        <v>0</v>
      </c>
      <c r="I92" s="4" t="s">
        <v>7</v>
      </c>
      <c r="J92" s="55">
        <v>6</v>
      </c>
      <c r="K92" s="4" t="s">
        <v>13</v>
      </c>
      <c r="L92" s="14" t="s">
        <v>5</v>
      </c>
      <c r="M92" s="14" t="s">
        <v>104</v>
      </c>
      <c r="N92" s="4" t="s">
        <v>52</v>
      </c>
      <c r="O92" s="4" t="s">
        <v>125</v>
      </c>
      <c r="P92" s="4" t="s">
        <v>6</v>
      </c>
      <c r="Q92" s="50">
        <v>575</v>
      </c>
      <c r="R92" s="14" t="s">
        <v>187</v>
      </c>
      <c r="S92" s="33" t="s">
        <v>322</v>
      </c>
      <c r="T92" s="33"/>
    </row>
    <row r="93" spans="1:20" hidden="1" x14ac:dyDescent="0.25">
      <c r="A93" s="23" t="s">
        <v>80</v>
      </c>
      <c r="B93" s="69">
        <v>8</v>
      </c>
      <c r="C93" s="69">
        <v>2</v>
      </c>
      <c r="D93" s="69">
        <v>2018</v>
      </c>
      <c r="E93" s="60">
        <v>7</v>
      </c>
      <c r="F93" s="64">
        <v>0</v>
      </c>
      <c r="G93" s="60">
        <v>16</v>
      </c>
      <c r="H93" s="64">
        <v>0</v>
      </c>
      <c r="I93" s="4" t="s">
        <v>7</v>
      </c>
      <c r="J93" s="55">
        <v>8</v>
      </c>
      <c r="K93" s="4" t="s">
        <v>687</v>
      </c>
      <c r="L93" s="14" t="s">
        <v>5</v>
      </c>
      <c r="M93" s="14" t="s">
        <v>104</v>
      </c>
      <c r="N93" s="4" t="s">
        <v>52</v>
      </c>
      <c r="O93" s="4" t="s">
        <v>125</v>
      </c>
      <c r="P93" s="4" t="s">
        <v>133</v>
      </c>
      <c r="Q93" s="50">
        <v>750</v>
      </c>
      <c r="S93" s="33" t="s">
        <v>322</v>
      </c>
      <c r="T93" s="33"/>
    </row>
    <row r="94" spans="1:20" hidden="1" x14ac:dyDescent="0.25">
      <c r="A94" s="21" t="s">
        <v>80</v>
      </c>
      <c r="B94" s="69">
        <v>8</v>
      </c>
      <c r="C94" s="69">
        <v>2</v>
      </c>
      <c r="D94" s="69">
        <v>2018</v>
      </c>
      <c r="E94" s="60">
        <v>10</v>
      </c>
      <c r="F94" s="64">
        <v>0</v>
      </c>
      <c r="G94" s="60">
        <v>15</v>
      </c>
      <c r="H94" s="64">
        <v>30</v>
      </c>
      <c r="I94" s="4" t="s">
        <v>16</v>
      </c>
      <c r="J94" s="55">
        <v>5.5</v>
      </c>
      <c r="K94" s="4" t="s">
        <v>13</v>
      </c>
      <c r="L94" s="14" t="s">
        <v>99</v>
      </c>
      <c r="M94" s="14" t="s">
        <v>609</v>
      </c>
      <c r="N94" s="4" t="s">
        <v>418</v>
      </c>
      <c r="P94" s="4" t="s">
        <v>6</v>
      </c>
      <c r="R94" s="14" t="s">
        <v>188</v>
      </c>
      <c r="S94" s="33" t="s">
        <v>322</v>
      </c>
      <c r="T94" s="33"/>
    </row>
    <row r="95" spans="1:20" hidden="1" x14ac:dyDescent="0.25">
      <c r="A95" s="23" t="s">
        <v>49</v>
      </c>
      <c r="B95" s="69">
        <v>9</v>
      </c>
      <c r="C95" s="69">
        <v>2</v>
      </c>
      <c r="D95" s="69">
        <v>2018</v>
      </c>
      <c r="E95" s="60">
        <v>7</v>
      </c>
      <c r="F95" s="64">
        <v>0</v>
      </c>
      <c r="G95" s="60">
        <v>16</v>
      </c>
      <c r="H95" s="64">
        <v>0</v>
      </c>
      <c r="I95" s="4" t="s">
        <v>7</v>
      </c>
      <c r="J95" s="55">
        <v>8</v>
      </c>
      <c r="K95" s="4" t="s">
        <v>687</v>
      </c>
      <c r="L95" s="14" t="s">
        <v>5</v>
      </c>
      <c r="M95" s="14" t="s">
        <v>104</v>
      </c>
      <c r="N95" s="4" t="s">
        <v>52</v>
      </c>
      <c r="O95" s="4" t="s">
        <v>125</v>
      </c>
      <c r="P95" s="4" t="s">
        <v>133</v>
      </c>
      <c r="Q95" s="50">
        <v>750</v>
      </c>
      <c r="S95" s="33" t="s">
        <v>322</v>
      </c>
      <c r="T95" s="33"/>
    </row>
    <row r="96" spans="1:20" hidden="1" x14ac:dyDescent="0.25">
      <c r="A96" s="21" t="s">
        <v>49</v>
      </c>
      <c r="B96" s="69">
        <v>9</v>
      </c>
      <c r="C96" s="69">
        <v>2</v>
      </c>
      <c r="D96" s="69">
        <v>2018</v>
      </c>
      <c r="E96" s="60">
        <v>10</v>
      </c>
      <c r="F96" s="64">
        <v>0</v>
      </c>
      <c r="G96" s="60">
        <v>18</v>
      </c>
      <c r="H96" s="64">
        <v>0</v>
      </c>
      <c r="I96" s="4" t="s">
        <v>7</v>
      </c>
      <c r="J96" s="55">
        <v>8</v>
      </c>
      <c r="K96" s="4" t="s">
        <v>687</v>
      </c>
      <c r="L96" s="14" t="s">
        <v>24</v>
      </c>
      <c r="M96" s="14" t="s">
        <v>105</v>
      </c>
      <c r="N96" s="4" t="s">
        <v>52</v>
      </c>
      <c r="O96" s="4" t="s">
        <v>52</v>
      </c>
      <c r="P96" s="4" t="s">
        <v>6</v>
      </c>
      <c r="Q96" s="50">
        <v>1000</v>
      </c>
      <c r="R96" s="14" t="s">
        <v>189</v>
      </c>
      <c r="S96" s="33" t="s">
        <v>322</v>
      </c>
      <c r="T96" s="33"/>
    </row>
    <row r="97" spans="1:26" hidden="1" x14ac:dyDescent="0.25">
      <c r="A97" s="23" t="s">
        <v>77</v>
      </c>
      <c r="B97" s="69" t="s">
        <v>57</v>
      </c>
      <c r="C97" s="69">
        <v>2</v>
      </c>
      <c r="D97" s="69">
        <v>2018</v>
      </c>
      <c r="E97" s="60">
        <v>7</v>
      </c>
      <c r="F97" s="64">
        <v>0</v>
      </c>
      <c r="G97" s="60">
        <v>16</v>
      </c>
      <c r="H97" s="64">
        <v>0</v>
      </c>
      <c r="I97" s="4" t="s">
        <v>7</v>
      </c>
      <c r="J97" s="55">
        <v>8</v>
      </c>
      <c r="K97" s="4" t="s">
        <v>687</v>
      </c>
      <c r="L97" s="14" t="s">
        <v>5</v>
      </c>
      <c r="M97" s="14" t="s">
        <v>104</v>
      </c>
      <c r="N97" s="4" t="s">
        <v>52</v>
      </c>
      <c r="O97" s="4" t="s">
        <v>125</v>
      </c>
      <c r="P97" s="4" t="s">
        <v>133</v>
      </c>
      <c r="Q97" s="50">
        <v>750</v>
      </c>
      <c r="S97" s="33" t="s">
        <v>322</v>
      </c>
      <c r="T97" s="33"/>
    </row>
    <row r="98" spans="1:26" hidden="1" x14ac:dyDescent="0.25">
      <c r="A98" s="21" t="s">
        <v>77</v>
      </c>
      <c r="B98" s="69" t="s">
        <v>57</v>
      </c>
      <c r="C98" s="69">
        <v>2</v>
      </c>
      <c r="D98" s="69">
        <v>2018</v>
      </c>
      <c r="E98" s="60">
        <v>10</v>
      </c>
      <c r="F98" s="64">
        <v>0</v>
      </c>
      <c r="G98" s="60">
        <v>12</v>
      </c>
      <c r="H98" s="64">
        <v>0</v>
      </c>
      <c r="I98" s="4" t="s">
        <v>16</v>
      </c>
      <c r="J98" s="55">
        <v>2</v>
      </c>
      <c r="K98" s="4" t="s">
        <v>13</v>
      </c>
      <c r="L98" s="14" t="s">
        <v>24</v>
      </c>
      <c r="M98" s="14" t="s">
        <v>105</v>
      </c>
      <c r="N98" s="4" t="s">
        <v>52</v>
      </c>
      <c r="O98" s="4" t="s">
        <v>52</v>
      </c>
      <c r="P98" s="4" t="s">
        <v>6</v>
      </c>
      <c r="Q98" s="50">
        <v>250</v>
      </c>
      <c r="R98" s="14" t="s">
        <v>190</v>
      </c>
      <c r="S98" s="33" t="s">
        <v>322</v>
      </c>
      <c r="T98" s="33"/>
    </row>
    <row r="99" spans="1:26" hidden="1" x14ac:dyDescent="0.25">
      <c r="A99" s="21" t="s">
        <v>77</v>
      </c>
      <c r="B99" s="69" t="s">
        <v>57</v>
      </c>
      <c r="C99" s="69">
        <v>2</v>
      </c>
      <c r="D99" s="69">
        <v>2018</v>
      </c>
      <c r="E99" s="60">
        <v>13</v>
      </c>
      <c r="F99" s="64">
        <v>0</v>
      </c>
      <c r="G99" s="60">
        <v>15</v>
      </c>
      <c r="H99" s="64">
        <v>0</v>
      </c>
      <c r="I99" s="4" t="s">
        <v>16</v>
      </c>
      <c r="J99" s="55">
        <v>2</v>
      </c>
      <c r="K99" s="4" t="s">
        <v>13</v>
      </c>
      <c r="L99" s="14" t="s">
        <v>99</v>
      </c>
      <c r="M99" s="14" t="s">
        <v>609</v>
      </c>
      <c r="N99" s="4" t="s">
        <v>418</v>
      </c>
      <c r="P99" s="4" t="s">
        <v>6</v>
      </c>
      <c r="R99" s="14" t="s">
        <v>191</v>
      </c>
      <c r="S99" s="33" t="s">
        <v>322</v>
      </c>
      <c r="T99" s="33"/>
    </row>
    <row r="100" spans="1:26" hidden="1" x14ac:dyDescent="0.25">
      <c r="A100" s="21" t="s">
        <v>77</v>
      </c>
      <c r="B100" s="69" t="s">
        <v>57</v>
      </c>
      <c r="C100" s="69">
        <v>2</v>
      </c>
      <c r="D100" s="69">
        <v>2018</v>
      </c>
      <c r="E100" s="60">
        <v>19</v>
      </c>
      <c r="F100" s="64">
        <v>30</v>
      </c>
      <c r="G100" s="60">
        <v>23</v>
      </c>
      <c r="H100" s="64">
        <v>0</v>
      </c>
      <c r="I100" s="4" t="s">
        <v>16</v>
      </c>
      <c r="J100" s="55">
        <v>3.5</v>
      </c>
      <c r="K100" s="4" t="s">
        <v>13</v>
      </c>
      <c r="L100" s="14" t="s">
        <v>99</v>
      </c>
      <c r="M100" s="14" t="s">
        <v>609</v>
      </c>
      <c r="N100" s="4" t="s">
        <v>418</v>
      </c>
      <c r="P100" s="4" t="s">
        <v>6</v>
      </c>
      <c r="R100" s="14" t="s">
        <v>192</v>
      </c>
      <c r="S100" s="33" t="s">
        <v>322</v>
      </c>
      <c r="T100" s="33"/>
    </row>
    <row r="101" spans="1:26" hidden="1" x14ac:dyDescent="0.25">
      <c r="A101" s="23" t="s">
        <v>78</v>
      </c>
      <c r="B101" s="69" t="s">
        <v>58</v>
      </c>
      <c r="C101" s="69">
        <v>2</v>
      </c>
      <c r="D101" s="69">
        <v>2018</v>
      </c>
      <c r="E101" s="60">
        <v>7</v>
      </c>
      <c r="F101" s="64">
        <v>0</v>
      </c>
      <c r="G101" s="60">
        <v>16</v>
      </c>
      <c r="H101" s="64">
        <v>0</v>
      </c>
      <c r="I101" s="4" t="s">
        <v>7</v>
      </c>
      <c r="J101" s="55">
        <v>8</v>
      </c>
      <c r="K101" s="4" t="s">
        <v>687</v>
      </c>
      <c r="L101" s="14" t="s">
        <v>5</v>
      </c>
      <c r="M101" s="14" t="s">
        <v>104</v>
      </c>
      <c r="N101" s="4" t="s">
        <v>52</v>
      </c>
      <c r="O101" s="4" t="s">
        <v>125</v>
      </c>
      <c r="P101" s="4" t="s">
        <v>133</v>
      </c>
      <c r="Q101" s="50">
        <v>750</v>
      </c>
      <c r="S101" s="33" t="s">
        <v>322</v>
      </c>
      <c r="T101" s="33"/>
    </row>
    <row r="102" spans="1:26" x14ac:dyDescent="0.25">
      <c r="A102" s="23" t="s">
        <v>78</v>
      </c>
      <c r="B102" s="69" t="s">
        <v>58</v>
      </c>
      <c r="C102" s="69">
        <v>2</v>
      </c>
      <c r="D102" s="69">
        <v>2018</v>
      </c>
      <c r="E102" s="60">
        <v>8</v>
      </c>
      <c r="F102" s="64">
        <v>0</v>
      </c>
      <c r="G102" s="60">
        <v>12</v>
      </c>
      <c r="H102" s="64">
        <v>0</v>
      </c>
      <c r="I102" s="4" t="s">
        <v>7</v>
      </c>
      <c r="J102" s="55">
        <v>4</v>
      </c>
      <c r="K102" s="4" t="s">
        <v>12</v>
      </c>
      <c r="L102" s="14" t="s">
        <v>50</v>
      </c>
      <c r="M102" s="14" t="s">
        <v>51</v>
      </c>
      <c r="N102" s="4" t="s">
        <v>52</v>
      </c>
      <c r="O102" s="4" t="s">
        <v>53</v>
      </c>
      <c r="P102" s="4" t="s">
        <v>6</v>
      </c>
      <c r="Q102" s="50">
        <v>575</v>
      </c>
      <c r="R102" s="14" t="s">
        <v>193</v>
      </c>
      <c r="S102" s="33" t="s">
        <v>322</v>
      </c>
      <c r="T102" s="27"/>
      <c r="U102" s="45"/>
      <c r="V102" s="45"/>
      <c r="W102" s="45"/>
      <c r="X102" s="45"/>
      <c r="Y102" s="45"/>
      <c r="Z102" s="45"/>
    </row>
    <row r="103" spans="1:26" hidden="1" x14ac:dyDescent="0.25">
      <c r="A103" s="23" t="s">
        <v>78</v>
      </c>
      <c r="B103" s="69" t="s">
        <v>58</v>
      </c>
      <c r="C103" s="69">
        <v>2</v>
      </c>
      <c r="D103" s="69">
        <v>2018</v>
      </c>
      <c r="E103" s="60">
        <v>14</v>
      </c>
      <c r="F103" s="64">
        <v>0</v>
      </c>
      <c r="G103" s="60">
        <v>18</v>
      </c>
      <c r="H103" s="64">
        <v>0</v>
      </c>
      <c r="I103" s="4" t="s">
        <v>7</v>
      </c>
      <c r="J103" s="55">
        <v>4</v>
      </c>
      <c r="K103" s="4" t="s">
        <v>12</v>
      </c>
      <c r="L103" s="14" t="s">
        <v>5</v>
      </c>
      <c r="M103" s="14" t="s">
        <v>104</v>
      </c>
      <c r="N103" s="4" t="s">
        <v>52</v>
      </c>
      <c r="O103" s="4" t="s">
        <v>125</v>
      </c>
      <c r="P103" s="4" t="s">
        <v>6</v>
      </c>
      <c r="Q103" s="50">
        <v>575</v>
      </c>
      <c r="R103" s="14" t="s">
        <v>180</v>
      </c>
      <c r="S103" s="33" t="s">
        <v>322</v>
      </c>
      <c r="T103" s="33"/>
    </row>
    <row r="104" spans="1:26" hidden="1" x14ac:dyDescent="0.25">
      <c r="A104" s="23" t="s">
        <v>79</v>
      </c>
      <c r="B104" s="69" t="s">
        <v>59</v>
      </c>
      <c r="C104" s="69">
        <v>2</v>
      </c>
      <c r="D104" s="69">
        <v>2018</v>
      </c>
      <c r="E104" s="60">
        <v>7</v>
      </c>
      <c r="F104" s="64">
        <v>0</v>
      </c>
      <c r="G104" s="60">
        <v>16</v>
      </c>
      <c r="H104" s="64">
        <v>0</v>
      </c>
      <c r="I104" s="4" t="s">
        <v>7</v>
      </c>
      <c r="J104" s="55">
        <v>8</v>
      </c>
      <c r="K104" s="4" t="s">
        <v>687</v>
      </c>
      <c r="L104" s="14" t="s">
        <v>5</v>
      </c>
      <c r="M104" s="14" t="s">
        <v>104</v>
      </c>
      <c r="N104" s="4" t="s">
        <v>52</v>
      </c>
      <c r="O104" s="4" t="s">
        <v>125</v>
      </c>
      <c r="P104" s="4" t="s">
        <v>133</v>
      </c>
      <c r="Q104" s="50">
        <v>750</v>
      </c>
      <c r="S104" s="33" t="s">
        <v>322</v>
      </c>
      <c r="T104" s="33"/>
    </row>
    <row r="105" spans="1:26" hidden="1" x14ac:dyDescent="0.25">
      <c r="A105" s="24" t="s">
        <v>79</v>
      </c>
      <c r="B105" s="69" t="s">
        <v>59</v>
      </c>
      <c r="C105" s="69">
        <v>2</v>
      </c>
      <c r="D105" s="69">
        <v>2018</v>
      </c>
      <c r="E105" s="60">
        <v>9</v>
      </c>
      <c r="F105" s="64">
        <v>0</v>
      </c>
      <c r="G105" s="60">
        <v>17</v>
      </c>
      <c r="H105" s="64">
        <v>0</v>
      </c>
      <c r="I105" s="4" t="s">
        <v>7</v>
      </c>
      <c r="J105" s="55">
        <v>8</v>
      </c>
      <c r="K105" s="4" t="s">
        <v>687</v>
      </c>
      <c r="L105" s="14" t="s">
        <v>99</v>
      </c>
      <c r="M105" s="14" t="s">
        <v>609</v>
      </c>
      <c r="N105" s="4" t="s">
        <v>419</v>
      </c>
      <c r="P105" s="4" t="s">
        <v>6</v>
      </c>
      <c r="R105" s="14" t="s">
        <v>194</v>
      </c>
      <c r="S105" s="33" t="s">
        <v>322</v>
      </c>
      <c r="T105" s="33"/>
    </row>
    <row r="106" spans="1:26" hidden="1" x14ac:dyDescent="0.25">
      <c r="A106" s="23" t="s">
        <v>80</v>
      </c>
      <c r="B106" s="69" t="s">
        <v>60</v>
      </c>
      <c r="C106" s="69">
        <v>2</v>
      </c>
      <c r="D106" s="69">
        <v>2018</v>
      </c>
      <c r="E106" s="60">
        <v>7</v>
      </c>
      <c r="F106" s="64">
        <v>0</v>
      </c>
      <c r="G106" s="60">
        <v>16</v>
      </c>
      <c r="H106" s="64">
        <v>0</v>
      </c>
      <c r="I106" s="4" t="s">
        <v>7</v>
      </c>
      <c r="J106" s="55">
        <v>8</v>
      </c>
      <c r="K106" s="4" t="s">
        <v>687</v>
      </c>
      <c r="L106" s="14" t="s">
        <v>5</v>
      </c>
      <c r="M106" s="14" t="s">
        <v>104</v>
      </c>
      <c r="N106" s="4" t="s">
        <v>52</v>
      </c>
      <c r="O106" s="4" t="s">
        <v>125</v>
      </c>
      <c r="P106" s="4" t="s">
        <v>133</v>
      </c>
      <c r="Q106" s="50">
        <v>750</v>
      </c>
      <c r="S106" s="33" t="s">
        <v>322</v>
      </c>
      <c r="T106" s="33"/>
    </row>
    <row r="107" spans="1:26" hidden="1" x14ac:dyDescent="0.25">
      <c r="A107" s="21" t="s">
        <v>80</v>
      </c>
      <c r="B107" s="69" t="s">
        <v>60</v>
      </c>
      <c r="C107" s="69">
        <v>2</v>
      </c>
      <c r="D107" s="69">
        <v>2018</v>
      </c>
      <c r="E107" s="60">
        <v>9</v>
      </c>
      <c r="F107" s="64">
        <v>0</v>
      </c>
      <c r="G107" s="60">
        <v>13</v>
      </c>
      <c r="H107" s="64">
        <v>0</v>
      </c>
      <c r="I107" s="4" t="s">
        <v>7</v>
      </c>
      <c r="J107" s="55">
        <v>4</v>
      </c>
      <c r="K107" s="4" t="s">
        <v>12</v>
      </c>
      <c r="L107" s="14" t="s">
        <v>5</v>
      </c>
      <c r="M107" s="14" t="s">
        <v>104</v>
      </c>
      <c r="N107" s="4" t="s">
        <v>52</v>
      </c>
      <c r="O107" s="4" t="s">
        <v>125</v>
      </c>
      <c r="P107" s="4" t="s">
        <v>6</v>
      </c>
      <c r="Q107" s="50">
        <v>575</v>
      </c>
      <c r="R107" s="14" t="s">
        <v>180</v>
      </c>
      <c r="S107" s="33" t="s">
        <v>322</v>
      </c>
      <c r="T107" s="33"/>
    </row>
    <row r="108" spans="1:26" hidden="1" x14ac:dyDescent="0.25">
      <c r="A108" s="21" t="s">
        <v>80</v>
      </c>
      <c r="B108" s="69" t="s">
        <v>60</v>
      </c>
      <c r="C108" s="69">
        <v>2</v>
      </c>
      <c r="D108" s="69">
        <v>2018</v>
      </c>
      <c r="E108" s="60">
        <v>19</v>
      </c>
      <c r="F108" s="64">
        <v>30</v>
      </c>
      <c r="G108" s="60">
        <v>24</v>
      </c>
      <c r="H108" s="64">
        <v>0</v>
      </c>
      <c r="I108" s="4" t="s">
        <v>16</v>
      </c>
      <c r="J108" s="55">
        <v>8</v>
      </c>
      <c r="K108" s="4" t="s">
        <v>687</v>
      </c>
      <c r="L108" s="14" t="s">
        <v>99</v>
      </c>
      <c r="M108" s="14" t="s">
        <v>609</v>
      </c>
      <c r="N108" s="4" t="s">
        <v>418</v>
      </c>
      <c r="P108" s="4" t="s">
        <v>6</v>
      </c>
      <c r="R108" s="14" t="s">
        <v>195</v>
      </c>
      <c r="S108" s="33" t="s">
        <v>322</v>
      </c>
      <c r="T108" s="33"/>
    </row>
    <row r="109" spans="1:26" hidden="1" x14ac:dyDescent="0.25">
      <c r="A109" s="23" t="s">
        <v>49</v>
      </c>
      <c r="B109" s="69" t="s">
        <v>61</v>
      </c>
      <c r="C109" s="69">
        <v>2</v>
      </c>
      <c r="D109" s="69">
        <v>2018</v>
      </c>
      <c r="E109" s="60">
        <v>7</v>
      </c>
      <c r="F109" s="64">
        <v>0</v>
      </c>
      <c r="G109" s="60">
        <v>16</v>
      </c>
      <c r="H109" s="64">
        <v>0</v>
      </c>
      <c r="I109" s="4" t="s">
        <v>7</v>
      </c>
      <c r="J109" s="55">
        <v>8</v>
      </c>
      <c r="K109" s="4" t="s">
        <v>687</v>
      </c>
      <c r="L109" s="14" t="s">
        <v>5</v>
      </c>
      <c r="M109" s="14" t="s">
        <v>104</v>
      </c>
      <c r="N109" s="4" t="s">
        <v>52</v>
      </c>
      <c r="O109" s="4" t="s">
        <v>125</v>
      </c>
      <c r="P109" s="4" t="s">
        <v>133</v>
      </c>
      <c r="Q109" s="50">
        <v>750</v>
      </c>
      <c r="S109" s="33" t="s">
        <v>322</v>
      </c>
      <c r="T109" s="33"/>
    </row>
    <row r="110" spans="1:26" hidden="1" x14ac:dyDescent="0.25">
      <c r="A110" s="21" t="s">
        <v>49</v>
      </c>
      <c r="B110" s="69" t="s">
        <v>61</v>
      </c>
      <c r="C110" s="69">
        <v>2</v>
      </c>
      <c r="D110" s="69">
        <v>2018</v>
      </c>
      <c r="E110" s="60">
        <v>8</v>
      </c>
      <c r="F110" s="64">
        <v>0</v>
      </c>
      <c r="G110" s="60">
        <v>18</v>
      </c>
      <c r="H110" s="64">
        <v>0</v>
      </c>
      <c r="I110" s="4" t="s">
        <v>7</v>
      </c>
      <c r="J110" s="55">
        <v>8</v>
      </c>
      <c r="K110" s="4" t="s">
        <v>687</v>
      </c>
      <c r="L110" s="14" t="s">
        <v>24</v>
      </c>
      <c r="M110" s="14" t="s">
        <v>105</v>
      </c>
      <c r="N110" s="4" t="s">
        <v>52</v>
      </c>
      <c r="O110" s="4" t="s">
        <v>52</v>
      </c>
      <c r="P110" s="4" t="s">
        <v>6</v>
      </c>
      <c r="Q110" s="50">
        <v>1000</v>
      </c>
      <c r="R110" s="14" t="s">
        <v>196</v>
      </c>
      <c r="S110" s="33" t="s">
        <v>322</v>
      </c>
      <c r="T110" s="33"/>
    </row>
    <row r="111" spans="1:26" hidden="1" x14ac:dyDescent="0.25">
      <c r="A111" s="23" t="s">
        <v>82</v>
      </c>
      <c r="B111" s="69" t="s">
        <v>62</v>
      </c>
      <c r="C111" s="69">
        <v>2</v>
      </c>
      <c r="D111" s="69">
        <v>2018</v>
      </c>
      <c r="E111" s="60">
        <v>14</v>
      </c>
      <c r="F111" s="64">
        <v>30</v>
      </c>
      <c r="G111" s="60">
        <v>15</v>
      </c>
      <c r="H111" s="64">
        <v>15</v>
      </c>
      <c r="I111" s="4" t="s">
        <v>16</v>
      </c>
      <c r="J111" s="55">
        <v>1</v>
      </c>
      <c r="K111" s="4" t="s">
        <v>13</v>
      </c>
      <c r="L111" s="14" t="s">
        <v>5</v>
      </c>
      <c r="M111" s="14" t="s">
        <v>104</v>
      </c>
      <c r="N111" s="4" t="s">
        <v>52</v>
      </c>
      <c r="O111" s="4" t="s">
        <v>52</v>
      </c>
      <c r="P111" s="4" t="s">
        <v>21</v>
      </c>
      <c r="Q111" s="50">
        <v>115</v>
      </c>
      <c r="R111" s="14" t="s">
        <v>197</v>
      </c>
      <c r="S111" s="33" t="s">
        <v>322</v>
      </c>
      <c r="T111" s="33"/>
    </row>
    <row r="112" spans="1:26" hidden="1" x14ac:dyDescent="0.25">
      <c r="A112" s="23" t="s">
        <v>77</v>
      </c>
      <c r="B112" s="69" t="s">
        <v>64</v>
      </c>
      <c r="C112" s="69">
        <v>2</v>
      </c>
      <c r="D112" s="69">
        <v>2018</v>
      </c>
      <c r="E112" s="60">
        <v>7</v>
      </c>
      <c r="F112" s="64">
        <v>0</v>
      </c>
      <c r="G112" s="60">
        <v>16</v>
      </c>
      <c r="H112" s="64">
        <v>0</v>
      </c>
      <c r="I112" s="4" t="s">
        <v>7</v>
      </c>
      <c r="J112" s="55">
        <v>8</v>
      </c>
      <c r="K112" s="4" t="s">
        <v>687</v>
      </c>
      <c r="L112" s="14" t="s">
        <v>5</v>
      </c>
      <c r="M112" s="14" t="s">
        <v>104</v>
      </c>
      <c r="N112" s="4" t="s">
        <v>52</v>
      </c>
      <c r="O112" s="4" t="s">
        <v>125</v>
      </c>
      <c r="P112" s="4" t="s">
        <v>133</v>
      </c>
      <c r="Q112" s="50">
        <v>750</v>
      </c>
      <c r="S112" s="33" t="s">
        <v>322</v>
      </c>
      <c r="T112" s="33"/>
    </row>
    <row r="113" spans="1:26" hidden="1" x14ac:dyDescent="0.25">
      <c r="A113" s="21" t="s">
        <v>77</v>
      </c>
      <c r="B113" s="69" t="s">
        <v>64</v>
      </c>
      <c r="C113" s="69">
        <v>2</v>
      </c>
      <c r="D113" s="69">
        <v>2018</v>
      </c>
      <c r="E113" s="60">
        <v>8</v>
      </c>
      <c r="F113" s="64">
        <v>30</v>
      </c>
      <c r="G113" s="60">
        <v>13</v>
      </c>
      <c r="H113" s="64">
        <v>0</v>
      </c>
      <c r="I113" s="4" t="s">
        <v>7</v>
      </c>
      <c r="J113" s="55">
        <v>4</v>
      </c>
      <c r="K113" s="4" t="s">
        <v>12</v>
      </c>
      <c r="L113" s="14" t="s">
        <v>24</v>
      </c>
      <c r="M113" s="14" t="s">
        <v>105</v>
      </c>
      <c r="N113" s="4" t="s">
        <v>52</v>
      </c>
      <c r="O113" s="4" t="s">
        <v>52</v>
      </c>
      <c r="P113" s="4" t="s">
        <v>6</v>
      </c>
      <c r="Q113" s="50">
        <v>600</v>
      </c>
      <c r="R113" s="14" t="s">
        <v>196</v>
      </c>
      <c r="S113" s="33" t="s">
        <v>322</v>
      </c>
      <c r="T113" s="33"/>
    </row>
    <row r="114" spans="1:26" hidden="1" x14ac:dyDescent="0.25">
      <c r="A114" s="21" t="s">
        <v>77</v>
      </c>
      <c r="B114" s="69" t="s">
        <v>64</v>
      </c>
      <c r="C114" s="69">
        <v>2</v>
      </c>
      <c r="D114" s="69">
        <v>2018</v>
      </c>
      <c r="E114" s="60">
        <v>14</v>
      </c>
      <c r="F114" s="64">
        <v>0</v>
      </c>
      <c r="G114" s="60">
        <v>18</v>
      </c>
      <c r="H114" s="64">
        <v>0</v>
      </c>
      <c r="I114" s="4" t="s">
        <v>7</v>
      </c>
      <c r="J114" s="55">
        <v>4</v>
      </c>
      <c r="K114" s="4" t="s">
        <v>12</v>
      </c>
      <c r="L114" s="14" t="s">
        <v>5</v>
      </c>
      <c r="M114" s="14" t="s">
        <v>104</v>
      </c>
      <c r="N114" s="4" t="s">
        <v>52</v>
      </c>
      <c r="O114" s="4" t="s">
        <v>125</v>
      </c>
      <c r="P114" s="4" t="s">
        <v>6</v>
      </c>
      <c r="Q114" s="50">
        <v>575</v>
      </c>
      <c r="R114" s="14" t="s">
        <v>199</v>
      </c>
      <c r="S114" s="33" t="s">
        <v>322</v>
      </c>
      <c r="T114" s="33"/>
    </row>
    <row r="115" spans="1:26" hidden="1" x14ac:dyDescent="0.25">
      <c r="A115" s="21" t="s">
        <v>77</v>
      </c>
      <c r="B115" s="69" t="s">
        <v>64</v>
      </c>
      <c r="C115" s="69">
        <v>2</v>
      </c>
      <c r="D115" s="69">
        <v>2018</v>
      </c>
      <c r="E115" s="60">
        <v>18</v>
      </c>
      <c r="F115" s="64">
        <v>0</v>
      </c>
      <c r="G115" s="60">
        <v>20</v>
      </c>
      <c r="H115" s="64">
        <v>0</v>
      </c>
      <c r="I115" s="4" t="s">
        <v>7</v>
      </c>
      <c r="J115" s="55">
        <v>2</v>
      </c>
      <c r="K115" s="4" t="s">
        <v>13</v>
      </c>
      <c r="L115" s="14" t="s">
        <v>94</v>
      </c>
      <c r="M115" s="14" t="s">
        <v>109</v>
      </c>
      <c r="N115" s="4" t="s">
        <v>123</v>
      </c>
      <c r="O115" s="4" t="s">
        <v>129</v>
      </c>
      <c r="P115" s="4" t="s">
        <v>6</v>
      </c>
      <c r="Q115" s="50">
        <v>200</v>
      </c>
      <c r="R115" s="14" t="s">
        <v>198</v>
      </c>
      <c r="S115" s="33" t="s">
        <v>322</v>
      </c>
      <c r="T115" s="33"/>
    </row>
    <row r="116" spans="1:26" hidden="1" x14ac:dyDescent="0.25">
      <c r="A116" s="23" t="s">
        <v>78</v>
      </c>
      <c r="B116" s="69" t="s">
        <v>65</v>
      </c>
      <c r="C116" s="69">
        <v>2</v>
      </c>
      <c r="D116" s="69">
        <v>2018</v>
      </c>
      <c r="E116" s="60">
        <v>7</v>
      </c>
      <c r="F116" s="64">
        <v>0</v>
      </c>
      <c r="G116" s="60">
        <v>16</v>
      </c>
      <c r="H116" s="64">
        <v>0</v>
      </c>
      <c r="I116" s="4" t="s">
        <v>7</v>
      </c>
      <c r="J116" s="55">
        <v>8</v>
      </c>
      <c r="K116" s="4" t="s">
        <v>687</v>
      </c>
      <c r="L116" s="14" t="s">
        <v>5</v>
      </c>
      <c r="M116" s="14" t="s">
        <v>104</v>
      </c>
      <c r="N116" s="4" t="s">
        <v>52</v>
      </c>
      <c r="O116" s="4" t="s">
        <v>125</v>
      </c>
      <c r="P116" s="4" t="s">
        <v>133</v>
      </c>
      <c r="Q116" s="50">
        <v>750</v>
      </c>
      <c r="S116" s="33" t="s">
        <v>322</v>
      </c>
      <c r="T116" s="33"/>
    </row>
    <row r="117" spans="1:26" x14ac:dyDescent="0.25">
      <c r="A117" s="21" t="s">
        <v>78</v>
      </c>
      <c r="B117" s="69" t="s">
        <v>65</v>
      </c>
      <c r="C117" s="69">
        <v>2</v>
      </c>
      <c r="D117" s="69">
        <v>2018</v>
      </c>
      <c r="E117" s="60">
        <v>8</v>
      </c>
      <c r="F117" s="64">
        <v>0</v>
      </c>
      <c r="G117" s="60">
        <v>12</v>
      </c>
      <c r="H117" s="64">
        <v>0</v>
      </c>
      <c r="I117" s="4" t="s">
        <v>7</v>
      </c>
      <c r="J117" s="55">
        <v>4</v>
      </c>
      <c r="K117" s="4" t="s">
        <v>12</v>
      </c>
      <c r="L117" s="14" t="s">
        <v>50</v>
      </c>
      <c r="M117" s="14" t="s">
        <v>51</v>
      </c>
      <c r="N117" s="4" t="s">
        <v>52</v>
      </c>
      <c r="O117" s="4" t="s">
        <v>53</v>
      </c>
      <c r="P117" s="4" t="s">
        <v>6</v>
      </c>
      <c r="Q117" s="50">
        <v>575</v>
      </c>
      <c r="R117" s="14" t="s">
        <v>200</v>
      </c>
      <c r="S117" s="33" t="s">
        <v>322</v>
      </c>
      <c r="T117" s="31"/>
      <c r="U117" s="87"/>
      <c r="V117" s="87"/>
      <c r="W117" s="87"/>
      <c r="X117" s="87"/>
      <c r="Y117" s="87"/>
      <c r="Z117" s="87"/>
    </row>
    <row r="118" spans="1:26" hidden="1" x14ac:dyDescent="0.25">
      <c r="A118" s="21" t="s">
        <v>78</v>
      </c>
      <c r="B118" s="69" t="s">
        <v>65</v>
      </c>
      <c r="C118" s="69">
        <v>2</v>
      </c>
      <c r="D118" s="69">
        <v>2018</v>
      </c>
      <c r="E118" s="60">
        <v>14</v>
      </c>
      <c r="F118" s="64">
        <v>0</v>
      </c>
      <c r="G118" s="60">
        <v>19</v>
      </c>
      <c r="H118" s="64">
        <v>0</v>
      </c>
      <c r="I118" s="4" t="s">
        <v>7</v>
      </c>
      <c r="J118" s="55">
        <v>4</v>
      </c>
      <c r="K118" s="4" t="s">
        <v>12</v>
      </c>
      <c r="L118" s="14" t="s">
        <v>5</v>
      </c>
      <c r="M118" s="14" t="s">
        <v>104</v>
      </c>
      <c r="N118" s="4" t="s">
        <v>52</v>
      </c>
      <c r="O118" s="4" t="s">
        <v>125</v>
      </c>
      <c r="P118" s="4" t="s">
        <v>6</v>
      </c>
      <c r="Q118" s="50">
        <v>575</v>
      </c>
      <c r="R118" s="14" t="s">
        <v>201</v>
      </c>
      <c r="S118" s="33" t="s">
        <v>322</v>
      </c>
      <c r="T118" s="33"/>
    </row>
    <row r="119" spans="1:26" hidden="1" x14ac:dyDescent="0.25">
      <c r="A119" s="23" t="s">
        <v>79</v>
      </c>
      <c r="B119" s="69" t="s">
        <v>66</v>
      </c>
      <c r="C119" s="69">
        <v>2</v>
      </c>
      <c r="D119" s="69">
        <v>2018</v>
      </c>
      <c r="E119" s="60">
        <v>7</v>
      </c>
      <c r="F119" s="64">
        <v>0</v>
      </c>
      <c r="G119" s="60">
        <v>16</v>
      </c>
      <c r="H119" s="64">
        <v>0</v>
      </c>
      <c r="I119" s="4" t="s">
        <v>7</v>
      </c>
      <c r="J119" s="55">
        <v>8</v>
      </c>
      <c r="K119" s="4" t="s">
        <v>687</v>
      </c>
      <c r="L119" s="14" t="s">
        <v>5</v>
      </c>
      <c r="M119" s="14" t="s">
        <v>104</v>
      </c>
      <c r="N119" s="4" t="s">
        <v>52</v>
      </c>
      <c r="O119" s="4" t="s">
        <v>125</v>
      </c>
      <c r="P119" s="4" t="s">
        <v>133</v>
      </c>
      <c r="Q119" s="50">
        <v>750</v>
      </c>
      <c r="S119" s="33" t="s">
        <v>322</v>
      </c>
      <c r="T119" s="33"/>
    </row>
    <row r="120" spans="1:26" hidden="1" x14ac:dyDescent="0.25">
      <c r="A120" s="23" t="s">
        <v>80</v>
      </c>
      <c r="B120" s="69" t="s">
        <v>67</v>
      </c>
      <c r="C120" s="69">
        <v>2</v>
      </c>
      <c r="D120" s="69">
        <v>2018</v>
      </c>
      <c r="E120" s="60">
        <v>7</v>
      </c>
      <c r="F120" s="64">
        <v>0</v>
      </c>
      <c r="G120" s="60">
        <v>16</v>
      </c>
      <c r="H120" s="64">
        <v>0</v>
      </c>
      <c r="I120" s="4" t="s">
        <v>7</v>
      </c>
      <c r="J120" s="55">
        <v>8</v>
      </c>
      <c r="K120" s="4" t="s">
        <v>687</v>
      </c>
      <c r="L120" s="14" t="s">
        <v>5</v>
      </c>
      <c r="M120" s="14" t="s">
        <v>104</v>
      </c>
      <c r="N120" s="4" t="s">
        <v>52</v>
      </c>
      <c r="O120" s="4" t="s">
        <v>125</v>
      </c>
      <c r="P120" s="4" t="s">
        <v>133</v>
      </c>
      <c r="Q120" s="50">
        <v>750</v>
      </c>
      <c r="S120" s="33" t="s">
        <v>322</v>
      </c>
      <c r="T120" s="33"/>
    </row>
    <row r="121" spans="1:26" hidden="1" x14ac:dyDescent="0.25">
      <c r="A121" s="21" t="s">
        <v>80</v>
      </c>
      <c r="B121" s="69" t="s">
        <v>67</v>
      </c>
      <c r="C121" s="69">
        <v>2</v>
      </c>
      <c r="D121" s="69">
        <v>2018</v>
      </c>
      <c r="E121" s="60">
        <v>10</v>
      </c>
      <c r="F121" s="64">
        <v>0</v>
      </c>
      <c r="G121" s="60">
        <v>14</v>
      </c>
      <c r="H121" s="64">
        <v>0</v>
      </c>
      <c r="I121" s="4" t="s">
        <v>16</v>
      </c>
      <c r="J121" s="55">
        <v>3.5</v>
      </c>
      <c r="K121" s="4" t="s">
        <v>13</v>
      </c>
      <c r="L121" s="14" t="s">
        <v>5</v>
      </c>
      <c r="M121" s="14" t="s">
        <v>104</v>
      </c>
      <c r="N121" s="4" t="s">
        <v>52</v>
      </c>
      <c r="O121" s="4" t="s">
        <v>125</v>
      </c>
      <c r="P121" s="4" t="s">
        <v>6</v>
      </c>
      <c r="Q121" s="50">
        <v>437.5</v>
      </c>
      <c r="R121" s="14" t="s">
        <v>202</v>
      </c>
      <c r="S121" s="33" t="s">
        <v>322</v>
      </c>
      <c r="T121" s="33"/>
    </row>
    <row r="122" spans="1:26" hidden="1" x14ac:dyDescent="0.25">
      <c r="A122" s="21" t="s">
        <v>80</v>
      </c>
      <c r="B122" s="69" t="s">
        <v>67</v>
      </c>
      <c r="C122" s="69">
        <v>2</v>
      </c>
      <c r="D122" s="69">
        <v>2018</v>
      </c>
      <c r="E122" s="60">
        <v>14</v>
      </c>
      <c r="F122" s="64">
        <v>0</v>
      </c>
      <c r="G122" s="60">
        <v>15</v>
      </c>
      <c r="H122" s="64">
        <v>0</v>
      </c>
      <c r="I122" s="4" t="s">
        <v>16</v>
      </c>
      <c r="J122" s="55">
        <v>1</v>
      </c>
      <c r="K122" s="4" t="s">
        <v>13</v>
      </c>
      <c r="L122" s="14" t="s">
        <v>94</v>
      </c>
      <c r="M122" s="14" t="s">
        <v>109</v>
      </c>
      <c r="N122" s="4" t="s">
        <v>123</v>
      </c>
      <c r="O122" s="4" t="s">
        <v>129</v>
      </c>
      <c r="P122" s="4" t="s">
        <v>6</v>
      </c>
      <c r="Q122" s="50">
        <v>100</v>
      </c>
      <c r="R122" s="14" t="s">
        <v>203</v>
      </c>
      <c r="S122" s="33" t="s">
        <v>322</v>
      </c>
      <c r="T122" s="33"/>
    </row>
    <row r="123" spans="1:26" x14ac:dyDescent="0.25">
      <c r="A123" s="21" t="s">
        <v>80</v>
      </c>
      <c r="B123" s="69" t="s">
        <v>67</v>
      </c>
      <c r="C123" s="69">
        <v>2</v>
      </c>
      <c r="D123" s="69">
        <v>2018</v>
      </c>
      <c r="E123" s="60">
        <v>15</v>
      </c>
      <c r="F123" s="64">
        <v>0</v>
      </c>
      <c r="G123" s="60">
        <v>16</v>
      </c>
      <c r="H123" s="64">
        <v>0</v>
      </c>
      <c r="I123" s="4" t="s">
        <v>16</v>
      </c>
      <c r="J123" s="55">
        <v>1</v>
      </c>
      <c r="K123" s="4" t="s">
        <v>13</v>
      </c>
      <c r="L123" s="14" t="s">
        <v>50</v>
      </c>
      <c r="M123" s="14" t="s">
        <v>51</v>
      </c>
      <c r="N123" s="4" t="s">
        <v>52</v>
      </c>
      <c r="O123" s="4" t="s">
        <v>53</v>
      </c>
      <c r="P123" s="4" t="s">
        <v>6</v>
      </c>
      <c r="Q123" s="50">
        <v>118.5</v>
      </c>
      <c r="R123" s="14" t="s">
        <v>204</v>
      </c>
      <c r="S123" s="33" t="s">
        <v>322</v>
      </c>
      <c r="T123" s="27"/>
      <c r="U123" s="45"/>
      <c r="V123" s="45"/>
      <c r="W123" s="45"/>
      <c r="X123" s="45"/>
      <c r="Y123" s="45"/>
      <c r="Z123" s="45"/>
    </row>
    <row r="124" spans="1:26" hidden="1" x14ac:dyDescent="0.25">
      <c r="A124" s="21" t="s">
        <v>80</v>
      </c>
      <c r="B124" s="69" t="s">
        <v>67</v>
      </c>
      <c r="C124" s="69">
        <v>2</v>
      </c>
      <c r="D124" s="69">
        <v>2018</v>
      </c>
      <c r="E124" s="60">
        <v>17</v>
      </c>
      <c r="F124" s="64">
        <v>0</v>
      </c>
      <c r="G124" s="60">
        <v>18</v>
      </c>
      <c r="H124" s="64">
        <v>0</v>
      </c>
      <c r="I124" s="4" t="s">
        <v>16</v>
      </c>
      <c r="J124" s="55">
        <v>1</v>
      </c>
      <c r="K124" s="4" t="s">
        <v>13</v>
      </c>
      <c r="L124" s="14" t="s">
        <v>24</v>
      </c>
      <c r="M124" s="14" t="s">
        <v>105</v>
      </c>
      <c r="N124" s="4" t="s">
        <v>52</v>
      </c>
      <c r="O124" s="4" t="s">
        <v>52</v>
      </c>
      <c r="P124" s="4" t="s">
        <v>6</v>
      </c>
      <c r="Q124" s="50">
        <v>125</v>
      </c>
      <c r="R124" s="14" t="s">
        <v>205</v>
      </c>
      <c r="S124" s="33" t="s">
        <v>322</v>
      </c>
      <c r="T124" s="33"/>
    </row>
    <row r="125" spans="1:26" hidden="1" x14ac:dyDescent="0.25">
      <c r="A125" s="23" t="s">
        <v>49</v>
      </c>
      <c r="B125" s="69" t="s">
        <v>68</v>
      </c>
      <c r="C125" s="69">
        <v>2</v>
      </c>
      <c r="D125" s="69">
        <v>2018</v>
      </c>
      <c r="E125" s="60">
        <v>7</v>
      </c>
      <c r="F125" s="64">
        <v>0</v>
      </c>
      <c r="G125" s="60">
        <v>16</v>
      </c>
      <c r="H125" s="64">
        <v>0</v>
      </c>
      <c r="I125" s="4" t="s">
        <v>7</v>
      </c>
      <c r="J125" s="55">
        <v>8</v>
      </c>
      <c r="K125" s="4" t="s">
        <v>687</v>
      </c>
      <c r="L125" s="14" t="s">
        <v>5</v>
      </c>
      <c r="M125" s="14" t="s">
        <v>104</v>
      </c>
      <c r="N125" s="4" t="s">
        <v>52</v>
      </c>
      <c r="O125" s="4" t="s">
        <v>125</v>
      </c>
      <c r="P125" s="4" t="s">
        <v>133</v>
      </c>
      <c r="Q125" s="50">
        <v>750</v>
      </c>
      <c r="S125" s="33" t="s">
        <v>322</v>
      </c>
      <c r="T125" s="33"/>
    </row>
    <row r="126" spans="1:26" hidden="1" x14ac:dyDescent="0.25">
      <c r="A126" s="23" t="s">
        <v>49</v>
      </c>
      <c r="B126" s="69" t="s">
        <v>68</v>
      </c>
      <c r="C126" s="69">
        <v>2</v>
      </c>
      <c r="D126" s="69">
        <v>2018</v>
      </c>
      <c r="E126" s="60">
        <v>9</v>
      </c>
      <c r="F126" s="64">
        <v>0</v>
      </c>
      <c r="G126" s="60">
        <v>17</v>
      </c>
      <c r="H126" s="64">
        <v>0</v>
      </c>
      <c r="I126" s="4" t="s">
        <v>16</v>
      </c>
      <c r="J126" s="55">
        <v>8</v>
      </c>
      <c r="K126" s="4" t="s">
        <v>687</v>
      </c>
      <c r="L126" s="14" t="s">
        <v>99</v>
      </c>
      <c r="M126" s="14" t="s">
        <v>609</v>
      </c>
      <c r="N126" s="4" t="s">
        <v>419</v>
      </c>
      <c r="P126" s="4" t="s">
        <v>6</v>
      </c>
      <c r="S126" s="33" t="s">
        <v>322</v>
      </c>
      <c r="T126" s="33"/>
    </row>
    <row r="127" spans="1:26" hidden="1" x14ac:dyDescent="0.25">
      <c r="A127" s="23" t="s">
        <v>77</v>
      </c>
      <c r="B127" s="69" t="s">
        <v>71</v>
      </c>
      <c r="C127" s="69">
        <v>2</v>
      </c>
      <c r="D127" s="69">
        <v>2018</v>
      </c>
      <c r="E127" s="60">
        <v>7</v>
      </c>
      <c r="F127" s="64">
        <v>0</v>
      </c>
      <c r="G127" s="60">
        <v>16</v>
      </c>
      <c r="H127" s="64">
        <v>0</v>
      </c>
      <c r="I127" s="4" t="s">
        <v>7</v>
      </c>
      <c r="J127" s="55">
        <v>8</v>
      </c>
      <c r="K127" s="4" t="s">
        <v>687</v>
      </c>
      <c r="L127" s="14" t="s">
        <v>5</v>
      </c>
      <c r="M127" s="14" t="s">
        <v>104</v>
      </c>
      <c r="N127" s="4" t="s">
        <v>52</v>
      </c>
      <c r="O127" s="4" t="s">
        <v>125</v>
      </c>
      <c r="P127" s="4" t="s">
        <v>133</v>
      </c>
      <c r="Q127" s="50">
        <v>750</v>
      </c>
      <c r="S127" s="33" t="s">
        <v>322</v>
      </c>
      <c r="T127" s="33"/>
    </row>
    <row r="128" spans="1:26" hidden="1" x14ac:dyDescent="0.25">
      <c r="A128" s="23" t="s">
        <v>78</v>
      </c>
      <c r="B128" s="69" t="s">
        <v>72</v>
      </c>
      <c r="C128" s="69">
        <v>2</v>
      </c>
      <c r="D128" s="69">
        <v>2018</v>
      </c>
      <c r="E128" s="60">
        <v>7</v>
      </c>
      <c r="F128" s="64">
        <v>0</v>
      </c>
      <c r="G128" s="60">
        <v>16</v>
      </c>
      <c r="H128" s="64">
        <v>0</v>
      </c>
      <c r="I128" s="4" t="s">
        <v>7</v>
      </c>
      <c r="J128" s="55">
        <v>8</v>
      </c>
      <c r="K128" s="4" t="s">
        <v>687</v>
      </c>
      <c r="L128" s="14" t="s">
        <v>5</v>
      </c>
      <c r="M128" s="14" t="s">
        <v>104</v>
      </c>
      <c r="N128" s="4" t="s">
        <v>52</v>
      </c>
      <c r="O128" s="4" t="s">
        <v>125</v>
      </c>
      <c r="P128" s="4" t="s">
        <v>133</v>
      </c>
      <c r="Q128" s="50">
        <v>750</v>
      </c>
      <c r="S128" s="33" t="s">
        <v>322</v>
      </c>
      <c r="T128" s="33"/>
    </row>
    <row r="129" spans="1:26" hidden="1" x14ac:dyDescent="0.25">
      <c r="A129" s="23" t="s">
        <v>79</v>
      </c>
      <c r="B129" s="69" t="s">
        <v>73</v>
      </c>
      <c r="C129" s="69">
        <v>2</v>
      </c>
      <c r="D129" s="69">
        <v>2018</v>
      </c>
      <c r="E129" s="60">
        <v>7</v>
      </c>
      <c r="F129" s="64">
        <v>0</v>
      </c>
      <c r="G129" s="60">
        <v>16</v>
      </c>
      <c r="H129" s="64">
        <v>0</v>
      </c>
      <c r="I129" s="4" t="s">
        <v>7</v>
      </c>
      <c r="J129" s="55">
        <v>8</v>
      </c>
      <c r="K129" s="4" t="s">
        <v>687</v>
      </c>
      <c r="L129" s="14" t="s">
        <v>5</v>
      </c>
      <c r="M129" s="14" t="s">
        <v>104</v>
      </c>
      <c r="N129" s="4" t="s">
        <v>52</v>
      </c>
      <c r="O129" s="4" t="s">
        <v>125</v>
      </c>
      <c r="P129" s="4" t="s">
        <v>133</v>
      </c>
      <c r="Q129" s="50">
        <v>750</v>
      </c>
      <c r="S129" s="33" t="s">
        <v>322</v>
      </c>
      <c r="T129" s="33"/>
    </row>
    <row r="130" spans="1:26" hidden="1" x14ac:dyDescent="0.25">
      <c r="A130" s="23" t="s">
        <v>80</v>
      </c>
      <c r="B130" s="69">
        <v>1</v>
      </c>
      <c r="C130" s="69">
        <v>3</v>
      </c>
      <c r="D130" s="69">
        <v>2018</v>
      </c>
      <c r="E130" s="60">
        <v>9</v>
      </c>
      <c r="F130" s="64">
        <v>0</v>
      </c>
      <c r="G130" s="60">
        <v>17</v>
      </c>
      <c r="H130" s="64">
        <v>0</v>
      </c>
      <c r="I130" s="4" t="s">
        <v>16</v>
      </c>
      <c r="J130" s="55">
        <v>8</v>
      </c>
      <c r="K130" s="4" t="s">
        <v>687</v>
      </c>
      <c r="L130" s="14" t="s">
        <v>99</v>
      </c>
      <c r="M130" s="14" t="s">
        <v>609</v>
      </c>
      <c r="N130" s="4" t="s">
        <v>419</v>
      </c>
      <c r="P130" s="4" t="s">
        <v>6</v>
      </c>
      <c r="S130" s="33" t="s">
        <v>322</v>
      </c>
      <c r="T130" s="33"/>
    </row>
    <row r="131" spans="1:26" hidden="1" x14ac:dyDescent="0.25">
      <c r="A131" s="23" t="s">
        <v>49</v>
      </c>
      <c r="B131" s="69">
        <v>2</v>
      </c>
      <c r="C131" s="69">
        <v>3</v>
      </c>
      <c r="D131" s="69">
        <v>2018</v>
      </c>
      <c r="E131" s="60">
        <v>9</v>
      </c>
      <c r="F131" s="64">
        <v>0</v>
      </c>
      <c r="G131" s="60">
        <v>17</v>
      </c>
      <c r="H131" s="64">
        <v>0</v>
      </c>
      <c r="I131" s="4" t="s">
        <v>16</v>
      </c>
      <c r="J131" s="55">
        <v>8</v>
      </c>
      <c r="K131" s="4" t="s">
        <v>687</v>
      </c>
      <c r="L131" s="14" t="s">
        <v>99</v>
      </c>
      <c r="M131" s="14" t="s">
        <v>609</v>
      </c>
      <c r="N131" s="4" t="s">
        <v>419</v>
      </c>
      <c r="P131" s="4" t="s">
        <v>6</v>
      </c>
      <c r="S131" s="33" t="s">
        <v>322</v>
      </c>
      <c r="T131" s="33"/>
    </row>
    <row r="132" spans="1:26" hidden="1" x14ac:dyDescent="0.25">
      <c r="A132" s="23" t="s">
        <v>77</v>
      </c>
      <c r="B132" s="69">
        <v>5</v>
      </c>
      <c r="C132" s="69">
        <v>3</v>
      </c>
      <c r="D132" s="69">
        <v>2018</v>
      </c>
      <c r="E132" s="60">
        <v>9</v>
      </c>
      <c r="F132" s="64">
        <v>0</v>
      </c>
      <c r="G132" s="60">
        <v>17</v>
      </c>
      <c r="H132" s="64">
        <v>0</v>
      </c>
      <c r="I132" s="4" t="s">
        <v>16</v>
      </c>
      <c r="J132" s="55">
        <v>8</v>
      </c>
      <c r="K132" s="4" t="s">
        <v>687</v>
      </c>
      <c r="L132" s="14" t="s">
        <v>99</v>
      </c>
      <c r="M132" s="14" t="s">
        <v>609</v>
      </c>
      <c r="N132" s="4" t="s">
        <v>419</v>
      </c>
      <c r="P132" s="4" t="s">
        <v>6</v>
      </c>
      <c r="S132" s="33" t="s">
        <v>322</v>
      </c>
      <c r="T132" s="33"/>
    </row>
    <row r="133" spans="1:26" x14ac:dyDescent="0.25">
      <c r="A133" s="23" t="s">
        <v>78</v>
      </c>
      <c r="B133" s="69">
        <v>6</v>
      </c>
      <c r="C133" s="69">
        <v>3</v>
      </c>
      <c r="D133" s="69">
        <v>2018</v>
      </c>
      <c r="E133" s="60">
        <v>8</v>
      </c>
      <c r="F133" s="64">
        <v>30</v>
      </c>
      <c r="G133" s="60">
        <v>12</v>
      </c>
      <c r="H133" s="64">
        <v>30</v>
      </c>
      <c r="I133" s="4" t="s">
        <v>7</v>
      </c>
      <c r="J133" s="55">
        <v>4</v>
      </c>
      <c r="K133" s="4" t="s">
        <v>12</v>
      </c>
      <c r="L133" s="14" t="s">
        <v>50</v>
      </c>
      <c r="M133" s="14" t="s">
        <v>51</v>
      </c>
      <c r="N133" s="4" t="s">
        <v>52</v>
      </c>
      <c r="O133" s="4" t="s">
        <v>53</v>
      </c>
      <c r="P133" s="4" t="s">
        <v>6</v>
      </c>
      <c r="Q133" s="50">
        <v>575</v>
      </c>
      <c r="R133" s="14" t="s">
        <v>206</v>
      </c>
      <c r="S133" s="33" t="s">
        <v>322</v>
      </c>
      <c r="T133" s="33"/>
    </row>
    <row r="134" spans="1:26" hidden="1" x14ac:dyDescent="0.25">
      <c r="A134" s="23" t="s">
        <v>78</v>
      </c>
      <c r="B134" s="69">
        <v>6</v>
      </c>
      <c r="C134" s="69">
        <v>3</v>
      </c>
      <c r="D134" s="69">
        <v>2018</v>
      </c>
      <c r="E134" s="60">
        <v>13</v>
      </c>
      <c r="F134" s="64">
        <v>0</v>
      </c>
      <c r="G134" s="60">
        <v>17</v>
      </c>
      <c r="H134" s="64">
        <v>0</v>
      </c>
      <c r="I134" s="4" t="s">
        <v>7</v>
      </c>
      <c r="J134" s="55">
        <v>4</v>
      </c>
      <c r="K134" s="4" t="s">
        <v>12</v>
      </c>
      <c r="L134" s="14" t="s">
        <v>5</v>
      </c>
      <c r="M134" s="14" t="s">
        <v>104</v>
      </c>
      <c r="N134" s="4" t="s">
        <v>52</v>
      </c>
      <c r="O134" s="4" t="s">
        <v>125</v>
      </c>
      <c r="P134" s="4" t="s">
        <v>6</v>
      </c>
      <c r="Q134" s="50">
        <v>575</v>
      </c>
      <c r="R134" s="14" t="s">
        <v>207</v>
      </c>
      <c r="S134" s="33" t="s">
        <v>322</v>
      </c>
      <c r="T134" s="33"/>
    </row>
    <row r="135" spans="1:26" hidden="1" x14ac:dyDescent="0.25">
      <c r="A135" s="23" t="s">
        <v>79</v>
      </c>
      <c r="B135" s="69">
        <v>7</v>
      </c>
      <c r="C135" s="69">
        <v>3</v>
      </c>
      <c r="D135" s="69">
        <v>2018</v>
      </c>
      <c r="E135" s="60">
        <v>9</v>
      </c>
      <c r="F135" s="64">
        <v>0</v>
      </c>
      <c r="G135" s="60">
        <v>17</v>
      </c>
      <c r="H135" s="64">
        <v>0</v>
      </c>
      <c r="I135" s="4" t="s">
        <v>7</v>
      </c>
      <c r="J135" s="55">
        <v>8</v>
      </c>
      <c r="K135" s="4" t="s">
        <v>687</v>
      </c>
      <c r="L135" s="14" t="s">
        <v>24</v>
      </c>
      <c r="M135" s="14" t="s">
        <v>105</v>
      </c>
      <c r="N135" s="4" t="s">
        <v>52</v>
      </c>
      <c r="O135" s="4" t="s">
        <v>52</v>
      </c>
      <c r="P135" s="4" t="s">
        <v>6</v>
      </c>
      <c r="Q135" s="50">
        <v>1000</v>
      </c>
      <c r="R135" s="14" t="s">
        <v>208</v>
      </c>
      <c r="S135" s="33" t="s">
        <v>322</v>
      </c>
      <c r="T135" s="33"/>
    </row>
    <row r="136" spans="1:26" hidden="1" x14ac:dyDescent="0.25">
      <c r="A136" s="23" t="s">
        <v>80</v>
      </c>
      <c r="B136" s="69">
        <v>8</v>
      </c>
      <c r="C136" s="69">
        <v>3</v>
      </c>
      <c r="D136" s="69">
        <v>2018</v>
      </c>
      <c r="E136" s="60">
        <v>9</v>
      </c>
      <c r="F136" s="64">
        <v>0</v>
      </c>
      <c r="G136" s="60">
        <v>17</v>
      </c>
      <c r="H136" s="64">
        <v>0</v>
      </c>
      <c r="I136" s="4" t="s">
        <v>7</v>
      </c>
      <c r="J136" s="55">
        <v>8</v>
      </c>
      <c r="K136" s="4" t="s">
        <v>687</v>
      </c>
      <c r="L136" s="14" t="s">
        <v>5</v>
      </c>
      <c r="M136" s="14" t="s">
        <v>104</v>
      </c>
      <c r="N136" s="4" t="s">
        <v>52</v>
      </c>
      <c r="O136" s="4" t="s">
        <v>125</v>
      </c>
      <c r="P136" s="4" t="s">
        <v>6</v>
      </c>
      <c r="Q136" s="50">
        <v>1050</v>
      </c>
      <c r="R136" s="14" t="s">
        <v>207</v>
      </c>
      <c r="S136" s="33" t="s">
        <v>322</v>
      </c>
      <c r="T136" s="33"/>
    </row>
    <row r="137" spans="1:26" x14ac:dyDescent="0.25">
      <c r="A137" s="23" t="s">
        <v>49</v>
      </c>
      <c r="B137" s="69">
        <v>9</v>
      </c>
      <c r="C137" s="69">
        <v>3</v>
      </c>
      <c r="D137" s="69">
        <v>2018</v>
      </c>
      <c r="E137" s="60">
        <v>12</v>
      </c>
      <c r="F137" s="64">
        <v>0</v>
      </c>
      <c r="G137" s="60">
        <v>16</v>
      </c>
      <c r="H137" s="64">
        <v>0</v>
      </c>
      <c r="I137" s="4" t="s">
        <v>7</v>
      </c>
      <c r="J137" s="55">
        <v>4</v>
      </c>
      <c r="K137" s="4" t="s">
        <v>12</v>
      </c>
      <c r="L137" s="14" t="s">
        <v>50</v>
      </c>
      <c r="M137" s="14" t="s">
        <v>51</v>
      </c>
      <c r="N137" s="4" t="s">
        <v>52</v>
      </c>
      <c r="O137" s="4" t="s">
        <v>53</v>
      </c>
      <c r="P137" s="4" t="s">
        <v>6</v>
      </c>
      <c r="Q137" s="50">
        <v>575</v>
      </c>
      <c r="R137" s="14" t="s">
        <v>206</v>
      </c>
      <c r="S137" s="33" t="s">
        <v>322</v>
      </c>
      <c r="T137" s="31"/>
      <c r="U137" s="87"/>
      <c r="V137" s="87"/>
      <c r="W137" s="87"/>
      <c r="X137" s="87"/>
      <c r="Y137" s="87"/>
      <c r="Z137" s="87"/>
    </row>
    <row r="138" spans="1:26" hidden="1" x14ac:dyDescent="0.25">
      <c r="A138" s="23" t="s">
        <v>77</v>
      </c>
      <c r="B138" s="69" t="s">
        <v>57</v>
      </c>
      <c r="C138" s="69">
        <v>3</v>
      </c>
      <c r="D138" s="69">
        <v>2018</v>
      </c>
      <c r="E138" s="60">
        <v>8</v>
      </c>
      <c r="F138" s="64">
        <v>30</v>
      </c>
      <c r="G138" s="60">
        <v>10</v>
      </c>
      <c r="H138" s="64">
        <v>0</v>
      </c>
      <c r="I138" s="4" t="s">
        <v>16</v>
      </c>
      <c r="J138" s="55">
        <v>1.5</v>
      </c>
      <c r="K138" s="4" t="s">
        <v>13</v>
      </c>
      <c r="L138" s="14" t="s">
        <v>5</v>
      </c>
      <c r="M138" s="14" t="s">
        <v>104</v>
      </c>
      <c r="N138" s="4" t="s">
        <v>52</v>
      </c>
      <c r="O138" s="4" t="s">
        <v>125</v>
      </c>
      <c r="P138" s="4" t="s">
        <v>6</v>
      </c>
      <c r="Q138" s="50">
        <v>187.5</v>
      </c>
      <c r="R138" s="14" t="s">
        <v>209</v>
      </c>
      <c r="S138" s="33" t="s">
        <v>322</v>
      </c>
      <c r="T138" s="33"/>
    </row>
    <row r="139" spans="1:26" x14ac:dyDescent="0.25">
      <c r="A139" s="23" t="s">
        <v>77</v>
      </c>
      <c r="B139" s="69" t="s">
        <v>57</v>
      </c>
      <c r="C139" s="69">
        <v>3</v>
      </c>
      <c r="D139" s="69">
        <v>2018</v>
      </c>
      <c r="E139" s="60">
        <v>10</v>
      </c>
      <c r="F139" s="64">
        <v>0</v>
      </c>
      <c r="G139" s="60">
        <v>10</v>
      </c>
      <c r="H139" s="64">
        <v>30</v>
      </c>
      <c r="I139" s="4" t="s">
        <v>16</v>
      </c>
      <c r="J139" s="55">
        <v>1</v>
      </c>
      <c r="K139" s="4" t="s">
        <v>13</v>
      </c>
      <c r="L139" s="14" t="s">
        <v>50</v>
      </c>
      <c r="M139" s="14" t="s">
        <v>51</v>
      </c>
      <c r="N139" s="4" t="s">
        <v>52</v>
      </c>
      <c r="O139" s="4" t="s">
        <v>53</v>
      </c>
      <c r="P139" s="4" t="s">
        <v>6</v>
      </c>
      <c r="Q139" s="50">
        <v>118.75</v>
      </c>
      <c r="R139" s="14" t="s">
        <v>210</v>
      </c>
      <c r="S139" s="33" t="s">
        <v>322</v>
      </c>
      <c r="T139" s="33"/>
    </row>
    <row r="140" spans="1:26" hidden="1" x14ac:dyDescent="0.25">
      <c r="A140" s="23" t="s">
        <v>77</v>
      </c>
      <c r="B140" s="69" t="s">
        <v>57</v>
      </c>
      <c r="C140" s="69">
        <v>3</v>
      </c>
      <c r="D140" s="69">
        <v>2018</v>
      </c>
      <c r="E140" s="60">
        <v>10</v>
      </c>
      <c r="F140" s="64">
        <v>30</v>
      </c>
      <c r="G140" s="60">
        <v>11</v>
      </c>
      <c r="H140" s="64">
        <v>30</v>
      </c>
      <c r="I140" s="4" t="s">
        <v>16</v>
      </c>
      <c r="J140" s="55">
        <v>1</v>
      </c>
      <c r="K140" s="4" t="s">
        <v>13</v>
      </c>
      <c r="L140" s="14" t="s">
        <v>94</v>
      </c>
      <c r="M140" s="14" t="s">
        <v>109</v>
      </c>
      <c r="N140" s="4" t="s">
        <v>52</v>
      </c>
      <c r="P140" s="4" t="s">
        <v>6</v>
      </c>
      <c r="Q140" s="50">
        <v>100</v>
      </c>
      <c r="R140" s="14" t="s">
        <v>211</v>
      </c>
      <c r="S140" s="33" t="s">
        <v>322</v>
      </c>
      <c r="T140" s="33"/>
    </row>
    <row r="141" spans="1:26" x14ac:dyDescent="0.25">
      <c r="A141" s="23" t="s">
        <v>78</v>
      </c>
      <c r="B141" s="69" t="s">
        <v>58</v>
      </c>
      <c r="C141" s="69">
        <v>3</v>
      </c>
      <c r="D141" s="69">
        <v>2018</v>
      </c>
      <c r="E141" s="60">
        <v>8</v>
      </c>
      <c r="F141" s="64">
        <v>30</v>
      </c>
      <c r="G141" s="60">
        <v>12</v>
      </c>
      <c r="H141" s="64">
        <v>30</v>
      </c>
      <c r="I141" s="4" t="s">
        <v>7</v>
      </c>
      <c r="J141" s="55">
        <v>4</v>
      </c>
      <c r="K141" s="4" t="s">
        <v>12</v>
      </c>
      <c r="L141" s="14" t="s">
        <v>50</v>
      </c>
      <c r="M141" s="14" t="s">
        <v>51</v>
      </c>
      <c r="N141" s="4" t="s">
        <v>52</v>
      </c>
      <c r="O141" s="4" t="s">
        <v>53</v>
      </c>
      <c r="P141" s="4" t="s">
        <v>6</v>
      </c>
      <c r="Q141" s="50">
        <v>575</v>
      </c>
      <c r="R141" s="14" t="s">
        <v>206</v>
      </c>
      <c r="S141" s="33" t="s">
        <v>322</v>
      </c>
      <c r="T141" s="33"/>
    </row>
    <row r="142" spans="1:26" hidden="1" x14ac:dyDescent="0.25">
      <c r="A142" s="23" t="s">
        <v>78</v>
      </c>
      <c r="B142" s="69" t="s">
        <v>58</v>
      </c>
      <c r="C142" s="69">
        <v>3</v>
      </c>
      <c r="D142" s="69">
        <v>2018</v>
      </c>
      <c r="E142" s="60">
        <v>13</v>
      </c>
      <c r="F142" s="64">
        <v>0</v>
      </c>
      <c r="G142" s="60">
        <v>17</v>
      </c>
      <c r="H142" s="64">
        <v>0</v>
      </c>
      <c r="I142" s="4" t="s">
        <v>7</v>
      </c>
      <c r="J142" s="55">
        <v>4</v>
      </c>
      <c r="K142" s="4" t="s">
        <v>12</v>
      </c>
      <c r="L142" s="14" t="s">
        <v>5</v>
      </c>
      <c r="M142" s="14" t="s">
        <v>104</v>
      </c>
      <c r="N142" s="4" t="s">
        <v>52</v>
      </c>
      <c r="O142" s="4" t="s">
        <v>125</v>
      </c>
      <c r="P142" s="4" t="s">
        <v>6</v>
      </c>
      <c r="Q142" s="50">
        <v>575</v>
      </c>
      <c r="R142" s="14" t="s">
        <v>207</v>
      </c>
      <c r="S142" s="33" t="s">
        <v>322</v>
      </c>
      <c r="T142" s="33"/>
    </row>
    <row r="143" spans="1:26" hidden="1" x14ac:dyDescent="0.25">
      <c r="A143" s="23" t="s">
        <v>79</v>
      </c>
      <c r="B143" s="69" t="s">
        <v>59</v>
      </c>
      <c r="C143" s="69">
        <v>3</v>
      </c>
      <c r="D143" s="69">
        <v>2018</v>
      </c>
      <c r="E143" s="60">
        <v>9</v>
      </c>
      <c r="F143" s="64">
        <v>0</v>
      </c>
      <c r="G143" s="60">
        <v>17</v>
      </c>
      <c r="H143" s="64">
        <v>0</v>
      </c>
      <c r="I143" s="4" t="s">
        <v>7</v>
      </c>
      <c r="J143" s="55">
        <v>8</v>
      </c>
      <c r="K143" s="4" t="s">
        <v>687</v>
      </c>
      <c r="L143" s="14" t="s">
        <v>24</v>
      </c>
      <c r="M143" s="14" t="s">
        <v>105</v>
      </c>
      <c r="N143" s="4" t="s">
        <v>52</v>
      </c>
      <c r="O143" s="4" t="s">
        <v>52</v>
      </c>
      <c r="P143" s="4" t="s">
        <v>6</v>
      </c>
      <c r="Q143" s="50">
        <v>1000</v>
      </c>
      <c r="R143" s="14" t="s">
        <v>208</v>
      </c>
      <c r="S143" s="33" t="s">
        <v>322</v>
      </c>
      <c r="T143" s="33"/>
    </row>
    <row r="144" spans="1:26" hidden="1" x14ac:dyDescent="0.25">
      <c r="A144" s="23" t="s">
        <v>79</v>
      </c>
      <c r="B144" s="69" t="s">
        <v>59</v>
      </c>
      <c r="C144" s="69">
        <v>3</v>
      </c>
      <c r="D144" s="69">
        <v>2018</v>
      </c>
      <c r="E144" s="60">
        <v>10</v>
      </c>
      <c r="F144" s="64">
        <v>0</v>
      </c>
      <c r="G144" s="60">
        <v>12</v>
      </c>
      <c r="H144" s="64">
        <v>0</v>
      </c>
      <c r="I144" s="4" t="s">
        <v>16</v>
      </c>
      <c r="J144" s="55">
        <v>2</v>
      </c>
      <c r="K144" s="4" t="s">
        <v>13</v>
      </c>
      <c r="L144" s="14" t="s">
        <v>5</v>
      </c>
      <c r="M144" s="14" t="s">
        <v>104</v>
      </c>
      <c r="N144" s="4" t="s">
        <v>52</v>
      </c>
      <c r="O144" s="4" t="s">
        <v>52</v>
      </c>
      <c r="P144" s="4" t="s">
        <v>21</v>
      </c>
      <c r="Q144" s="50">
        <v>237.5</v>
      </c>
      <c r="R144" s="14" t="s">
        <v>212</v>
      </c>
      <c r="S144" s="33" t="s">
        <v>322</v>
      </c>
      <c r="T144" s="33"/>
    </row>
    <row r="145" spans="1:26" hidden="1" x14ac:dyDescent="0.25">
      <c r="A145" s="23" t="s">
        <v>80</v>
      </c>
      <c r="B145" s="69" t="s">
        <v>60</v>
      </c>
      <c r="C145" s="69">
        <v>3</v>
      </c>
      <c r="D145" s="69">
        <v>2018</v>
      </c>
      <c r="E145" s="60">
        <v>8</v>
      </c>
      <c r="F145" s="64">
        <v>30</v>
      </c>
      <c r="G145" s="60">
        <v>10</v>
      </c>
      <c r="H145" s="64">
        <v>0</v>
      </c>
      <c r="I145" s="4" t="s">
        <v>16</v>
      </c>
      <c r="J145" s="55">
        <v>1.5</v>
      </c>
      <c r="K145" s="4" t="s">
        <v>13</v>
      </c>
      <c r="L145" s="14" t="s">
        <v>94</v>
      </c>
      <c r="M145" s="14" t="s">
        <v>109</v>
      </c>
      <c r="N145" s="4" t="s">
        <v>52</v>
      </c>
      <c r="P145" s="4" t="s">
        <v>6</v>
      </c>
      <c r="Q145" s="50">
        <v>150</v>
      </c>
      <c r="R145" s="14" t="s">
        <v>213</v>
      </c>
      <c r="S145" s="33" t="s">
        <v>322</v>
      </c>
      <c r="T145" s="33"/>
    </row>
    <row r="146" spans="1:26" x14ac:dyDescent="0.25">
      <c r="A146" s="23" t="s">
        <v>80</v>
      </c>
      <c r="B146" s="69" t="s">
        <v>60</v>
      </c>
      <c r="C146" s="69">
        <v>3</v>
      </c>
      <c r="D146" s="69">
        <v>2018</v>
      </c>
      <c r="E146" s="60">
        <v>10</v>
      </c>
      <c r="F146" s="64">
        <v>0</v>
      </c>
      <c r="G146" s="60">
        <v>11</v>
      </c>
      <c r="H146" s="64">
        <v>0</v>
      </c>
      <c r="I146" s="4" t="s">
        <v>16</v>
      </c>
      <c r="J146" s="55">
        <v>0.5</v>
      </c>
      <c r="K146" s="4" t="s">
        <v>13</v>
      </c>
      <c r="L146" s="14" t="s">
        <v>50</v>
      </c>
      <c r="M146" s="14" t="s">
        <v>51</v>
      </c>
      <c r="N146" s="4" t="s">
        <v>52</v>
      </c>
      <c r="O146" s="4" t="s">
        <v>53</v>
      </c>
      <c r="P146" s="4" t="s">
        <v>6</v>
      </c>
      <c r="Q146" s="50">
        <v>59.375</v>
      </c>
      <c r="R146" s="14" t="s">
        <v>214</v>
      </c>
      <c r="S146" s="33" t="s">
        <v>322</v>
      </c>
      <c r="T146" s="33"/>
    </row>
    <row r="147" spans="1:26" hidden="1" x14ac:dyDescent="0.25">
      <c r="A147" s="23" t="s">
        <v>80</v>
      </c>
      <c r="B147" s="69" t="s">
        <v>60</v>
      </c>
      <c r="C147" s="69">
        <v>3</v>
      </c>
      <c r="D147" s="69">
        <v>2018</v>
      </c>
      <c r="E147" s="60">
        <v>14</v>
      </c>
      <c r="F147" s="64">
        <v>0</v>
      </c>
      <c r="G147" s="60">
        <v>16</v>
      </c>
      <c r="H147" s="64">
        <v>30</v>
      </c>
      <c r="I147" s="4" t="s">
        <v>16</v>
      </c>
      <c r="J147" s="55">
        <v>2.5</v>
      </c>
      <c r="K147" s="4" t="s">
        <v>13</v>
      </c>
      <c r="L147" s="14" t="s">
        <v>24</v>
      </c>
      <c r="M147" s="14" t="s">
        <v>105</v>
      </c>
      <c r="N147" s="4" t="s">
        <v>52</v>
      </c>
      <c r="O147" s="4" t="s">
        <v>52</v>
      </c>
      <c r="P147" s="4" t="s">
        <v>6</v>
      </c>
      <c r="Q147" s="50">
        <v>312.5</v>
      </c>
      <c r="R147" s="14" t="s">
        <v>215</v>
      </c>
      <c r="S147" s="33" t="s">
        <v>322</v>
      </c>
      <c r="T147" s="33"/>
    </row>
    <row r="148" spans="1:26" hidden="1" x14ac:dyDescent="0.25">
      <c r="A148" s="23" t="s">
        <v>49</v>
      </c>
      <c r="B148" s="69" t="s">
        <v>61</v>
      </c>
      <c r="C148" s="69">
        <v>3</v>
      </c>
      <c r="D148" s="69">
        <v>2018</v>
      </c>
      <c r="E148" s="60">
        <v>9</v>
      </c>
      <c r="F148" s="64">
        <v>0</v>
      </c>
      <c r="G148" s="60">
        <v>17</v>
      </c>
      <c r="H148" s="64">
        <v>0</v>
      </c>
      <c r="I148" s="4" t="s">
        <v>16</v>
      </c>
      <c r="J148" s="55">
        <v>8</v>
      </c>
      <c r="K148" s="4" t="s">
        <v>687</v>
      </c>
      <c r="L148" s="14" t="s">
        <v>99</v>
      </c>
      <c r="M148" s="14" t="s">
        <v>609</v>
      </c>
      <c r="N148" s="4" t="s">
        <v>419</v>
      </c>
      <c r="P148" s="4" t="s">
        <v>6</v>
      </c>
      <c r="S148" s="33" t="s">
        <v>322</v>
      </c>
      <c r="T148" s="33"/>
    </row>
    <row r="149" spans="1:26" hidden="1" x14ac:dyDescent="0.25">
      <c r="A149" s="23" t="s">
        <v>77</v>
      </c>
      <c r="B149" s="69" t="s">
        <v>64</v>
      </c>
      <c r="C149" s="69">
        <v>3</v>
      </c>
      <c r="D149" s="69">
        <v>2018</v>
      </c>
      <c r="E149" s="60">
        <v>8</v>
      </c>
      <c r="F149" s="64">
        <v>30</v>
      </c>
      <c r="G149" s="60">
        <v>14</v>
      </c>
      <c r="H149" s="64">
        <v>30</v>
      </c>
      <c r="I149" s="4" t="s">
        <v>16</v>
      </c>
      <c r="J149" s="55">
        <v>6</v>
      </c>
      <c r="K149" s="4" t="s">
        <v>13</v>
      </c>
      <c r="L149" s="14" t="s">
        <v>24</v>
      </c>
      <c r="M149" s="14" t="s">
        <v>105</v>
      </c>
      <c r="N149" s="4" t="s">
        <v>52</v>
      </c>
      <c r="O149" s="4" t="s">
        <v>52</v>
      </c>
      <c r="P149" s="4" t="s">
        <v>6</v>
      </c>
      <c r="Q149" s="50">
        <v>750</v>
      </c>
      <c r="R149" s="14" t="s">
        <v>216</v>
      </c>
      <c r="S149" s="33" t="s">
        <v>322</v>
      </c>
      <c r="T149" s="33"/>
    </row>
    <row r="150" spans="1:26" x14ac:dyDescent="0.25">
      <c r="A150" s="23" t="s">
        <v>78</v>
      </c>
      <c r="B150" s="69" t="s">
        <v>65</v>
      </c>
      <c r="C150" s="69">
        <v>3</v>
      </c>
      <c r="D150" s="69">
        <v>2018</v>
      </c>
      <c r="E150" s="60">
        <v>8</v>
      </c>
      <c r="F150" s="64">
        <v>30</v>
      </c>
      <c r="G150" s="60">
        <v>12</v>
      </c>
      <c r="H150" s="64">
        <v>30</v>
      </c>
      <c r="I150" s="4" t="s">
        <v>7</v>
      </c>
      <c r="J150" s="55">
        <v>4</v>
      </c>
      <c r="K150" s="4" t="s">
        <v>12</v>
      </c>
      <c r="L150" s="14" t="s">
        <v>50</v>
      </c>
      <c r="M150" s="14" t="s">
        <v>51</v>
      </c>
      <c r="N150" s="4" t="s">
        <v>52</v>
      </c>
      <c r="O150" s="4" t="s">
        <v>53</v>
      </c>
      <c r="P150" s="4" t="s">
        <v>6</v>
      </c>
      <c r="Q150" s="50">
        <v>575</v>
      </c>
      <c r="R150" s="14" t="s">
        <v>206</v>
      </c>
      <c r="S150" s="33" t="s">
        <v>322</v>
      </c>
      <c r="T150" s="33"/>
    </row>
    <row r="151" spans="1:26" hidden="1" x14ac:dyDescent="0.25">
      <c r="A151" s="23" t="s">
        <v>78</v>
      </c>
      <c r="B151" s="69" t="s">
        <v>65</v>
      </c>
      <c r="C151" s="69">
        <v>3</v>
      </c>
      <c r="D151" s="69">
        <v>2018</v>
      </c>
      <c r="E151" s="60">
        <v>13</v>
      </c>
      <c r="F151" s="64">
        <v>0</v>
      </c>
      <c r="G151" s="60">
        <v>17</v>
      </c>
      <c r="H151" s="64">
        <v>0</v>
      </c>
      <c r="I151" s="4" t="s">
        <v>7</v>
      </c>
      <c r="J151" s="55">
        <v>4</v>
      </c>
      <c r="K151" s="4" t="s">
        <v>12</v>
      </c>
      <c r="L151" s="14" t="s">
        <v>5</v>
      </c>
      <c r="M151" s="14" t="s">
        <v>104</v>
      </c>
      <c r="N151" s="4" t="s">
        <v>52</v>
      </c>
      <c r="O151" s="4" t="s">
        <v>125</v>
      </c>
      <c r="P151" s="4" t="s">
        <v>6</v>
      </c>
      <c r="Q151" s="50">
        <v>575</v>
      </c>
      <c r="R151" s="14" t="s">
        <v>207</v>
      </c>
      <c r="S151" s="33" t="s">
        <v>322</v>
      </c>
      <c r="T151" s="33"/>
    </row>
    <row r="152" spans="1:26" hidden="1" x14ac:dyDescent="0.25">
      <c r="A152" s="23" t="s">
        <v>79</v>
      </c>
      <c r="B152" s="69" t="s">
        <v>66</v>
      </c>
      <c r="C152" s="69">
        <v>3</v>
      </c>
      <c r="D152" s="69">
        <v>2018</v>
      </c>
      <c r="E152" s="60">
        <v>9</v>
      </c>
      <c r="F152" s="64">
        <v>0</v>
      </c>
      <c r="G152" s="60">
        <v>17</v>
      </c>
      <c r="H152" s="64">
        <v>0</v>
      </c>
      <c r="I152" s="4" t="s">
        <v>7</v>
      </c>
      <c r="J152" s="55">
        <v>8</v>
      </c>
      <c r="K152" s="4" t="s">
        <v>687</v>
      </c>
      <c r="L152" s="14" t="s">
        <v>24</v>
      </c>
      <c r="M152" s="14" t="s">
        <v>105</v>
      </c>
      <c r="N152" s="4" t="s">
        <v>52</v>
      </c>
      <c r="O152" s="4" t="s">
        <v>52</v>
      </c>
      <c r="P152" s="4" t="s">
        <v>6</v>
      </c>
      <c r="Q152" s="50">
        <v>1000</v>
      </c>
      <c r="R152" s="14" t="s">
        <v>208</v>
      </c>
      <c r="S152" s="33" t="s">
        <v>322</v>
      </c>
      <c r="T152" s="33"/>
    </row>
    <row r="153" spans="1:26" hidden="1" x14ac:dyDescent="0.25">
      <c r="A153" s="23" t="s">
        <v>80</v>
      </c>
      <c r="B153" s="69" t="s">
        <v>67</v>
      </c>
      <c r="C153" s="69">
        <v>3</v>
      </c>
      <c r="D153" s="69">
        <v>2018</v>
      </c>
      <c r="E153" s="60">
        <v>13</v>
      </c>
      <c r="F153" s="64">
        <v>0</v>
      </c>
      <c r="G153" s="60">
        <v>17</v>
      </c>
      <c r="H153" s="64">
        <v>0</v>
      </c>
      <c r="I153" s="4" t="s">
        <v>7</v>
      </c>
      <c r="J153" s="55">
        <v>4</v>
      </c>
      <c r="K153" s="4" t="s">
        <v>12</v>
      </c>
      <c r="L153" s="14" t="s">
        <v>94</v>
      </c>
      <c r="M153" s="14" t="s">
        <v>109</v>
      </c>
      <c r="N153" s="4" t="s">
        <v>123</v>
      </c>
      <c r="O153" s="4" t="s">
        <v>129</v>
      </c>
      <c r="P153" s="4" t="s">
        <v>6</v>
      </c>
      <c r="Q153" s="50">
        <v>400</v>
      </c>
      <c r="R153" s="14" t="s">
        <v>217</v>
      </c>
      <c r="S153" s="33" t="s">
        <v>322</v>
      </c>
      <c r="T153" s="33"/>
    </row>
    <row r="154" spans="1:26" x14ac:dyDescent="0.25">
      <c r="A154" s="23" t="s">
        <v>49</v>
      </c>
      <c r="B154" s="69" t="s">
        <v>68</v>
      </c>
      <c r="C154" s="69">
        <v>3</v>
      </c>
      <c r="D154" s="69">
        <v>2018</v>
      </c>
      <c r="E154" s="60">
        <v>8</v>
      </c>
      <c r="F154" s="64">
        <v>30</v>
      </c>
      <c r="G154" s="60">
        <v>12</v>
      </c>
      <c r="H154" s="64">
        <v>30</v>
      </c>
      <c r="I154" s="4" t="s">
        <v>7</v>
      </c>
      <c r="J154" s="55">
        <v>4</v>
      </c>
      <c r="K154" s="4" t="s">
        <v>12</v>
      </c>
      <c r="L154" s="14" t="s">
        <v>50</v>
      </c>
      <c r="M154" s="14" t="s">
        <v>51</v>
      </c>
      <c r="N154" s="4" t="s">
        <v>52</v>
      </c>
      <c r="O154" s="4" t="s">
        <v>53</v>
      </c>
      <c r="P154" s="4" t="s">
        <v>6</v>
      </c>
      <c r="Q154" s="50">
        <v>575</v>
      </c>
      <c r="R154" s="14" t="s">
        <v>218</v>
      </c>
      <c r="S154" s="33" t="s">
        <v>322</v>
      </c>
      <c r="T154" s="33"/>
    </row>
    <row r="155" spans="1:26" hidden="1" x14ac:dyDescent="0.25">
      <c r="A155" s="23" t="s">
        <v>77</v>
      </c>
      <c r="B155" s="69" t="s">
        <v>71</v>
      </c>
      <c r="C155" s="69">
        <v>3</v>
      </c>
      <c r="D155" s="69">
        <v>2018</v>
      </c>
      <c r="E155" s="60">
        <v>13</v>
      </c>
      <c r="F155" s="64">
        <v>0</v>
      </c>
      <c r="G155" s="60">
        <v>15</v>
      </c>
      <c r="H155" s="64">
        <v>0</v>
      </c>
      <c r="I155" s="4" t="s">
        <v>16</v>
      </c>
      <c r="J155" s="55">
        <v>2</v>
      </c>
      <c r="K155" s="4" t="s">
        <v>13</v>
      </c>
      <c r="L155" s="14" t="s">
        <v>94</v>
      </c>
      <c r="M155" s="14" t="s">
        <v>109</v>
      </c>
      <c r="N155" s="4" t="s">
        <v>123</v>
      </c>
      <c r="O155" s="4" t="s">
        <v>129</v>
      </c>
      <c r="P155" s="4" t="s">
        <v>6</v>
      </c>
      <c r="Q155" s="50">
        <v>200</v>
      </c>
      <c r="R155" s="14" t="s">
        <v>219</v>
      </c>
      <c r="S155" s="33" t="s">
        <v>322</v>
      </c>
      <c r="T155" s="33"/>
    </row>
    <row r="156" spans="1:26" x14ac:dyDescent="0.25">
      <c r="A156" s="23" t="s">
        <v>78</v>
      </c>
      <c r="B156" s="69" t="s">
        <v>72</v>
      </c>
      <c r="C156" s="69">
        <v>3</v>
      </c>
      <c r="D156" s="69">
        <v>2018</v>
      </c>
      <c r="E156" s="60">
        <v>8</v>
      </c>
      <c r="F156" s="64">
        <v>30</v>
      </c>
      <c r="G156" s="60">
        <v>16</v>
      </c>
      <c r="H156" s="64">
        <v>0</v>
      </c>
      <c r="I156" s="4" t="s">
        <v>7</v>
      </c>
      <c r="J156" s="55">
        <v>7.5</v>
      </c>
      <c r="K156" s="4" t="s">
        <v>13</v>
      </c>
      <c r="L156" s="14" t="s">
        <v>50</v>
      </c>
      <c r="M156" s="14" t="s">
        <v>51</v>
      </c>
      <c r="N156" s="4" t="s">
        <v>52</v>
      </c>
      <c r="O156" s="4" t="s">
        <v>53</v>
      </c>
      <c r="P156" s="4" t="s">
        <v>6</v>
      </c>
      <c r="Q156" s="50">
        <v>890.625</v>
      </c>
      <c r="R156" s="14" t="s">
        <v>220</v>
      </c>
      <c r="S156" s="33" t="s">
        <v>322</v>
      </c>
      <c r="T156" s="33"/>
    </row>
    <row r="157" spans="1:26" hidden="1" x14ac:dyDescent="0.25">
      <c r="A157" s="23" t="s">
        <v>79</v>
      </c>
      <c r="B157" s="69" t="s">
        <v>73</v>
      </c>
      <c r="C157" s="69">
        <v>3</v>
      </c>
      <c r="D157" s="69">
        <v>2018</v>
      </c>
      <c r="E157" s="60">
        <v>13</v>
      </c>
      <c r="F157" s="64">
        <v>0</v>
      </c>
      <c r="G157" s="60">
        <v>18</v>
      </c>
      <c r="H157" s="64">
        <v>0</v>
      </c>
      <c r="I157" s="4" t="s">
        <v>7</v>
      </c>
      <c r="J157" s="55">
        <v>4</v>
      </c>
      <c r="K157" s="4" t="s">
        <v>12</v>
      </c>
      <c r="L157" s="14" t="s">
        <v>24</v>
      </c>
      <c r="M157" s="14" t="s">
        <v>105</v>
      </c>
      <c r="N157" s="4" t="s">
        <v>52</v>
      </c>
      <c r="O157" s="4" t="s">
        <v>52</v>
      </c>
      <c r="P157" s="4" t="s">
        <v>6</v>
      </c>
      <c r="Q157" s="50">
        <v>600</v>
      </c>
      <c r="R157" s="14" t="s">
        <v>221</v>
      </c>
      <c r="S157" s="33" t="s">
        <v>322</v>
      </c>
      <c r="T157" s="33"/>
    </row>
    <row r="158" spans="1:26" hidden="1" x14ac:dyDescent="0.25">
      <c r="A158" s="23" t="s">
        <v>80</v>
      </c>
      <c r="B158" s="69" t="s">
        <v>74</v>
      </c>
      <c r="C158" s="69">
        <v>3</v>
      </c>
      <c r="D158" s="69">
        <v>2018</v>
      </c>
      <c r="E158" s="60">
        <v>9</v>
      </c>
      <c r="F158" s="64">
        <v>0</v>
      </c>
      <c r="G158" s="60">
        <v>10</v>
      </c>
      <c r="H158" s="64">
        <v>30</v>
      </c>
      <c r="I158" s="4" t="s">
        <v>16</v>
      </c>
      <c r="J158" s="55">
        <v>1</v>
      </c>
      <c r="K158" s="4" t="s">
        <v>13</v>
      </c>
      <c r="L158" s="14" t="s">
        <v>24</v>
      </c>
      <c r="M158" s="14" t="s">
        <v>105</v>
      </c>
      <c r="N158" s="4" t="s">
        <v>52</v>
      </c>
      <c r="O158" s="4" t="s">
        <v>52</v>
      </c>
      <c r="P158" s="4" t="s">
        <v>6</v>
      </c>
      <c r="Q158" s="50">
        <v>125</v>
      </c>
      <c r="R158" s="14" t="s">
        <v>222</v>
      </c>
      <c r="S158" s="33" t="s">
        <v>322</v>
      </c>
      <c r="T158" s="33"/>
    </row>
    <row r="159" spans="1:26" hidden="1" x14ac:dyDescent="0.25">
      <c r="A159" s="23" t="s">
        <v>80</v>
      </c>
      <c r="B159" s="69" t="s">
        <v>74</v>
      </c>
      <c r="C159" s="69">
        <v>3</v>
      </c>
      <c r="D159" s="69">
        <v>2018</v>
      </c>
      <c r="E159" s="60">
        <v>10</v>
      </c>
      <c r="F159" s="64">
        <v>0</v>
      </c>
      <c r="G159" s="60">
        <v>11</v>
      </c>
      <c r="H159" s="64">
        <v>0</v>
      </c>
      <c r="I159" s="4" t="s">
        <v>16</v>
      </c>
      <c r="J159" s="55">
        <v>1</v>
      </c>
      <c r="K159" s="4" t="s">
        <v>13</v>
      </c>
      <c r="L159" s="14" t="s">
        <v>24</v>
      </c>
      <c r="M159" s="14" t="s">
        <v>105</v>
      </c>
      <c r="N159" s="4" t="s">
        <v>52</v>
      </c>
      <c r="O159" s="4" t="s">
        <v>52</v>
      </c>
      <c r="P159" s="4" t="s">
        <v>21</v>
      </c>
      <c r="Q159" s="50">
        <v>125</v>
      </c>
      <c r="R159" s="14" t="s">
        <v>225</v>
      </c>
      <c r="S159" s="33" t="s">
        <v>322</v>
      </c>
      <c r="T159" s="33"/>
    </row>
    <row r="160" spans="1:26" x14ac:dyDescent="0.25">
      <c r="A160" s="23" t="s">
        <v>80</v>
      </c>
      <c r="B160" s="69" t="s">
        <v>74</v>
      </c>
      <c r="C160" s="69">
        <v>3</v>
      </c>
      <c r="D160" s="69">
        <v>2018</v>
      </c>
      <c r="E160" s="60">
        <v>10</v>
      </c>
      <c r="F160" s="64">
        <v>30</v>
      </c>
      <c r="G160" s="60">
        <v>11</v>
      </c>
      <c r="H160" s="64">
        <v>30</v>
      </c>
      <c r="I160" s="4" t="s">
        <v>16</v>
      </c>
      <c r="J160" s="55">
        <v>1</v>
      </c>
      <c r="K160" s="4" t="s">
        <v>13</v>
      </c>
      <c r="L160" s="14" t="s">
        <v>50</v>
      </c>
      <c r="M160" s="14" t="s">
        <v>51</v>
      </c>
      <c r="N160" s="4" t="s">
        <v>52</v>
      </c>
      <c r="O160" s="4" t="s">
        <v>53</v>
      </c>
      <c r="P160" s="4" t="s">
        <v>6</v>
      </c>
      <c r="Q160" s="50">
        <v>118.75</v>
      </c>
      <c r="R160" s="14" t="s">
        <v>223</v>
      </c>
      <c r="S160" s="33" t="s">
        <v>322</v>
      </c>
      <c r="T160" s="27"/>
      <c r="U160" s="45"/>
      <c r="V160" s="45"/>
      <c r="W160" s="45"/>
      <c r="X160" s="45"/>
      <c r="Y160" s="45"/>
      <c r="Z160" s="45"/>
    </row>
    <row r="161" spans="1:20" hidden="1" x14ac:dyDescent="0.25">
      <c r="A161" s="23" t="s">
        <v>80</v>
      </c>
      <c r="B161" s="69" t="s">
        <v>74</v>
      </c>
      <c r="C161" s="69">
        <v>3</v>
      </c>
      <c r="D161" s="69">
        <v>2018</v>
      </c>
      <c r="E161" s="60">
        <v>13</v>
      </c>
      <c r="F161" s="64">
        <v>0</v>
      </c>
      <c r="G161" s="60">
        <v>18</v>
      </c>
      <c r="H161" s="64">
        <v>0</v>
      </c>
      <c r="I161" s="4" t="s">
        <v>7</v>
      </c>
      <c r="J161" s="55">
        <v>4</v>
      </c>
      <c r="K161" s="4" t="s">
        <v>12</v>
      </c>
      <c r="L161" s="14" t="s">
        <v>24</v>
      </c>
      <c r="M161" s="14" t="s">
        <v>105</v>
      </c>
      <c r="N161" s="4" t="s">
        <v>52</v>
      </c>
      <c r="O161" s="4" t="s">
        <v>52</v>
      </c>
      <c r="P161" s="4" t="s">
        <v>6</v>
      </c>
      <c r="Q161" s="50">
        <v>600</v>
      </c>
      <c r="R161" s="14" t="s">
        <v>224</v>
      </c>
      <c r="S161" s="33" t="s">
        <v>322</v>
      </c>
      <c r="T161" s="33"/>
    </row>
    <row r="162" spans="1:20" hidden="1" x14ac:dyDescent="0.25">
      <c r="A162" s="23" t="s">
        <v>49</v>
      </c>
      <c r="B162" s="69" t="s">
        <v>75</v>
      </c>
      <c r="C162" s="69">
        <v>3</v>
      </c>
      <c r="D162" s="69">
        <v>2018</v>
      </c>
      <c r="E162" s="60">
        <v>9</v>
      </c>
      <c r="F162" s="64">
        <v>0</v>
      </c>
      <c r="G162" s="60">
        <v>13</v>
      </c>
      <c r="H162" s="64">
        <v>0</v>
      </c>
      <c r="I162" s="4" t="s">
        <v>7</v>
      </c>
      <c r="J162" s="55">
        <v>4</v>
      </c>
      <c r="K162" s="4" t="s">
        <v>12</v>
      </c>
      <c r="L162" s="14" t="s">
        <v>5</v>
      </c>
      <c r="M162" s="14" t="s">
        <v>104</v>
      </c>
      <c r="N162" s="4" t="s">
        <v>52</v>
      </c>
      <c r="O162" s="4" t="s">
        <v>125</v>
      </c>
      <c r="P162" s="4" t="s">
        <v>6</v>
      </c>
      <c r="Q162" s="50">
        <v>575</v>
      </c>
      <c r="R162" s="14" t="s">
        <v>226</v>
      </c>
      <c r="S162" s="33" t="s">
        <v>322</v>
      </c>
      <c r="T162" s="33"/>
    </row>
    <row r="163" spans="1:20" hidden="1" x14ac:dyDescent="0.25">
      <c r="A163" s="23" t="s">
        <v>82</v>
      </c>
      <c r="B163" s="69" t="s">
        <v>76</v>
      </c>
      <c r="C163" s="69">
        <v>3</v>
      </c>
      <c r="D163" s="69">
        <v>2018</v>
      </c>
      <c r="I163" s="4" t="s">
        <v>7</v>
      </c>
      <c r="L163" s="14" t="s">
        <v>5</v>
      </c>
      <c r="M163" s="14" t="s">
        <v>104</v>
      </c>
      <c r="N163" s="4" t="s">
        <v>52</v>
      </c>
      <c r="O163" s="4" t="s">
        <v>125</v>
      </c>
      <c r="P163" s="4" t="s">
        <v>133</v>
      </c>
      <c r="Q163" s="50">
        <v>16500</v>
      </c>
      <c r="R163" s="14" t="s">
        <v>227</v>
      </c>
      <c r="S163" s="33" t="s">
        <v>322</v>
      </c>
      <c r="T163" s="33"/>
    </row>
    <row r="164" spans="1:20" x14ac:dyDescent="0.25">
      <c r="A164" s="23" t="s">
        <v>77</v>
      </c>
      <c r="B164" s="69">
        <v>2</v>
      </c>
      <c r="C164" s="69">
        <v>4</v>
      </c>
      <c r="D164" s="69">
        <v>2018</v>
      </c>
      <c r="E164" s="60">
        <v>8</v>
      </c>
      <c r="F164" s="64">
        <v>0</v>
      </c>
      <c r="G164" s="60">
        <v>11</v>
      </c>
      <c r="H164" s="64">
        <v>0</v>
      </c>
      <c r="I164" s="4" t="s">
        <v>16</v>
      </c>
      <c r="J164" s="55">
        <v>3</v>
      </c>
      <c r="K164" s="4" t="s">
        <v>13</v>
      </c>
      <c r="L164" s="14" t="s">
        <v>101</v>
      </c>
      <c r="M164" s="14" t="s">
        <v>115</v>
      </c>
      <c r="N164" s="4" t="s">
        <v>52</v>
      </c>
      <c r="O164" s="4" t="s">
        <v>131</v>
      </c>
      <c r="P164" s="4" t="s">
        <v>6</v>
      </c>
      <c r="Q164" s="50">
        <v>356.25</v>
      </c>
      <c r="R164" s="14" t="s">
        <v>228</v>
      </c>
      <c r="S164" s="33" t="s">
        <v>322</v>
      </c>
      <c r="T164" s="33"/>
    </row>
    <row r="165" spans="1:20" x14ac:dyDescent="0.25">
      <c r="A165" s="23" t="s">
        <v>77</v>
      </c>
      <c r="B165" s="69">
        <v>2</v>
      </c>
      <c r="C165" s="69">
        <v>4</v>
      </c>
      <c r="D165" s="69">
        <v>2018</v>
      </c>
      <c r="E165" s="60">
        <v>11</v>
      </c>
      <c r="F165" s="64">
        <v>0</v>
      </c>
      <c r="G165" s="60">
        <v>14</v>
      </c>
      <c r="H165" s="64">
        <v>0</v>
      </c>
      <c r="I165" s="4" t="s">
        <v>16</v>
      </c>
      <c r="J165" s="55">
        <v>3</v>
      </c>
      <c r="K165" s="4" t="s">
        <v>13</v>
      </c>
      <c r="L165" s="14" t="s">
        <v>50</v>
      </c>
      <c r="M165" s="14" t="s">
        <v>51</v>
      </c>
      <c r="N165" s="4" t="s">
        <v>52</v>
      </c>
      <c r="O165" s="4" t="s">
        <v>53</v>
      </c>
      <c r="P165" s="4" t="s">
        <v>6</v>
      </c>
      <c r="Q165" s="50">
        <v>356.25</v>
      </c>
      <c r="R165" s="14" t="s">
        <v>229</v>
      </c>
      <c r="S165" s="33" t="s">
        <v>322</v>
      </c>
      <c r="T165" s="33"/>
    </row>
    <row r="166" spans="1:20" hidden="1" x14ac:dyDescent="0.25">
      <c r="A166" s="23" t="s">
        <v>77</v>
      </c>
      <c r="B166" s="69">
        <v>2</v>
      </c>
      <c r="C166" s="69">
        <v>4</v>
      </c>
      <c r="D166" s="69">
        <v>2018</v>
      </c>
      <c r="E166" s="60">
        <v>14</v>
      </c>
      <c r="F166" s="64">
        <v>0</v>
      </c>
      <c r="G166" s="60">
        <v>15</v>
      </c>
      <c r="H166" s="64">
        <v>0</v>
      </c>
      <c r="I166" s="4" t="s">
        <v>16</v>
      </c>
      <c r="J166" s="55">
        <v>1</v>
      </c>
      <c r="K166" s="4" t="s">
        <v>13</v>
      </c>
      <c r="L166" s="14" t="s">
        <v>24</v>
      </c>
      <c r="M166" s="14" t="s">
        <v>105</v>
      </c>
      <c r="N166" s="4" t="s">
        <v>52</v>
      </c>
      <c r="O166" s="4" t="s">
        <v>52</v>
      </c>
      <c r="P166" s="4" t="s">
        <v>6</v>
      </c>
      <c r="Q166" s="50">
        <v>125</v>
      </c>
      <c r="R166" s="14" t="s">
        <v>230</v>
      </c>
      <c r="S166" s="33" t="s">
        <v>322</v>
      </c>
      <c r="T166" s="33"/>
    </row>
    <row r="167" spans="1:20" x14ac:dyDescent="0.25">
      <c r="A167" s="23" t="s">
        <v>77</v>
      </c>
      <c r="B167" s="69">
        <v>2</v>
      </c>
      <c r="C167" s="69">
        <v>4</v>
      </c>
      <c r="D167" s="69">
        <v>2018</v>
      </c>
      <c r="E167" s="60">
        <v>15</v>
      </c>
      <c r="F167" s="64">
        <v>30</v>
      </c>
      <c r="G167" s="60">
        <v>16</v>
      </c>
      <c r="H167" s="64">
        <v>30</v>
      </c>
      <c r="I167" s="4" t="s">
        <v>16</v>
      </c>
      <c r="J167" s="55">
        <v>1</v>
      </c>
      <c r="K167" s="4" t="s">
        <v>13</v>
      </c>
      <c r="L167" s="14" t="s">
        <v>50</v>
      </c>
      <c r="M167" s="14" t="s">
        <v>51</v>
      </c>
      <c r="N167" s="4" t="s">
        <v>52</v>
      </c>
      <c r="O167" s="4" t="s">
        <v>53</v>
      </c>
      <c r="P167" s="4" t="s">
        <v>6</v>
      </c>
      <c r="Q167" s="50">
        <v>118.75</v>
      </c>
      <c r="R167" s="14" t="s">
        <v>231</v>
      </c>
      <c r="S167" s="33" t="s">
        <v>322</v>
      </c>
      <c r="T167" s="33"/>
    </row>
    <row r="168" spans="1:20" x14ac:dyDescent="0.25">
      <c r="A168" s="23" t="s">
        <v>78</v>
      </c>
      <c r="B168" s="69">
        <v>3</v>
      </c>
      <c r="C168" s="69">
        <v>4</v>
      </c>
      <c r="D168" s="69">
        <v>2018</v>
      </c>
      <c r="E168" s="60">
        <v>8</v>
      </c>
      <c r="F168" s="64">
        <v>30</v>
      </c>
      <c r="G168" s="60">
        <v>12</v>
      </c>
      <c r="H168" s="64">
        <v>30</v>
      </c>
      <c r="I168" s="4" t="s">
        <v>7</v>
      </c>
      <c r="J168" s="55">
        <v>4</v>
      </c>
      <c r="K168" s="4" t="s">
        <v>12</v>
      </c>
      <c r="L168" s="14" t="s">
        <v>50</v>
      </c>
      <c r="M168" s="14" t="s">
        <v>51</v>
      </c>
      <c r="N168" s="4" t="s">
        <v>52</v>
      </c>
      <c r="O168" s="4" t="s">
        <v>53</v>
      </c>
      <c r="P168" s="4" t="s">
        <v>6</v>
      </c>
      <c r="Q168" s="50">
        <v>575</v>
      </c>
      <c r="R168" s="14" t="s">
        <v>232</v>
      </c>
      <c r="S168" s="33" t="s">
        <v>322</v>
      </c>
      <c r="T168" s="33"/>
    </row>
    <row r="169" spans="1:20" hidden="1" x14ac:dyDescent="0.25">
      <c r="A169" s="23" t="s">
        <v>78</v>
      </c>
      <c r="B169" s="69">
        <v>3</v>
      </c>
      <c r="C169" s="69">
        <v>4</v>
      </c>
      <c r="D169" s="69">
        <v>2018</v>
      </c>
      <c r="E169" s="60">
        <v>14</v>
      </c>
      <c r="F169" s="64">
        <v>0</v>
      </c>
      <c r="G169" s="60">
        <v>18</v>
      </c>
      <c r="H169" s="64">
        <v>0</v>
      </c>
      <c r="I169" s="4" t="s">
        <v>7</v>
      </c>
      <c r="J169" s="55">
        <v>4</v>
      </c>
      <c r="K169" s="4" t="s">
        <v>12</v>
      </c>
      <c r="L169" s="14" t="s">
        <v>5</v>
      </c>
      <c r="M169" s="14" t="s">
        <v>104</v>
      </c>
      <c r="N169" s="4" t="s">
        <v>52</v>
      </c>
      <c r="O169" s="4" t="s">
        <v>125</v>
      </c>
      <c r="P169" s="4" t="s">
        <v>6</v>
      </c>
      <c r="Q169" s="50">
        <v>575</v>
      </c>
      <c r="R169" s="14" t="s">
        <v>233</v>
      </c>
      <c r="S169" s="33" t="s">
        <v>322</v>
      </c>
      <c r="T169" s="33"/>
    </row>
    <row r="170" spans="1:20" hidden="1" x14ac:dyDescent="0.25">
      <c r="A170" s="23" t="s">
        <v>79</v>
      </c>
      <c r="B170" s="69">
        <v>4</v>
      </c>
      <c r="C170" s="69">
        <v>4</v>
      </c>
      <c r="D170" s="69">
        <v>2018</v>
      </c>
      <c r="E170" s="60">
        <v>9</v>
      </c>
      <c r="F170" s="64">
        <v>0</v>
      </c>
      <c r="G170" s="60">
        <v>12</v>
      </c>
      <c r="H170" s="64">
        <v>0</v>
      </c>
      <c r="I170" s="4" t="s">
        <v>7</v>
      </c>
      <c r="J170" s="55">
        <v>4</v>
      </c>
      <c r="K170" s="4" t="s">
        <v>12</v>
      </c>
      <c r="L170" s="14" t="s">
        <v>24</v>
      </c>
      <c r="M170" s="14" t="s">
        <v>105</v>
      </c>
      <c r="N170" s="4" t="s">
        <v>52</v>
      </c>
      <c r="O170" s="4" t="s">
        <v>52</v>
      </c>
      <c r="P170" s="4" t="s">
        <v>6</v>
      </c>
      <c r="Q170" s="50">
        <v>600</v>
      </c>
      <c r="R170" s="14" t="s">
        <v>234</v>
      </c>
      <c r="S170" s="33" t="s">
        <v>322</v>
      </c>
      <c r="T170" s="33"/>
    </row>
    <row r="171" spans="1:20" x14ac:dyDescent="0.25">
      <c r="A171" s="23" t="s">
        <v>79</v>
      </c>
      <c r="B171" s="69">
        <v>4</v>
      </c>
      <c r="C171" s="69">
        <v>4</v>
      </c>
      <c r="D171" s="69">
        <v>2018</v>
      </c>
      <c r="E171" s="60">
        <v>16</v>
      </c>
      <c r="F171" s="64">
        <v>0</v>
      </c>
      <c r="G171" s="60">
        <v>18</v>
      </c>
      <c r="H171" s="64">
        <v>30</v>
      </c>
      <c r="I171" s="4" t="s">
        <v>16</v>
      </c>
      <c r="J171" s="55">
        <v>2.5</v>
      </c>
      <c r="K171" s="4" t="s">
        <v>13</v>
      </c>
      <c r="L171" s="14" t="s">
        <v>101</v>
      </c>
      <c r="M171" s="14" t="s">
        <v>115</v>
      </c>
      <c r="N171" s="4" t="s">
        <v>52</v>
      </c>
      <c r="O171" s="4" t="s">
        <v>131</v>
      </c>
      <c r="P171" s="4" t="s">
        <v>6</v>
      </c>
      <c r="Q171" s="50">
        <v>296.875</v>
      </c>
      <c r="R171" s="14" t="s">
        <v>235</v>
      </c>
      <c r="S171" s="33" t="s">
        <v>322</v>
      </c>
      <c r="T171" s="33"/>
    </row>
    <row r="172" spans="1:20" hidden="1" x14ac:dyDescent="0.25">
      <c r="A172" s="23" t="s">
        <v>80</v>
      </c>
      <c r="B172" s="69">
        <v>5</v>
      </c>
      <c r="C172" s="69">
        <v>4</v>
      </c>
      <c r="D172" s="69">
        <v>2018</v>
      </c>
      <c r="E172" s="60">
        <v>9</v>
      </c>
      <c r="F172" s="64">
        <v>0</v>
      </c>
      <c r="G172" s="60">
        <v>12</v>
      </c>
      <c r="H172" s="64">
        <v>30</v>
      </c>
      <c r="I172" s="4" t="s">
        <v>7</v>
      </c>
      <c r="J172" s="55">
        <v>3.5</v>
      </c>
      <c r="K172" s="4" t="s">
        <v>13</v>
      </c>
      <c r="L172" s="14" t="s">
        <v>94</v>
      </c>
      <c r="M172" s="14" t="s">
        <v>109</v>
      </c>
      <c r="N172" s="4" t="s">
        <v>52</v>
      </c>
      <c r="O172" s="4" t="s">
        <v>52</v>
      </c>
      <c r="P172" s="4" t="s">
        <v>6</v>
      </c>
      <c r="Q172" s="50">
        <v>350</v>
      </c>
      <c r="R172" s="14" t="s">
        <v>236</v>
      </c>
      <c r="S172" s="33" t="s">
        <v>322</v>
      </c>
      <c r="T172" s="33"/>
    </row>
    <row r="173" spans="1:20" hidden="1" x14ac:dyDescent="0.25">
      <c r="A173" s="23" t="s">
        <v>80</v>
      </c>
      <c r="B173" s="69">
        <v>5</v>
      </c>
      <c r="C173" s="69">
        <v>4</v>
      </c>
      <c r="D173" s="69">
        <v>2018</v>
      </c>
      <c r="E173" s="60">
        <v>12</v>
      </c>
      <c r="F173" s="64">
        <v>30</v>
      </c>
      <c r="G173" s="60">
        <v>17</v>
      </c>
      <c r="H173" s="64">
        <v>0</v>
      </c>
      <c r="I173" s="4" t="s">
        <v>7</v>
      </c>
      <c r="J173" s="55">
        <v>4.5</v>
      </c>
      <c r="K173" s="4" t="s">
        <v>13</v>
      </c>
      <c r="L173" s="14" t="s">
        <v>94</v>
      </c>
      <c r="M173" s="14" t="s">
        <v>109</v>
      </c>
      <c r="N173" s="4" t="s">
        <v>123</v>
      </c>
      <c r="O173" s="4" t="s">
        <v>129</v>
      </c>
      <c r="P173" s="4" t="s">
        <v>6</v>
      </c>
      <c r="Q173" s="50">
        <v>450</v>
      </c>
      <c r="R173" s="14" t="s">
        <v>237</v>
      </c>
      <c r="S173" s="33" t="s">
        <v>322</v>
      </c>
      <c r="T173" s="33"/>
    </row>
    <row r="174" spans="1:20" x14ac:dyDescent="0.25">
      <c r="A174" s="23" t="s">
        <v>49</v>
      </c>
      <c r="B174" s="69">
        <v>6</v>
      </c>
      <c r="C174" s="69">
        <v>4</v>
      </c>
      <c r="D174" s="69">
        <v>2018</v>
      </c>
      <c r="E174" s="60">
        <v>8</v>
      </c>
      <c r="F174" s="64">
        <v>0</v>
      </c>
      <c r="G174" s="60">
        <v>11</v>
      </c>
      <c r="H174" s="64">
        <v>0</v>
      </c>
      <c r="I174" s="4" t="s">
        <v>7</v>
      </c>
      <c r="J174" s="55">
        <v>3</v>
      </c>
      <c r="K174" s="4" t="s">
        <v>13</v>
      </c>
      <c r="L174" s="14" t="s">
        <v>50</v>
      </c>
      <c r="M174" s="14" t="s">
        <v>115</v>
      </c>
      <c r="N174" s="4" t="s">
        <v>52</v>
      </c>
      <c r="O174" s="4" t="s">
        <v>131</v>
      </c>
      <c r="P174" s="4" t="s">
        <v>6</v>
      </c>
      <c r="Q174" s="50">
        <v>575</v>
      </c>
      <c r="R174" s="14" t="s">
        <v>238</v>
      </c>
      <c r="S174" s="33" t="s">
        <v>322</v>
      </c>
      <c r="T174" s="33"/>
    </row>
    <row r="175" spans="1:20" hidden="1" x14ac:dyDescent="0.25">
      <c r="A175" s="23" t="s">
        <v>88</v>
      </c>
      <c r="B175" s="69">
        <v>7</v>
      </c>
      <c r="C175" s="69">
        <v>4</v>
      </c>
      <c r="D175" s="69">
        <v>2018</v>
      </c>
      <c r="E175" s="60">
        <v>9</v>
      </c>
      <c r="F175" s="64">
        <v>0</v>
      </c>
      <c r="G175" s="60">
        <v>12</v>
      </c>
      <c r="H175" s="64">
        <v>0</v>
      </c>
      <c r="I175" s="4" t="s">
        <v>16</v>
      </c>
      <c r="J175" s="55">
        <v>2</v>
      </c>
      <c r="K175" s="4" t="s">
        <v>13</v>
      </c>
      <c r="L175" s="14" t="s">
        <v>24</v>
      </c>
      <c r="M175" s="14" t="s">
        <v>105</v>
      </c>
      <c r="N175" s="4" t="s">
        <v>52</v>
      </c>
      <c r="O175" s="4" t="s">
        <v>52</v>
      </c>
      <c r="P175" s="4" t="s">
        <v>6</v>
      </c>
      <c r="Q175" s="50">
        <v>250</v>
      </c>
      <c r="R175" s="14" t="s">
        <v>239</v>
      </c>
      <c r="S175" s="33" t="s">
        <v>322</v>
      </c>
      <c r="T175" s="33"/>
    </row>
    <row r="176" spans="1:20" hidden="1" x14ac:dyDescent="0.25">
      <c r="A176" s="34" t="s">
        <v>77</v>
      </c>
      <c r="B176" s="69">
        <v>9</v>
      </c>
      <c r="C176" s="69">
        <v>4</v>
      </c>
      <c r="D176" s="69">
        <v>2018</v>
      </c>
      <c r="E176" s="60">
        <v>13</v>
      </c>
      <c r="F176" s="64">
        <v>0</v>
      </c>
      <c r="G176" s="60">
        <v>17</v>
      </c>
      <c r="H176" s="64">
        <v>0</v>
      </c>
      <c r="I176" s="4" t="s">
        <v>16</v>
      </c>
      <c r="J176" s="55">
        <v>4</v>
      </c>
      <c r="K176" s="4" t="s">
        <v>12</v>
      </c>
      <c r="L176" s="14" t="s">
        <v>5</v>
      </c>
      <c r="M176" s="14" t="s">
        <v>104</v>
      </c>
      <c r="N176" s="4" t="s">
        <v>52</v>
      </c>
      <c r="O176" s="4" t="s">
        <v>125</v>
      </c>
      <c r="P176" s="4" t="s">
        <v>6</v>
      </c>
      <c r="Q176" s="50">
        <v>575</v>
      </c>
      <c r="R176" s="14" t="s">
        <v>240</v>
      </c>
      <c r="S176" s="33" t="s">
        <v>322</v>
      </c>
      <c r="T176" s="33"/>
    </row>
    <row r="177" spans="1:26" x14ac:dyDescent="0.25">
      <c r="A177" s="34" t="s">
        <v>78</v>
      </c>
      <c r="B177" s="69" t="s">
        <v>55</v>
      </c>
      <c r="C177" s="69">
        <v>4</v>
      </c>
      <c r="D177" s="69">
        <v>2018</v>
      </c>
      <c r="E177" s="60">
        <v>15</v>
      </c>
      <c r="F177" s="64">
        <v>0</v>
      </c>
      <c r="G177" s="60">
        <v>18</v>
      </c>
      <c r="H177" s="64">
        <v>0</v>
      </c>
      <c r="I177" s="4" t="s">
        <v>16</v>
      </c>
      <c r="J177" s="55">
        <v>2</v>
      </c>
      <c r="K177" s="4" t="s">
        <v>13</v>
      </c>
      <c r="L177" s="14" t="s">
        <v>50</v>
      </c>
      <c r="M177" s="14" t="s">
        <v>51</v>
      </c>
      <c r="N177" s="4" t="s">
        <v>52</v>
      </c>
      <c r="O177" s="4" t="s">
        <v>53</v>
      </c>
      <c r="P177" s="4" t="s">
        <v>6</v>
      </c>
      <c r="Q177" s="50">
        <v>237.5</v>
      </c>
      <c r="R177" s="14" t="s">
        <v>242</v>
      </c>
      <c r="S177" s="33" t="s">
        <v>322</v>
      </c>
      <c r="T177" s="33"/>
    </row>
    <row r="178" spans="1:26" x14ac:dyDescent="0.25">
      <c r="A178" s="34" t="s">
        <v>78</v>
      </c>
      <c r="B178" s="69" t="s">
        <v>55</v>
      </c>
      <c r="C178" s="69">
        <v>4</v>
      </c>
      <c r="D178" s="69">
        <v>2018</v>
      </c>
      <c r="E178" s="60">
        <v>8</v>
      </c>
      <c r="F178" s="64">
        <v>30</v>
      </c>
      <c r="G178" s="60">
        <v>12</v>
      </c>
      <c r="H178" s="64">
        <v>30</v>
      </c>
      <c r="I178" s="4" t="s">
        <v>7</v>
      </c>
      <c r="J178" s="55">
        <v>4</v>
      </c>
      <c r="K178" s="4" t="s">
        <v>12</v>
      </c>
      <c r="L178" s="14" t="s">
        <v>50</v>
      </c>
      <c r="M178" s="14" t="s">
        <v>51</v>
      </c>
      <c r="N178" s="4" t="s">
        <v>52</v>
      </c>
      <c r="O178" s="4" t="s">
        <v>53</v>
      </c>
      <c r="P178" s="4" t="s">
        <v>6</v>
      </c>
      <c r="Q178" s="50">
        <v>575</v>
      </c>
      <c r="R178" s="14" t="s">
        <v>241</v>
      </c>
      <c r="S178" s="33" t="s">
        <v>322</v>
      </c>
      <c r="T178" s="33"/>
    </row>
    <row r="179" spans="1:26" x14ac:dyDescent="0.25">
      <c r="A179" s="23" t="s">
        <v>79</v>
      </c>
      <c r="B179" s="69" t="s">
        <v>56</v>
      </c>
      <c r="C179" s="69">
        <v>4</v>
      </c>
      <c r="D179" s="69">
        <v>2018</v>
      </c>
      <c r="E179" s="60">
        <v>10</v>
      </c>
      <c r="F179" s="64">
        <v>0</v>
      </c>
      <c r="G179" s="60">
        <v>16</v>
      </c>
      <c r="H179" s="64">
        <v>0</v>
      </c>
      <c r="I179" s="4" t="s">
        <v>16</v>
      </c>
      <c r="J179" s="55">
        <v>4</v>
      </c>
      <c r="K179" s="4" t="s">
        <v>13</v>
      </c>
      <c r="L179" s="14" t="s">
        <v>50</v>
      </c>
      <c r="M179" s="14" t="s">
        <v>115</v>
      </c>
      <c r="N179" s="4" t="s">
        <v>52</v>
      </c>
      <c r="O179" s="4" t="s">
        <v>131</v>
      </c>
      <c r="P179" s="4" t="s">
        <v>6</v>
      </c>
      <c r="Q179" s="50">
        <v>475</v>
      </c>
      <c r="R179" s="14" t="s">
        <v>243</v>
      </c>
      <c r="S179" s="33" t="s">
        <v>322</v>
      </c>
      <c r="T179" s="33"/>
    </row>
    <row r="180" spans="1:26" x14ac:dyDescent="0.25">
      <c r="A180" s="34" t="s">
        <v>80</v>
      </c>
      <c r="B180" s="69" t="s">
        <v>57</v>
      </c>
      <c r="C180" s="69">
        <v>4</v>
      </c>
      <c r="D180" s="69">
        <v>2018</v>
      </c>
      <c r="E180" s="60">
        <v>9</v>
      </c>
      <c r="F180" s="64">
        <v>0</v>
      </c>
      <c r="G180" s="60">
        <v>10</v>
      </c>
      <c r="H180" s="64">
        <v>30</v>
      </c>
      <c r="I180" s="4" t="s">
        <v>16</v>
      </c>
      <c r="J180" s="55">
        <v>2</v>
      </c>
      <c r="K180" s="4" t="s">
        <v>13</v>
      </c>
      <c r="L180" s="14" t="s">
        <v>50</v>
      </c>
      <c r="M180" s="14" t="s">
        <v>115</v>
      </c>
      <c r="N180" s="4" t="s">
        <v>52</v>
      </c>
      <c r="O180" s="4" t="s">
        <v>131</v>
      </c>
      <c r="P180" s="4" t="s">
        <v>6</v>
      </c>
      <c r="Q180" s="50">
        <v>237.5</v>
      </c>
      <c r="R180" s="14" t="s">
        <v>244</v>
      </c>
      <c r="S180" s="33" t="s">
        <v>322</v>
      </c>
      <c r="T180" s="27"/>
      <c r="U180" s="45"/>
      <c r="V180" s="45"/>
      <c r="W180" s="45"/>
      <c r="X180" s="45"/>
      <c r="Y180" s="45"/>
      <c r="Z180" s="45"/>
    </row>
    <row r="181" spans="1:26" x14ac:dyDescent="0.25">
      <c r="A181" s="34" t="s">
        <v>80</v>
      </c>
      <c r="B181" s="69" t="s">
        <v>57</v>
      </c>
      <c r="C181" s="69">
        <v>4</v>
      </c>
      <c r="D181" s="69">
        <v>2018</v>
      </c>
      <c r="E181" s="60">
        <v>11</v>
      </c>
      <c r="F181" s="64">
        <v>0</v>
      </c>
      <c r="G181" s="60">
        <v>13</v>
      </c>
      <c r="H181" s="64">
        <v>0</v>
      </c>
      <c r="I181" s="4" t="s">
        <v>7</v>
      </c>
      <c r="J181" s="55">
        <v>2</v>
      </c>
      <c r="K181" s="4" t="s">
        <v>13</v>
      </c>
      <c r="L181" s="14" t="s">
        <v>50</v>
      </c>
      <c r="M181" s="14" t="s">
        <v>115</v>
      </c>
      <c r="N181" s="4" t="s">
        <v>52</v>
      </c>
      <c r="O181" s="4" t="s">
        <v>131</v>
      </c>
      <c r="P181" s="4" t="s">
        <v>6</v>
      </c>
      <c r="Q181" s="50">
        <v>237.5</v>
      </c>
      <c r="R181" s="14" t="s">
        <v>245</v>
      </c>
      <c r="S181" s="33" t="s">
        <v>322</v>
      </c>
      <c r="T181" s="31"/>
      <c r="U181" s="87"/>
      <c r="V181" s="87"/>
      <c r="W181" s="87"/>
      <c r="X181" s="87"/>
      <c r="Y181" s="87"/>
      <c r="Z181" s="87"/>
    </row>
    <row r="182" spans="1:26" hidden="1" x14ac:dyDescent="0.25">
      <c r="A182" s="34" t="s">
        <v>80</v>
      </c>
      <c r="B182" s="69" t="s">
        <v>57</v>
      </c>
      <c r="C182" s="69">
        <v>4</v>
      </c>
      <c r="D182" s="69">
        <v>2018</v>
      </c>
      <c r="E182" s="60">
        <v>14</v>
      </c>
      <c r="F182" s="64">
        <v>30</v>
      </c>
      <c r="G182" s="60">
        <v>17</v>
      </c>
      <c r="H182" s="64">
        <v>30</v>
      </c>
      <c r="I182" s="4" t="s">
        <v>7</v>
      </c>
      <c r="J182" s="55">
        <v>3</v>
      </c>
      <c r="K182" s="4" t="s">
        <v>13</v>
      </c>
      <c r="L182" s="14" t="s">
        <v>94</v>
      </c>
      <c r="M182" s="14" t="s">
        <v>109</v>
      </c>
      <c r="N182" s="4" t="s">
        <v>123</v>
      </c>
      <c r="O182" s="4" t="s">
        <v>129</v>
      </c>
      <c r="P182" s="4" t="s">
        <v>6</v>
      </c>
      <c r="Q182" s="50">
        <v>300</v>
      </c>
      <c r="R182" s="14" t="s">
        <v>246</v>
      </c>
      <c r="S182" s="33" t="s">
        <v>322</v>
      </c>
      <c r="T182" s="33"/>
    </row>
    <row r="183" spans="1:26" hidden="1" x14ac:dyDescent="0.25">
      <c r="A183" s="34" t="s">
        <v>49</v>
      </c>
      <c r="B183" s="69" t="s">
        <v>58</v>
      </c>
      <c r="C183" s="69">
        <v>4</v>
      </c>
      <c r="D183" s="69">
        <v>2018</v>
      </c>
      <c r="E183" s="60">
        <v>9</v>
      </c>
      <c r="F183" s="64">
        <v>0</v>
      </c>
      <c r="G183" s="60">
        <v>17</v>
      </c>
      <c r="H183" s="64">
        <v>0</v>
      </c>
      <c r="I183" s="4" t="s">
        <v>16</v>
      </c>
      <c r="J183" s="55">
        <v>8</v>
      </c>
      <c r="K183" s="4" t="s">
        <v>687</v>
      </c>
      <c r="L183" s="14" t="s">
        <v>99</v>
      </c>
      <c r="M183" s="14" t="s">
        <v>609</v>
      </c>
      <c r="N183" s="4" t="s">
        <v>419</v>
      </c>
      <c r="P183" s="4" t="s">
        <v>6</v>
      </c>
      <c r="S183" s="33" t="s">
        <v>322</v>
      </c>
      <c r="T183" s="33"/>
    </row>
    <row r="184" spans="1:26" hidden="1" x14ac:dyDescent="0.25">
      <c r="A184" s="34" t="s">
        <v>77</v>
      </c>
      <c r="B184" s="69" t="s">
        <v>61</v>
      </c>
      <c r="C184" s="69">
        <v>4</v>
      </c>
      <c r="D184" s="69">
        <v>2018</v>
      </c>
      <c r="E184" s="60">
        <v>9</v>
      </c>
      <c r="F184" s="64">
        <v>0</v>
      </c>
      <c r="G184" s="60">
        <v>17</v>
      </c>
      <c r="H184" s="64">
        <v>0</v>
      </c>
      <c r="I184" s="4" t="s">
        <v>16</v>
      </c>
      <c r="J184" s="55">
        <v>8</v>
      </c>
      <c r="K184" s="4" t="s">
        <v>687</v>
      </c>
      <c r="L184" s="14" t="s">
        <v>99</v>
      </c>
      <c r="M184" s="14" t="s">
        <v>609</v>
      </c>
      <c r="N184" s="4" t="s">
        <v>419</v>
      </c>
      <c r="P184" s="4" t="s">
        <v>6</v>
      </c>
      <c r="S184" s="33" t="s">
        <v>322</v>
      </c>
      <c r="T184" s="33"/>
    </row>
    <row r="185" spans="1:26" x14ac:dyDescent="0.25">
      <c r="A185" s="34" t="s">
        <v>78</v>
      </c>
      <c r="B185" s="69" t="s">
        <v>62</v>
      </c>
      <c r="C185" s="69">
        <v>4</v>
      </c>
      <c r="D185" s="69">
        <v>2018</v>
      </c>
      <c r="E185" s="60">
        <v>8</v>
      </c>
      <c r="F185" s="64">
        <v>0</v>
      </c>
      <c r="G185" s="60">
        <v>12</v>
      </c>
      <c r="H185" s="64">
        <v>0</v>
      </c>
      <c r="I185" s="4" t="s">
        <v>16</v>
      </c>
      <c r="J185" s="55">
        <v>4</v>
      </c>
      <c r="K185" s="4" t="s">
        <v>13</v>
      </c>
      <c r="L185" s="14" t="s">
        <v>50</v>
      </c>
      <c r="M185" s="14" t="s">
        <v>51</v>
      </c>
      <c r="N185" s="4" t="s">
        <v>52</v>
      </c>
      <c r="O185" s="4" t="s">
        <v>53</v>
      </c>
      <c r="P185" s="4" t="s">
        <v>6</v>
      </c>
      <c r="Q185" s="50">
        <v>475</v>
      </c>
      <c r="R185" s="14" t="s">
        <v>247</v>
      </c>
      <c r="S185" s="33" t="s">
        <v>322</v>
      </c>
      <c r="T185" s="33"/>
    </row>
    <row r="186" spans="1:26" hidden="1" x14ac:dyDescent="0.25">
      <c r="A186" s="34" t="s">
        <v>78</v>
      </c>
      <c r="B186" s="69" t="s">
        <v>62</v>
      </c>
      <c r="C186" s="69">
        <v>4</v>
      </c>
      <c r="D186" s="69">
        <v>2018</v>
      </c>
      <c r="E186" s="60">
        <v>13</v>
      </c>
      <c r="F186" s="64">
        <v>30</v>
      </c>
      <c r="G186" s="60">
        <v>17</v>
      </c>
      <c r="H186" s="64">
        <v>30</v>
      </c>
      <c r="I186" s="4" t="s">
        <v>7</v>
      </c>
      <c r="J186" s="55">
        <v>4</v>
      </c>
      <c r="K186" s="4" t="s">
        <v>12</v>
      </c>
      <c r="L186" s="14" t="s">
        <v>5</v>
      </c>
      <c r="M186" s="14" t="s">
        <v>104</v>
      </c>
      <c r="N186" s="4" t="s">
        <v>52</v>
      </c>
      <c r="O186" s="4" t="s">
        <v>125</v>
      </c>
      <c r="P186" s="4" t="s">
        <v>6</v>
      </c>
      <c r="Q186" s="50">
        <v>575</v>
      </c>
      <c r="R186" s="14" t="s">
        <v>248</v>
      </c>
      <c r="S186" s="33" t="s">
        <v>322</v>
      </c>
      <c r="T186" s="33"/>
    </row>
    <row r="187" spans="1:26" x14ac:dyDescent="0.25">
      <c r="A187" s="34" t="s">
        <v>79</v>
      </c>
      <c r="B187" s="69" t="s">
        <v>63</v>
      </c>
      <c r="C187" s="69">
        <v>4</v>
      </c>
      <c r="D187" s="69">
        <v>2018</v>
      </c>
      <c r="E187" s="60">
        <v>8</v>
      </c>
      <c r="F187" s="64">
        <v>0</v>
      </c>
      <c r="G187" s="60">
        <v>12</v>
      </c>
      <c r="H187" s="64">
        <v>0</v>
      </c>
      <c r="I187" s="4" t="s">
        <v>7</v>
      </c>
      <c r="J187" s="55">
        <v>4</v>
      </c>
      <c r="K187" s="4" t="s">
        <v>13</v>
      </c>
      <c r="L187" s="14" t="s">
        <v>50</v>
      </c>
      <c r="M187" s="14" t="s">
        <v>115</v>
      </c>
      <c r="N187" s="4" t="s">
        <v>52</v>
      </c>
      <c r="O187" s="4" t="s">
        <v>131</v>
      </c>
      <c r="P187" s="4" t="s">
        <v>6</v>
      </c>
      <c r="Q187" s="50">
        <v>475</v>
      </c>
      <c r="R187" s="14" t="s">
        <v>249</v>
      </c>
      <c r="S187" s="33" t="s">
        <v>322</v>
      </c>
      <c r="T187" s="33"/>
    </row>
    <row r="188" spans="1:26" x14ac:dyDescent="0.25">
      <c r="A188" s="34" t="s">
        <v>79</v>
      </c>
      <c r="B188" s="69" t="s">
        <v>63</v>
      </c>
      <c r="C188" s="69">
        <v>4</v>
      </c>
      <c r="D188" s="69">
        <v>2018</v>
      </c>
      <c r="E188" s="60">
        <v>12</v>
      </c>
      <c r="F188" s="64">
        <v>0</v>
      </c>
      <c r="G188" s="60">
        <v>13</v>
      </c>
      <c r="H188" s="64">
        <v>0</v>
      </c>
      <c r="I188" s="4" t="s">
        <v>7</v>
      </c>
      <c r="J188" s="55">
        <v>1</v>
      </c>
      <c r="K188" s="4" t="s">
        <v>13</v>
      </c>
      <c r="L188" s="14" t="s">
        <v>50</v>
      </c>
      <c r="M188" s="14" t="s">
        <v>115</v>
      </c>
      <c r="N188" s="4" t="s">
        <v>52</v>
      </c>
      <c r="O188" s="4" t="s">
        <v>131</v>
      </c>
      <c r="P188" s="4" t="s">
        <v>6</v>
      </c>
      <c r="Q188" s="50">
        <v>118.75</v>
      </c>
      <c r="R188" s="14" t="s">
        <v>250</v>
      </c>
      <c r="S188" s="33" t="s">
        <v>322</v>
      </c>
      <c r="T188" s="33"/>
    </row>
    <row r="189" spans="1:26" x14ac:dyDescent="0.25">
      <c r="A189" s="34" t="s">
        <v>80</v>
      </c>
      <c r="B189" s="69" t="s">
        <v>64</v>
      </c>
      <c r="C189" s="69">
        <v>4</v>
      </c>
      <c r="D189" s="69">
        <v>2018</v>
      </c>
      <c r="E189" s="60">
        <v>8</v>
      </c>
      <c r="F189" s="64">
        <v>0</v>
      </c>
      <c r="G189" s="60">
        <v>12</v>
      </c>
      <c r="H189" s="64">
        <v>0</v>
      </c>
      <c r="I189" s="4" t="s">
        <v>7</v>
      </c>
      <c r="J189" s="55">
        <v>4</v>
      </c>
      <c r="K189" s="4" t="s">
        <v>13</v>
      </c>
      <c r="L189" s="14" t="s">
        <v>50</v>
      </c>
      <c r="M189" s="14" t="s">
        <v>115</v>
      </c>
      <c r="N189" s="4" t="s">
        <v>52</v>
      </c>
      <c r="O189" s="4" t="s">
        <v>131</v>
      </c>
      <c r="P189" s="4" t="s">
        <v>6</v>
      </c>
      <c r="Q189" s="50">
        <v>475</v>
      </c>
      <c r="R189" s="14" t="s">
        <v>251</v>
      </c>
      <c r="S189" s="33" t="s">
        <v>322</v>
      </c>
      <c r="T189" s="33"/>
    </row>
    <row r="190" spans="1:26" x14ac:dyDescent="0.25">
      <c r="A190" s="34" t="s">
        <v>80</v>
      </c>
      <c r="B190" s="69" t="s">
        <v>64</v>
      </c>
      <c r="C190" s="69">
        <v>4</v>
      </c>
      <c r="D190" s="69">
        <v>2018</v>
      </c>
      <c r="E190" s="60">
        <v>13</v>
      </c>
      <c r="F190" s="64">
        <v>0</v>
      </c>
      <c r="G190" s="60">
        <v>17</v>
      </c>
      <c r="H190" s="64">
        <v>0</v>
      </c>
      <c r="I190" s="4" t="s">
        <v>7</v>
      </c>
      <c r="J190" s="55">
        <v>4</v>
      </c>
      <c r="K190" s="4" t="s">
        <v>13</v>
      </c>
      <c r="L190" s="14" t="s">
        <v>50</v>
      </c>
      <c r="M190" s="14" t="s">
        <v>115</v>
      </c>
      <c r="N190" s="4" t="s">
        <v>52</v>
      </c>
      <c r="O190" s="4" t="s">
        <v>53</v>
      </c>
      <c r="P190" s="4" t="s">
        <v>6</v>
      </c>
      <c r="Q190" s="50">
        <v>475</v>
      </c>
      <c r="R190" s="14" t="s">
        <v>252</v>
      </c>
      <c r="S190" s="33" t="s">
        <v>322</v>
      </c>
      <c r="T190" s="33"/>
    </row>
    <row r="191" spans="1:26" hidden="1" x14ac:dyDescent="0.25">
      <c r="A191" s="34" t="s">
        <v>49</v>
      </c>
      <c r="B191" s="69" t="s">
        <v>65</v>
      </c>
      <c r="C191" s="69">
        <v>4</v>
      </c>
      <c r="D191" s="69">
        <v>2018</v>
      </c>
      <c r="I191" s="4" t="s">
        <v>16</v>
      </c>
      <c r="J191" s="55">
        <v>8</v>
      </c>
      <c r="L191" s="14" t="s">
        <v>99</v>
      </c>
      <c r="M191" s="14" t="s">
        <v>609</v>
      </c>
      <c r="N191" s="4" t="s">
        <v>419</v>
      </c>
      <c r="P191" s="4" t="s">
        <v>6</v>
      </c>
      <c r="S191" s="14" t="s">
        <v>417</v>
      </c>
    </row>
    <row r="192" spans="1:26" hidden="1" x14ac:dyDescent="0.25">
      <c r="A192" s="34" t="s">
        <v>77</v>
      </c>
      <c r="B192" s="69" t="s">
        <v>68</v>
      </c>
      <c r="C192" s="69">
        <v>4</v>
      </c>
      <c r="D192" s="69">
        <v>2018</v>
      </c>
      <c r="E192" s="60">
        <v>15</v>
      </c>
      <c r="F192" s="64">
        <v>0</v>
      </c>
      <c r="G192" s="60">
        <v>19</v>
      </c>
      <c r="H192" s="64">
        <v>0</v>
      </c>
      <c r="I192" s="4" t="s">
        <v>7</v>
      </c>
      <c r="J192" s="55">
        <v>4</v>
      </c>
      <c r="K192" s="4" t="s">
        <v>12</v>
      </c>
      <c r="L192" s="14" t="s">
        <v>5</v>
      </c>
      <c r="M192" s="14" t="s">
        <v>104</v>
      </c>
      <c r="N192" s="4" t="s">
        <v>52</v>
      </c>
      <c r="O192" s="4" t="s">
        <v>125</v>
      </c>
      <c r="P192" s="4" t="s">
        <v>6</v>
      </c>
      <c r="Q192" s="50">
        <v>575</v>
      </c>
      <c r="R192" s="14" t="s">
        <v>253</v>
      </c>
      <c r="S192" s="33" t="s">
        <v>322</v>
      </c>
      <c r="T192" s="33"/>
    </row>
    <row r="193" spans="1:20" hidden="1" x14ac:dyDescent="0.25">
      <c r="A193" s="34" t="s">
        <v>78</v>
      </c>
      <c r="B193" s="69" t="s">
        <v>69</v>
      </c>
      <c r="C193" s="69">
        <v>4</v>
      </c>
      <c r="D193" s="69">
        <v>2018</v>
      </c>
      <c r="E193" s="60">
        <v>8</v>
      </c>
      <c r="F193" s="64">
        <v>0</v>
      </c>
      <c r="G193" s="60">
        <v>12</v>
      </c>
      <c r="H193" s="64">
        <v>0</v>
      </c>
      <c r="I193" s="4" t="s">
        <v>7</v>
      </c>
      <c r="J193" s="55">
        <v>4</v>
      </c>
      <c r="K193" s="4" t="s">
        <v>12</v>
      </c>
      <c r="L193" s="14" t="s">
        <v>24</v>
      </c>
      <c r="M193" s="14" t="s">
        <v>105</v>
      </c>
      <c r="N193" s="4" t="s">
        <v>52</v>
      </c>
      <c r="O193" s="4" t="s">
        <v>52</v>
      </c>
      <c r="P193" s="4" t="s">
        <v>6</v>
      </c>
      <c r="Q193" s="50">
        <v>600</v>
      </c>
      <c r="R193" s="14" t="s">
        <v>254</v>
      </c>
      <c r="S193" s="33" t="s">
        <v>322</v>
      </c>
      <c r="T193" s="33"/>
    </row>
    <row r="194" spans="1:20" x14ac:dyDescent="0.25">
      <c r="A194" s="34" t="s">
        <v>78</v>
      </c>
      <c r="B194" s="69" t="s">
        <v>69</v>
      </c>
      <c r="C194" s="69">
        <v>4</v>
      </c>
      <c r="D194" s="69">
        <v>2018</v>
      </c>
      <c r="E194" s="60">
        <v>13</v>
      </c>
      <c r="F194" s="64">
        <v>0</v>
      </c>
      <c r="G194" s="60">
        <v>17</v>
      </c>
      <c r="H194" s="64">
        <v>0</v>
      </c>
      <c r="I194" s="4" t="s">
        <v>7</v>
      </c>
      <c r="J194" s="55">
        <v>4</v>
      </c>
      <c r="K194" s="4" t="s">
        <v>12</v>
      </c>
      <c r="L194" s="14" t="s">
        <v>50</v>
      </c>
      <c r="M194" s="14" t="s">
        <v>115</v>
      </c>
      <c r="N194" s="4" t="s">
        <v>52</v>
      </c>
      <c r="O194" s="4" t="s">
        <v>131</v>
      </c>
      <c r="P194" s="4" t="s">
        <v>6</v>
      </c>
      <c r="Q194" s="50">
        <v>575</v>
      </c>
      <c r="R194" s="14" t="s">
        <v>255</v>
      </c>
      <c r="S194" s="33" t="s">
        <v>322</v>
      </c>
      <c r="T194" s="33"/>
    </row>
    <row r="195" spans="1:20" hidden="1" x14ac:dyDescent="0.25">
      <c r="A195" s="34" t="s">
        <v>79</v>
      </c>
      <c r="B195" s="69" t="s">
        <v>70</v>
      </c>
      <c r="C195" s="69">
        <v>4</v>
      </c>
      <c r="D195" s="69">
        <v>2018</v>
      </c>
      <c r="E195" s="60">
        <v>9</v>
      </c>
      <c r="F195" s="64">
        <v>0</v>
      </c>
      <c r="G195" s="60">
        <v>14</v>
      </c>
      <c r="H195" s="64">
        <v>0</v>
      </c>
      <c r="I195" s="4" t="s">
        <v>7</v>
      </c>
      <c r="J195" s="55">
        <v>6</v>
      </c>
      <c r="K195" s="4" t="s">
        <v>13</v>
      </c>
      <c r="L195" s="14" t="s">
        <v>5</v>
      </c>
      <c r="M195" s="14" t="s">
        <v>104</v>
      </c>
      <c r="N195" s="4" t="s">
        <v>52</v>
      </c>
      <c r="O195" s="4" t="s">
        <v>125</v>
      </c>
      <c r="P195" s="4" t="s">
        <v>6</v>
      </c>
      <c r="Q195" s="50">
        <v>787.5</v>
      </c>
      <c r="R195" s="14" t="s">
        <v>256</v>
      </c>
      <c r="S195" s="33" t="s">
        <v>322</v>
      </c>
      <c r="T195" s="33"/>
    </row>
    <row r="196" spans="1:20" hidden="1" x14ac:dyDescent="0.25">
      <c r="A196" s="34" t="s">
        <v>79</v>
      </c>
      <c r="B196" s="69" t="s">
        <v>70</v>
      </c>
      <c r="C196" s="69">
        <v>4</v>
      </c>
      <c r="D196" s="69">
        <v>2018</v>
      </c>
      <c r="E196" s="60">
        <v>17</v>
      </c>
      <c r="F196" s="64">
        <v>0</v>
      </c>
      <c r="G196" s="60">
        <v>22</v>
      </c>
      <c r="H196" s="64">
        <v>0</v>
      </c>
      <c r="I196" s="4" t="s">
        <v>7</v>
      </c>
      <c r="J196" s="55">
        <v>4</v>
      </c>
      <c r="K196" s="4" t="s">
        <v>13</v>
      </c>
      <c r="L196" s="14" t="s">
        <v>99</v>
      </c>
      <c r="M196" s="14" t="s">
        <v>609</v>
      </c>
      <c r="N196" s="4" t="s">
        <v>419</v>
      </c>
      <c r="P196" s="4" t="s">
        <v>6</v>
      </c>
      <c r="R196" s="14" t="s">
        <v>420</v>
      </c>
      <c r="S196" s="33" t="s">
        <v>322</v>
      </c>
      <c r="T196" s="33"/>
    </row>
    <row r="197" spans="1:20" hidden="1" x14ac:dyDescent="0.25">
      <c r="A197" s="34" t="s">
        <v>80</v>
      </c>
      <c r="B197" s="69" t="s">
        <v>71</v>
      </c>
      <c r="C197" s="69">
        <v>4</v>
      </c>
      <c r="D197" s="69">
        <v>2018</v>
      </c>
      <c r="E197" s="60">
        <v>9</v>
      </c>
      <c r="F197" s="64">
        <v>0</v>
      </c>
      <c r="G197" s="60">
        <v>13</v>
      </c>
      <c r="H197" s="64">
        <v>0</v>
      </c>
      <c r="I197" s="4" t="s">
        <v>7</v>
      </c>
      <c r="J197" s="55">
        <v>4</v>
      </c>
      <c r="K197" s="4" t="s">
        <v>12</v>
      </c>
      <c r="L197" s="14" t="s">
        <v>94</v>
      </c>
      <c r="M197" s="14" t="s">
        <v>109</v>
      </c>
      <c r="N197" s="4" t="s">
        <v>52</v>
      </c>
      <c r="O197" s="4" t="s">
        <v>52</v>
      </c>
      <c r="P197" s="4" t="s">
        <v>6</v>
      </c>
      <c r="Q197" s="50">
        <v>400</v>
      </c>
      <c r="R197" s="14" t="s">
        <v>257</v>
      </c>
      <c r="S197" s="33" t="s">
        <v>322</v>
      </c>
      <c r="T197" s="33"/>
    </row>
    <row r="198" spans="1:20" x14ac:dyDescent="0.25">
      <c r="A198" s="35" t="s">
        <v>80</v>
      </c>
      <c r="B198" s="69" t="s">
        <v>71</v>
      </c>
      <c r="C198" s="69">
        <v>4</v>
      </c>
      <c r="D198" s="69">
        <v>2018</v>
      </c>
      <c r="E198" s="60">
        <v>12</v>
      </c>
      <c r="F198" s="64">
        <v>30</v>
      </c>
      <c r="G198" s="60">
        <v>17</v>
      </c>
      <c r="H198" s="64">
        <v>0</v>
      </c>
      <c r="I198" s="4" t="s">
        <v>7</v>
      </c>
      <c r="J198" s="55">
        <v>4</v>
      </c>
      <c r="K198" s="4" t="s">
        <v>12</v>
      </c>
      <c r="L198" s="14" t="s">
        <v>50</v>
      </c>
      <c r="M198" s="14" t="s">
        <v>115</v>
      </c>
      <c r="N198" s="4" t="s">
        <v>52</v>
      </c>
      <c r="O198" s="4" t="s">
        <v>131</v>
      </c>
      <c r="P198" s="4" t="s">
        <v>6</v>
      </c>
      <c r="Q198" s="50">
        <v>575</v>
      </c>
      <c r="R198" s="14" t="s">
        <v>258</v>
      </c>
      <c r="S198" s="33" t="s">
        <v>322</v>
      </c>
      <c r="T198" s="33"/>
    </row>
    <row r="199" spans="1:20" x14ac:dyDescent="0.25">
      <c r="A199" s="35" t="s">
        <v>49</v>
      </c>
      <c r="B199" s="69" t="s">
        <v>72</v>
      </c>
      <c r="C199" s="69">
        <v>4</v>
      </c>
      <c r="D199" s="69">
        <v>2018</v>
      </c>
      <c r="E199" s="60">
        <v>9</v>
      </c>
      <c r="F199" s="64">
        <v>0</v>
      </c>
      <c r="G199" s="60">
        <v>15</v>
      </c>
      <c r="H199" s="64">
        <v>0</v>
      </c>
      <c r="I199" s="4" t="s">
        <v>7</v>
      </c>
      <c r="J199" s="55">
        <v>6</v>
      </c>
      <c r="K199" s="4" t="s">
        <v>13</v>
      </c>
      <c r="L199" s="14" t="s">
        <v>50</v>
      </c>
      <c r="M199" s="14" t="s">
        <v>115</v>
      </c>
      <c r="N199" s="4" t="s">
        <v>52</v>
      </c>
      <c r="O199" s="4" t="s">
        <v>131</v>
      </c>
      <c r="P199" s="4" t="s">
        <v>6</v>
      </c>
      <c r="Q199" s="50">
        <v>712.5</v>
      </c>
      <c r="R199" s="14" t="s">
        <v>259</v>
      </c>
      <c r="S199" s="33" t="s">
        <v>322</v>
      </c>
      <c r="T199" s="33"/>
    </row>
    <row r="200" spans="1:20" x14ac:dyDescent="0.25">
      <c r="A200" s="23" t="s">
        <v>83</v>
      </c>
      <c r="B200" s="69" t="s">
        <v>74</v>
      </c>
      <c r="C200" s="69">
        <v>4</v>
      </c>
      <c r="D200" s="69">
        <v>2018</v>
      </c>
      <c r="E200" s="60">
        <v>1</v>
      </c>
      <c r="F200" s="64">
        <v>0</v>
      </c>
      <c r="G200" s="60">
        <v>23</v>
      </c>
      <c r="H200" s="64">
        <v>0</v>
      </c>
      <c r="I200" s="4" t="s">
        <v>16</v>
      </c>
      <c r="J200" s="55">
        <v>22</v>
      </c>
      <c r="K200" s="4" t="s">
        <v>13</v>
      </c>
      <c r="L200" s="14" t="s">
        <v>50</v>
      </c>
      <c r="M200" s="14" t="s">
        <v>115</v>
      </c>
      <c r="N200" s="4" t="s">
        <v>52</v>
      </c>
      <c r="O200" s="4" t="s">
        <v>131</v>
      </c>
      <c r="P200" s="4" t="s">
        <v>6</v>
      </c>
      <c r="Q200" s="50">
        <v>1100</v>
      </c>
      <c r="R200" s="14" t="s">
        <v>260</v>
      </c>
      <c r="S200" s="33" t="s">
        <v>322</v>
      </c>
      <c r="T200" s="33"/>
    </row>
    <row r="201" spans="1:20" hidden="1" x14ac:dyDescent="0.25">
      <c r="A201" s="23" t="s">
        <v>83</v>
      </c>
      <c r="B201" s="69" t="s">
        <v>74</v>
      </c>
      <c r="C201" s="69">
        <v>4</v>
      </c>
      <c r="D201" s="69">
        <v>2018</v>
      </c>
      <c r="E201" s="60">
        <v>1</v>
      </c>
      <c r="F201" s="64">
        <v>0</v>
      </c>
      <c r="G201" s="60">
        <v>14</v>
      </c>
      <c r="H201" s="64">
        <v>0</v>
      </c>
      <c r="I201" s="4" t="s">
        <v>16</v>
      </c>
      <c r="J201" s="55">
        <v>13</v>
      </c>
      <c r="K201" s="4" t="s">
        <v>13</v>
      </c>
      <c r="L201" s="14" t="s">
        <v>24</v>
      </c>
      <c r="M201" s="14" t="s">
        <v>105</v>
      </c>
      <c r="N201" s="4" t="s">
        <v>52</v>
      </c>
      <c r="O201" s="4" t="s">
        <v>52</v>
      </c>
      <c r="P201" s="4" t="s">
        <v>6</v>
      </c>
      <c r="Q201" s="50">
        <v>650</v>
      </c>
      <c r="R201" s="14" t="s">
        <v>261</v>
      </c>
      <c r="S201" s="33" t="s">
        <v>322</v>
      </c>
      <c r="T201" s="33"/>
    </row>
    <row r="202" spans="1:20" x14ac:dyDescent="0.25">
      <c r="A202" s="23" t="s">
        <v>77</v>
      </c>
      <c r="B202" s="67" t="s">
        <v>75</v>
      </c>
      <c r="C202" s="69">
        <v>4</v>
      </c>
      <c r="D202" s="69">
        <v>2018</v>
      </c>
      <c r="E202" s="60">
        <v>13</v>
      </c>
      <c r="F202" s="64">
        <v>0</v>
      </c>
      <c r="G202" s="60">
        <v>17</v>
      </c>
      <c r="H202" s="64">
        <v>0</v>
      </c>
      <c r="I202" s="4" t="s">
        <v>7</v>
      </c>
      <c r="J202" s="55">
        <v>4</v>
      </c>
      <c r="K202" s="4" t="s">
        <v>12</v>
      </c>
      <c r="L202" s="14" t="s">
        <v>50</v>
      </c>
      <c r="M202" s="14" t="s">
        <v>51</v>
      </c>
      <c r="N202" s="4" t="s">
        <v>52</v>
      </c>
      <c r="O202" s="4" t="s">
        <v>53</v>
      </c>
      <c r="P202" s="4" t="s">
        <v>6</v>
      </c>
      <c r="Q202" s="50">
        <v>475</v>
      </c>
      <c r="R202" s="14" t="s">
        <v>262</v>
      </c>
      <c r="S202" s="33" t="s">
        <v>322</v>
      </c>
      <c r="T202" s="33"/>
    </row>
    <row r="203" spans="1:20" hidden="1" x14ac:dyDescent="0.25">
      <c r="A203" s="23" t="s">
        <v>77</v>
      </c>
      <c r="B203" s="67" t="s">
        <v>75</v>
      </c>
      <c r="C203" s="69">
        <v>4</v>
      </c>
      <c r="D203" s="69">
        <v>2018</v>
      </c>
      <c r="I203" s="4" t="s">
        <v>7</v>
      </c>
      <c r="L203" s="14" t="s">
        <v>5</v>
      </c>
      <c r="M203" s="14" t="s">
        <v>104</v>
      </c>
      <c r="N203" s="4" t="s">
        <v>52</v>
      </c>
      <c r="O203" s="4" t="s">
        <v>125</v>
      </c>
      <c r="P203" s="4" t="s">
        <v>133</v>
      </c>
      <c r="Q203" s="50">
        <v>11250</v>
      </c>
      <c r="R203" s="14" t="s">
        <v>263</v>
      </c>
      <c r="S203" s="33" t="s">
        <v>322</v>
      </c>
      <c r="T203" s="33"/>
    </row>
    <row r="204" spans="1:20" hidden="1" x14ac:dyDescent="0.25">
      <c r="A204" s="23" t="s">
        <v>78</v>
      </c>
      <c r="B204" s="67">
        <v>1</v>
      </c>
      <c r="C204" s="69">
        <v>5</v>
      </c>
      <c r="D204" s="69">
        <v>2018</v>
      </c>
      <c r="E204" s="60">
        <v>9</v>
      </c>
      <c r="F204" s="64">
        <v>0</v>
      </c>
      <c r="G204" s="60">
        <v>13</v>
      </c>
      <c r="H204" s="64">
        <v>0</v>
      </c>
      <c r="I204" s="4" t="s">
        <v>7</v>
      </c>
      <c r="J204" s="55">
        <v>4</v>
      </c>
      <c r="K204" s="4" t="s">
        <v>13</v>
      </c>
      <c r="L204" s="14" t="s">
        <v>99</v>
      </c>
      <c r="M204" s="14" t="s">
        <v>609</v>
      </c>
      <c r="N204" s="4" t="s">
        <v>419</v>
      </c>
      <c r="P204" s="4" t="s">
        <v>6</v>
      </c>
      <c r="Q204" s="50">
        <v>0</v>
      </c>
      <c r="R204" s="14" t="s">
        <v>421</v>
      </c>
      <c r="S204" s="33" t="s">
        <v>322</v>
      </c>
      <c r="T204" s="33"/>
    </row>
    <row r="205" spans="1:20" hidden="1" x14ac:dyDescent="0.25">
      <c r="A205" s="23" t="s">
        <v>78</v>
      </c>
      <c r="B205" s="67">
        <v>1</v>
      </c>
      <c r="C205" s="69">
        <v>5</v>
      </c>
      <c r="D205" s="69">
        <v>2018</v>
      </c>
      <c r="E205" s="60">
        <v>13</v>
      </c>
      <c r="F205" s="64">
        <v>0</v>
      </c>
      <c r="G205" s="60">
        <v>17</v>
      </c>
      <c r="H205" s="64">
        <v>0</v>
      </c>
      <c r="I205" s="4" t="s">
        <v>7</v>
      </c>
      <c r="J205" s="55">
        <v>4</v>
      </c>
      <c r="K205" s="4" t="s">
        <v>12</v>
      </c>
      <c r="L205" s="14" t="s">
        <v>5</v>
      </c>
      <c r="M205" s="14" t="s">
        <v>104</v>
      </c>
      <c r="N205" s="4" t="s">
        <v>52</v>
      </c>
      <c r="O205" s="4" t="s">
        <v>125</v>
      </c>
      <c r="P205" s="4" t="s">
        <v>6</v>
      </c>
      <c r="Q205" s="50">
        <v>575</v>
      </c>
      <c r="R205" s="14" t="s">
        <v>264</v>
      </c>
      <c r="S205" s="33" t="s">
        <v>322</v>
      </c>
      <c r="T205" s="33"/>
    </row>
    <row r="206" spans="1:20" hidden="1" x14ac:dyDescent="0.25">
      <c r="A206" s="23" t="s">
        <v>79</v>
      </c>
      <c r="B206" s="67">
        <v>2</v>
      </c>
      <c r="C206" s="69">
        <v>5</v>
      </c>
      <c r="D206" s="69">
        <v>2018</v>
      </c>
      <c r="E206" s="60">
        <v>9</v>
      </c>
      <c r="F206" s="64">
        <v>0</v>
      </c>
      <c r="G206" s="60">
        <v>12</v>
      </c>
      <c r="H206" s="64">
        <v>0</v>
      </c>
      <c r="I206" s="4" t="s">
        <v>16</v>
      </c>
      <c r="J206" s="55">
        <v>3</v>
      </c>
      <c r="K206" s="4" t="s">
        <v>13</v>
      </c>
      <c r="L206" s="14" t="s">
        <v>92</v>
      </c>
      <c r="M206" s="14" t="s">
        <v>116</v>
      </c>
      <c r="N206" s="4" t="s">
        <v>52</v>
      </c>
      <c r="O206" s="4" t="s">
        <v>52</v>
      </c>
      <c r="P206" s="4" t="s">
        <v>6</v>
      </c>
      <c r="Q206" s="50">
        <v>337.5</v>
      </c>
      <c r="R206" s="14" t="s">
        <v>265</v>
      </c>
      <c r="S206" s="33" t="s">
        <v>322</v>
      </c>
      <c r="T206" s="33"/>
    </row>
    <row r="207" spans="1:20" hidden="1" x14ac:dyDescent="0.25">
      <c r="A207" s="23" t="s">
        <v>79</v>
      </c>
      <c r="B207" s="67">
        <v>2</v>
      </c>
      <c r="C207" s="69">
        <v>5</v>
      </c>
      <c r="D207" s="69">
        <v>2018</v>
      </c>
      <c r="E207" s="60">
        <v>15</v>
      </c>
      <c r="F207" s="64">
        <v>0</v>
      </c>
      <c r="G207" s="60">
        <v>19</v>
      </c>
      <c r="H207" s="64">
        <v>0</v>
      </c>
      <c r="I207" s="4" t="s">
        <v>16</v>
      </c>
      <c r="J207" s="55">
        <v>4</v>
      </c>
      <c r="K207" s="4" t="s">
        <v>13</v>
      </c>
      <c r="L207" s="14" t="s">
        <v>5</v>
      </c>
      <c r="M207" s="14" t="s">
        <v>104</v>
      </c>
      <c r="N207" s="4" t="s">
        <v>52</v>
      </c>
      <c r="O207" s="4" t="s">
        <v>125</v>
      </c>
      <c r="P207" s="4" t="s">
        <v>6</v>
      </c>
      <c r="Q207" s="50">
        <v>500</v>
      </c>
      <c r="R207" s="14" t="s">
        <v>266</v>
      </c>
      <c r="S207" s="33" t="s">
        <v>322</v>
      </c>
      <c r="T207" s="33"/>
    </row>
    <row r="208" spans="1:20" hidden="1" x14ac:dyDescent="0.25">
      <c r="A208" s="23" t="s">
        <v>80</v>
      </c>
      <c r="B208" s="67">
        <v>3</v>
      </c>
      <c r="C208" s="69">
        <v>5</v>
      </c>
      <c r="D208" s="69">
        <v>2018</v>
      </c>
      <c r="E208" s="60">
        <v>8</v>
      </c>
      <c r="F208" s="64">
        <v>30</v>
      </c>
      <c r="G208" s="60">
        <v>12</v>
      </c>
      <c r="H208" s="64">
        <v>30</v>
      </c>
      <c r="I208" s="4" t="s">
        <v>7</v>
      </c>
      <c r="J208" s="55">
        <v>4</v>
      </c>
      <c r="K208" s="4" t="s">
        <v>12</v>
      </c>
      <c r="L208" s="14" t="s">
        <v>92</v>
      </c>
      <c r="M208" s="14" t="s">
        <v>116</v>
      </c>
      <c r="N208" s="4" t="s">
        <v>52</v>
      </c>
      <c r="O208" s="4" t="s">
        <v>52</v>
      </c>
      <c r="P208" s="4" t="s">
        <v>6</v>
      </c>
      <c r="Q208" s="50">
        <v>450</v>
      </c>
      <c r="R208" s="14" t="s">
        <v>267</v>
      </c>
      <c r="S208" s="33" t="s">
        <v>322</v>
      </c>
      <c r="T208" s="33"/>
    </row>
    <row r="209" spans="1:20" hidden="1" x14ac:dyDescent="0.25">
      <c r="A209" s="23" t="s">
        <v>80</v>
      </c>
      <c r="B209" s="67">
        <v>3</v>
      </c>
      <c r="C209" s="69">
        <v>5</v>
      </c>
      <c r="D209" s="69">
        <v>2018</v>
      </c>
      <c r="I209" s="4" t="s">
        <v>7</v>
      </c>
      <c r="J209" s="55">
        <v>8</v>
      </c>
      <c r="K209" s="4" t="s">
        <v>687</v>
      </c>
      <c r="L209" s="14" t="s">
        <v>24</v>
      </c>
      <c r="M209" s="14" t="s">
        <v>105</v>
      </c>
      <c r="N209" s="4" t="s">
        <v>52</v>
      </c>
      <c r="P209" s="4" t="s">
        <v>6</v>
      </c>
      <c r="Q209" s="137"/>
      <c r="R209" s="14" t="s">
        <v>268</v>
      </c>
      <c r="S209" s="14" t="s">
        <v>417</v>
      </c>
    </row>
    <row r="210" spans="1:20" x14ac:dyDescent="0.25">
      <c r="A210" s="23" t="s">
        <v>49</v>
      </c>
      <c r="B210" s="67">
        <v>4</v>
      </c>
      <c r="C210" s="69">
        <v>5</v>
      </c>
      <c r="D210" s="69">
        <v>2018</v>
      </c>
      <c r="E210" s="60">
        <v>9</v>
      </c>
      <c r="F210" s="64">
        <v>0</v>
      </c>
      <c r="G210" s="60">
        <v>15</v>
      </c>
      <c r="H210" s="64">
        <v>0</v>
      </c>
      <c r="I210" s="4" t="s">
        <v>7</v>
      </c>
      <c r="J210" s="55">
        <v>6</v>
      </c>
      <c r="K210" s="4" t="s">
        <v>13</v>
      </c>
      <c r="L210" s="14" t="s">
        <v>50</v>
      </c>
      <c r="M210" s="14" t="s">
        <v>115</v>
      </c>
      <c r="N210" s="4" t="s">
        <v>52</v>
      </c>
      <c r="O210" s="4" t="s">
        <v>131</v>
      </c>
      <c r="P210" s="4" t="s">
        <v>6</v>
      </c>
      <c r="Q210" s="50">
        <v>712.5</v>
      </c>
      <c r="R210" s="14" t="s">
        <v>269</v>
      </c>
      <c r="S210" s="33" t="s">
        <v>322</v>
      </c>
      <c r="T210" s="33"/>
    </row>
    <row r="211" spans="1:20" hidden="1" x14ac:dyDescent="0.25">
      <c r="A211" s="23" t="s">
        <v>77</v>
      </c>
      <c r="B211" s="69">
        <v>7</v>
      </c>
      <c r="C211" s="69">
        <v>5</v>
      </c>
      <c r="D211" s="69">
        <v>2018</v>
      </c>
      <c r="E211" s="60">
        <v>9</v>
      </c>
      <c r="F211" s="64">
        <v>0</v>
      </c>
      <c r="G211" s="60">
        <v>13</v>
      </c>
      <c r="H211" s="64">
        <v>0</v>
      </c>
      <c r="I211" s="4" t="s">
        <v>7</v>
      </c>
      <c r="J211" s="55">
        <v>4</v>
      </c>
      <c r="K211" s="4" t="s">
        <v>12</v>
      </c>
      <c r="L211" s="14" t="s">
        <v>92</v>
      </c>
      <c r="M211" s="14" t="s">
        <v>116</v>
      </c>
      <c r="N211" s="4" t="s">
        <v>52</v>
      </c>
      <c r="O211" s="4" t="s">
        <v>52</v>
      </c>
      <c r="P211" s="4" t="s">
        <v>6</v>
      </c>
      <c r="Q211" s="50">
        <v>450</v>
      </c>
      <c r="S211" s="33" t="s">
        <v>322</v>
      </c>
      <c r="T211" s="33"/>
    </row>
    <row r="212" spans="1:20" hidden="1" x14ac:dyDescent="0.25">
      <c r="A212" s="23" t="s">
        <v>77</v>
      </c>
      <c r="B212" s="69">
        <v>7</v>
      </c>
      <c r="C212" s="69">
        <v>5</v>
      </c>
      <c r="D212" s="69">
        <v>2018</v>
      </c>
      <c r="E212" s="60">
        <v>14</v>
      </c>
      <c r="F212" s="64">
        <v>0</v>
      </c>
      <c r="G212" s="60">
        <v>17</v>
      </c>
      <c r="H212" s="64">
        <v>0</v>
      </c>
      <c r="I212" s="4" t="s">
        <v>16</v>
      </c>
      <c r="J212" s="55">
        <v>3</v>
      </c>
      <c r="K212" s="4" t="s">
        <v>13</v>
      </c>
      <c r="L212" s="14" t="s">
        <v>5</v>
      </c>
      <c r="M212" s="14" t="s">
        <v>104</v>
      </c>
      <c r="N212" s="4" t="s">
        <v>52</v>
      </c>
      <c r="O212" s="4" t="s">
        <v>125</v>
      </c>
      <c r="P212" s="4" t="s">
        <v>6</v>
      </c>
      <c r="Q212" s="50">
        <v>375</v>
      </c>
      <c r="R212" s="14" t="s">
        <v>270</v>
      </c>
      <c r="S212" s="33" t="s">
        <v>322</v>
      </c>
      <c r="T212" s="33"/>
    </row>
    <row r="213" spans="1:20" hidden="1" x14ac:dyDescent="0.25">
      <c r="A213" s="23" t="s">
        <v>78</v>
      </c>
      <c r="B213" s="69">
        <v>8</v>
      </c>
      <c r="C213" s="69">
        <v>5</v>
      </c>
      <c r="D213" s="69">
        <v>2018</v>
      </c>
      <c r="E213" s="60">
        <v>8</v>
      </c>
      <c r="F213" s="64">
        <v>30</v>
      </c>
      <c r="G213" s="60">
        <v>13</v>
      </c>
      <c r="H213" s="64">
        <v>30</v>
      </c>
      <c r="I213" s="4" t="s">
        <v>7</v>
      </c>
      <c r="J213" s="55">
        <v>4</v>
      </c>
      <c r="K213" s="4" t="s">
        <v>12</v>
      </c>
      <c r="L213" s="14" t="s">
        <v>5</v>
      </c>
      <c r="M213" s="14" t="s">
        <v>104</v>
      </c>
      <c r="N213" s="4" t="s">
        <v>52</v>
      </c>
      <c r="O213" s="4" t="s">
        <v>125</v>
      </c>
      <c r="P213" s="4" t="s">
        <v>6</v>
      </c>
      <c r="Q213" s="50">
        <v>575</v>
      </c>
      <c r="R213" s="14" t="s">
        <v>271</v>
      </c>
      <c r="S213" s="33" t="s">
        <v>322</v>
      </c>
      <c r="T213" s="33"/>
    </row>
    <row r="214" spans="1:20" x14ac:dyDescent="0.25">
      <c r="A214" s="23" t="s">
        <v>78</v>
      </c>
      <c r="B214" s="69">
        <v>8</v>
      </c>
      <c r="C214" s="69">
        <v>5</v>
      </c>
      <c r="D214" s="69">
        <v>2018</v>
      </c>
      <c r="E214" s="60">
        <v>13</v>
      </c>
      <c r="F214" s="64">
        <v>0</v>
      </c>
      <c r="G214" s="60">
        <v>17</v>
      </c>
      <c r="H214" s="64">
        <v>0</v>
      </c>
      <c r="I214" s="4" t="s">
        <v>7</v>
      </c>
      <c r="J214" s="55">
        <v>4</v>
      </c>
      <c r="K214" s="4" t="s">
        <v>12</v>
      </c>
      <c r="L214" s="14" t="s">
        <v>50</v>
      </c>
      <c r="M214" s="14" t="s">
        <v>51</v>
      </c>
      <c r="N214" s="4" t="s">
        <v>52</v>
      </c>
      <c r="O214" s="4" t="s">
        <v>53</v>
      </c>
      <c r="P214" s="4" t="s">
        <v>6</v>
      </c>
      <c r="Q214" s="50">
        <v>575</v>
      </c>
      <c r="S214" s="33" t="s">
        <v>322</v>
      </c>
      <c r="T214" s="33"/>
    </row>
    <row r="215" spans="1:20" hidden="1" x14ac:dyDescent="0.25">
      <c r="A215" s="23" t="s">
        <v>79</v>
      </c>
      <c r="B215" s="69">
        <v>9</v>
      </c>
      <c r="C215" s="69">
        <v>5</v>
      </c>
      <c r="D215" s="69">
        <v>2018</v>
      </c>
      <c r="E215" s="60">
        <v>9</v>
      </c>
      <c r="F215" s="64">
        <v>0</v>
      </c>
      <c r="G215" s="60">
        <v>17</v>
      </c>
      <c r="H215" s="64">
        <v>0</v>
      </c>
      <c r="I215" s="4" t="s">
        <v>16</v>
      </c>
      <c r="J215" s="55">
        <v>8</v>
      </c>
      <c r="K215" s="4" t="s">
        <v>687</v>
      </c>
      <c r="L215" s="14" t="s">
        <v>99</v>
      </c>
      <c r="M215" s="14" t="s">
        <v>609</v>
      </c>
      <c r="N215" s="4" t="s">
        <v>419</v>
      </c>
      <c r="P215" s="4" t="s">
        <v>6</v>
      </c>
      <c r="S215" s="33" t="s">
        <v>322</v>
      </c>
      <c r="T215" s="33"/>
    </row>
    <row r="216" spans="1:20" hidden="1" x14ac:dyDescent="0.25">
      <c r="A216" s="23" t="s">
        <v>79</v>
      </c>
      <c r="B216" s="69">
        <v>9</v>
      </c>
      <c r="C216" s="69">
        <v>5</v>
      </c>
      <c r="D216" s="69">
        <v>2018</v>
      </c>
      <c r="E216" s="60">
        <v>13</v>
      </c>
      <c r="F216" s="64">
        <v>0</v>
      </c>
      <c r="G216" s="60">
        <v>17</v>
      </c>
      <c r="H216" s="64">
        <v>0</v>
      </c>
      <c r="I216" s="4" t="s">
        <v>7</v>
      </c>
      <c r="J216" s="55">
        <v>2</v>
      </c>
      <c r="K216" s="4" t="s">
        <v>13</v>
      </c>
      <c r="L216" s="14" t="s">
        <v>92</v>
      </c>
      <c r="M216" s="14" t="s">
        <v>116</v>
      </c>
      <c r="N216" s="4" t="s">
        <v>52</v>
      </c>
      <c r="O216" s="4" t="s">
        <v>52</v>
      </c>
      <c r="P216" s="4" t="s">
        <v>6</v>
      </c>
      <c r="Q216" s="50">
        <v>225</v>
      </c>
      <c r="S216" s="33" t="s">
        <v>322</v>
      </c>
      <c r="T216" s="33"/>
    </row>
    <row r="217" spans="1:20" hidden="1" x14ac:dyDescent="0.25">
      <c r="A217" s="23" t="s">
        <v>80</v>
      </c>
      <c r="B217" s="69" t="s">
        <v>55</v>
      </c>
      <c r="C217" s="69">
        <v>5</v>
      </c>
      <c r="D217" s="69">
        <v>2018</v>
      </c>
      <c r="E217" s="60">
        <v>9</v>
      </c>
      <c r="F217" s="64">
        <v>0</v>
      </c>
      <c r="G217" s="60">
        <v>17</v>
      </c>
      <c r="H217" s="64">
        <v>0</v>
      </c>
      <c r="I217" s="4" t="s">
        <v>16</v>
      </c>
      <c r="J217" s="55">
        <v>8</v>
      </c>
      <c r="K217" s="4" t="s">
        <v>687</v>
      </c>
      <c r="L217" s="14" t="s">
        <v>99</v>
      </c>
      <c r="M217" s="14" t="s">
        <v>609</v>
      </c>
      <c r="N217" s="4" t="s">
        <v>419</v>
      </c>
      <c r="P217" s="4" t="s">
        <v>6</v>
      </c>
      <c r="S217" s="33" t="s">
        <v>322</v>
      </c>
      <c r="T217" s="33"/>
    </row>
    <row r="218" spans="1:20" hidden="1" x14ac:dyDescent="0.25">
      <c r="A218" s="23" t="s">
        <v>49</v>
      </c>
      <c r="B218" s="69" t="s">
        <v>56</v>
      </c>
      <c r="C218" s="69">
        <v>5</v>
      </c>
      <c r="D218" s="69">
        <v>2018</v>
      </c>
      <c r="E218" s="60">
        <v>9</v>
      </c>
      <c r="F218" s="64">
        <v>0</v>
      </c>
      <c r="G218" s="60">
        <v>17</v>
      </c>
      <c r="H218" s="64">
        <v>0</v>
      </c>
      <c r="I218" s="4" t="s">
        <v>16</v>
      </c>
      <c r="J218" s="55">
        <v>8</v>
      </c>
      <c r="K218" s="4" t="s">
        <v>687</v>
      </c>
      <c r="L218" s="14" t="s">
        <v>99</v>
      </c>
      <c r="M218" s="14" t="s">
        <v>609</v>
      </c>
      <c r="N218" s="4" t="s">
        <v>419</v>
      </c>
      <c r="P218" s="4" t="s">
        <v>6</v>
      </c>
      <c r="S218" s="33" t="s">
        <v>322</v>
      </c>
      <c r="T218" s="33"/>
    </row>
    <row r="219" spans="1:20" hidden="1" x14ac:dyDescent="0.25">
      <c r="A219" s="23" t="s">
        <v>77</v>
      </c>
      <c r="B219" s="69" t="s">
        <v>59</v>
      </c>
      <c r="C219" s="69">
        <v>5</v>
      </c>
      <c r="D219" s="69">
        <v>2018</v>
      </c>
      <c r="E219" s="60">
        <v>9</v>
      </c>
      <c r="F219" s="64">
        <v>0</v>
      </c>
      <c r="G219" s="60">
        <v>13</v>
      </c>
      <c r="H219" s="64">
        <v>0</v>
      </c>
      <c r="I219" s="4" t="s">
        <v>7</v>
      </c>
      <c r="J219" s="55">
        <v>4</v>
      </c>
      <c r="K219" s="4" t="s">
        <v>12</v>
      </c>
      <c r="L219" s="14" t="s">
        <v>92</v>
      </c>
      <c r="M219" s="14" t="s">
        <v>116</v>
      </c>
      <c r="N219" s="4" t="s">
        <v>52</v>
      </c>
      <c r="O219" s="4" t="s">
        <v>52</v>
      </c>
      <c r="P219" s="4" t="s">
        <v>6</v>
      </c>
      <c r="Q219" s="50">
        <v>450</v>
      </c>
      <c r="S219" s="33" t="s">
        <v>322</v>
      </c>
      <c r="T219" s="33"/>
    </row>
    <row r="220" spans="1:20" hidden="1" x14ac:dyDescent="0.25">
      <c r="A220" s="23" t="s">
        <v>77</v>
      </c>
      <c r="B220" s="69" t="s">
        <v>59</v>
      </c>
      <c r="C220" s="69">
        <v>5</v>
      </c>
      <c r="D220" s="69">
        <v>2018</v>
      </c>
      <c r="E220" s="60">
        <v>13</v>
      </c>
      <c r="F220" s="64">
        <v>0</v>
      </c>
      <c r="G220" s="60">
        <v>17</v>
      </c>
      <c r="H220" s="64">
        <v>0</v>
      </c>
      <c r="I220" s="4" t="s">
        <v>7</v>
      </c>
      <c r="J220" s="55">
        <v>4</v>
      </c>
      <c r="K220" s="4" t="s">
        <v>12</v>
      </c>
      <c r="L220" s="14" t="s">
        <v>5</v>
      </c>
      <c r="M220" s="14" t="s">
        <v>104</v>
      </c>
      <c r="N220" s="4" t="s">
        <v>52</v>
      </c>
      <c r="O220" s="4" t="s">
        <v>125</v>
      </c>
      <c r="P220" s="4" t="s">
        <v>6</v>
      </c>
      <c r="Q220" s="50">
        <v>575</v>
      </c>
      <c r="S220" s="33" t="s">
        <v>322</v>
      </c>
      <c r="T220" s="33"/>
    </row>
    <row r="221" spans="1:20" hidden="1" x14ac:dyDescent="0.25">
      <c r="A221" s="23" t="s">
        <v>78</v>
      </c>
      <c r="B221" s="69" t="s">
        <v>60</v>
      </c>
      <c r="C221" s="69">
        <v>5</v>
      </c>
      <c r="D221" s="69">
        <v>2018</v>
      </c>
      <c r="E221" s="60">
        <v>9</v>
      </c>
      <c r="F221" s="64">
        <v>0</v>
      </c>
      <c r="G221" s="60">
        <v>13</v>
      </c>
      <c r="H221" s="64">
        <v>0</v>
      </c>
      <c r="I221" s="4" t="s">
        <v>7</v>
      </c>
      <c r="J221" s="55">
        <v>4</v>
      </c>
      <c r="K221" s="4" t="s">
        <v>12</v>
      </c>
      <c r="L221" s="14" t="s">
        <v>92</v>
      </c>
      <c r="M221" s="14" t="s">
        <v>116</v>
      </c>
      <c r="N221" s="4" t="s">
        <v>52</v>
      </c>
      <c r="O221" s="4" t="s">
        <v>52</v>
      </c>
      <c r="P221" s="4" t="s">
        <v>6</v>
      </c>
      <c r="Q221" s="50">
        <v>450</v>
      </c>
      <c r="S221" s="33" t="s">
        <v>322</v>
      </c>
      <c r="T221" s="33"/>
    </row>
    <row r="222" spans="1:20" x14ac:dyDescent="0.25">
      <c r="A222" s="23" t="s">
        <v>78</v>
      </c>
      <c r="B222" s="69" t="s">
        <v>60</v>
      </c>
      <c r="C222" s="69">
        <v>5</v>
      </c>
      <c r="D222" s="69">
        <v>2018</v>
      </c>
      <c r="E222" s="60">
        <v>13</v>
      </c>
      <c r="F222" s="64">
        <v>0</v>
      </c>
      <c r="G222" s="60">
        <v>16</v>
      </c>
      <c r="H222" s="64">
        <v>0</v>
      </c>
      <c r="I222" s="4" t="s">
        <v>7</v>
      </c>
      <c r="J222" s="55">
        <v>3</v>
      </c>
      <c r="K222" s="4" t="s">
        <v>13</v>
      </c>
      <c r="L222" s="14" t="s">
        <v>50</v>
      </c>
      <c r="M222" s="14" t="s">
        <v>51</v>
      </c>
      <c r="N222" s="4" t="s">
        <v>52</v>
      </c>
      <c r="O222" s="4" t="s">
        <v>53</v>
      </c>
      <c r="P222" s="4" t="s">
        <v>6</v>
      </c>
      <c r="Q222" s="50">
        <v>356.25</v>
      </c>
      <c r="S222" s="33" t="s">
        <v>322</v>
      </c>
      <c r="T222" s="33"/>
    </row>
    <row r="223" spans="1:20" hidden="1" x14ac:dyDescent="0.25">
      <c r="A223" s="23" t="s">
        <v>79</v>
      </c>
      <c r="B223" s="69" t="s">
        <v>61</v>
      </c>
      <c r="C223" s="69">
        <v>5</v>
      </c>
      <c r="D223" s="69">
        <v>2018</v>
      </c>
      <c r="E223" s="60">
        <v>14</v>
      </c>
      <c r="F223" s="64">
        <v>0</v>
      </c>
      <c r="G223" s="60">
        <v>16</v>
      </c>
      <c r="H223" s="64">
        <v>0</v>
      </c>
      <c r="I223" s="4" t="s">
        <v>7</v>
      </c>
      <c r="J223" s="55">
        <v>2</v>
      </c>
      <c r="K223" s="4" t="s">
        <v>13</v>
      </c>
      <c r="L223" s="14" t="s">
        <v>92</v>
      </c>
      <c r="M223" s="14" t="s">
        <v>116</v>
      </c>
      <c r="N223" s="4" t="s">
        <v>52</v>
      </c>
      <c r="O223" s="4" t="s">
        <v>52</v>
      </c>
      <c r="P223" s="4" t="s">
        <v>6</v>
      </c>
      <c r="Q223" s="50">
        <v>225</v>
      </c>
      <c r="S223" s="33" t="s">
        <v>322</v>
      </c>
      <c r="T223" s="33"/>
    </row>
    <row r="224" spans="1:20" hidden="1" x14ac:dyDescent="0.25">
      <c r="A224" s="23" t="s">
        <v>79</v>
      </c>
      <c r="B224" s="69" t="s">
        <v>61</v>
      </c>
      <c r="C224" s="69">
        <v>5</v>
      </c>
      <c r="D224" s="69">
        <v>2018</v>
      </c>
      <c r="E224" s="60">
        <v>16</v>
      </c>
      <c r="F224" s="64">
        <v>0</v>
      </c>
      <c r="G224" s="60">
        <v>18</v>
      </c>
      <c r="H224" s="64">
        <v>0</v>
      </c>
      <c r="I224" s="4" t="s">
        <v>7</v>
      </c>
      <c r="J224" s="55">
        <v>2</v>
      </c>
      <c r="K224" s="4" t="s">
        <v>13</v>
      </c>
      <c r="L224" s="14" t="s">
        <v>5</v>
      </c>
      <c r="M224" s="14" t="s">
        <v>104</v>
      </c>
      <c r="N224" s="4" t="s">
        <v>52</v>
      </c>
      <c r="O224" s="4" t="s">
        <v>125</v>
      </c>
      <c r="P224" s="4" t="s">
        <v>6</v>
      </c>
      <c r="Q224" s="50">
        <v>262.5</v>
      </c>
      <c r="S224" s="33" t="s">
        <v>322</v>
      </c>
      <c r="T224" s="33"/>
    </row>
    <row r="225" spans="1:20" hidden="1" x14ac:dyDescent="0.25">
      <c r="A225" s="23" t="s">
        <v>80</v>
      </c>
      <c r="B225" s="69" t="s">
        <v>62</v>
      </c>
      <c r="C225" s="69">
        <v>5</v>
      </c>
      <c r="D225" s="69">
        <v>2018</v>
      </c>
      <c r="E225" s="60">
        <v>9</v>
      </c>
      <c r="F225" s="64">
        <v>0</v>
      </c>
      <c r="G225" s="60">
        <v>13</v>
      </c>
      <c r="H225" s="64">
        <v>0</v>
      </c>
      <c r="I225" s="4" t="s">
        <v>7</v>
      </c>
      <c r="J225" s="55">
        <v>4</v>
      </c>
      <c r="K225" s="4" t="s">
        <v>12</v>
      </c>
      <c r="L225" s="14" t="s">
        <v>5</v>
      </c>
      <c r="M225" s="14" t="s">
        <v>104</v>
      </c>
      <c r="N225" s="4" t="s">
        <v>52</v>
      </c>
      <c r="O225" s="4" t="s">
        <v>125</v>
      </c>
      <c r="P225" s="4" t="s">
        <v>6</v>
      </c>
      <c r="Q225" s="50">
        <v>575</v>
      </c>
      <c r="S225" s="33" t="s">
        <v>322</v>
      </c>
      <c r="T225" s="33"/>
    </row>
    <row r="226" spans="1:20" x14ac:dyDescent="0.25">
      <c r="A226" s="23" t="s">
        <v>49</v>
      </c>
      <c r="B226" s="69" t="s">
        <v>63</v>
      </c>
      <c r="C226" s="69">
        <v>5</v>
      </c>
      <c r="D226" s="69">
        <v>2018</v>
      </c>
      <c r="E226" s="60">
        <v>9</v>
      </c>
      <c r="F226" s="64">
        <v>0</v>
      </c>
      <c r="G226" s="60">
        <v>13</v>
      </c>
      <c r="H226" s="64">
        <v>0</v>
      </c>
      <c r="I226" s="4" t="s">
        <v>7</v>
      </c>
      <c r="J226" s="55">
        <v>4</v>
      </c>
      <c r="K226" s="4" t="s">
        <v>12</v>
      </c>
      <c r="L226" s="14" t="s">
        <v>50</v>
      </c>
      <c r="M226" s="14" t="s">
        <v>115</v>
      </c>
      <c r="N226" s="4" t="s">
        <v>52</v>
      </c>
      <c r="O226" s="4" t="s">
        <v>131</v>
      </c>
      <c r="P226" s="4" t="s">
        <v>6</v>
      </c>
      <c r="Q226" s="50">
        <v>575</v>
      </c>
      <c r="S226" s="33" t="s">
        <v>322</v>
      </c>
      <c r="T226" s="33"/>
    </row>
    <row r="227" spans="1:20" hidden="1" x14ac:dyDescent="0.25">
      <c r="A227" s="23" t="s">
        <v>77</v>
      </c>
      <c r="B227" s="69" t="s">
        <v>66</v>
      </c>
      <c r="C227" s="69">
        <v>5</v>
      </c>
      <c r="D227" s="69">
        <v>2018</v>
      </c>
      <c r="E227" s="60">
        <v>9</v>
      </c>
      <c r="F227" s="64">
        <v>0</v>
      </c>
      <c r="G227" s="60">
        <v>17</v>
      </c>
      <c r="H227" s="64">
        <v>0</v>
      </c>
      <c r="I227" s="4" t="s">
        <v>16</v>
      </c>
      <c r="J227" s="55">
        <v>8</v>
      </c>
      <c r="K227" s="4" t="s">
        <v>687</v>
      </c>
      <c r="L227" s="14" t="s">
        <v>99</v>
      </c>
      <c r="M227" s="14" t="s">
        <v>609</v>
      </c>
      <c r="N227" s="4" t="s">
        <v>419</v>
      </c>
      <c r="P227" s="4" t="s">
        <v>6</v>
      </c>
      <c r="S227" s="33" t="s">
        <v>322</v>
      </c>
      <c r="T227" s="33"/>
    </row>
    <row r="228" spans="1:20" hidden="1" x14ac:dyDescent="0.25">
      <c r="A228" s="23" t="s">
        <v>78</v>
      </c>
      <c r="B228" s="69" t="s">
        <v>67</v>
      </c>
      <c r="C228" s="69">
        <v>5</v>
      </c>
      <c r="D228" s="69">
        <v>2018</v>
      </c>
      <c r="E228" s="60">
        <v>9</v>
      </c>
      <c r="F228" s="64">
        <v>0</v>
      </c>
      <c r="G228" s="60">
        <v>13</v>
      </c>
      <c r="H228" s="64">
        <v>0</v>
      </c>
      <c r="I228" s="4" t="s">
        <v>7</v>
      </c>
      <c r="J228" s="55">
        <v>4</v>
      </c>
      <c r="K228" s="4" t="s">
        <v>12</v>
      </c>
      <c r="L228" s="14" t="s">
        <v>92</v>
      </c>
      <c r="M228" s="14" t="s">
        <v>116</v>
      </c>
      <c r="N228" s="4" t="s">
        <v>52</v>
      </c>
      <c r="O228" s="4" t="s">
        <v>52</v>
      </c>
      <c r="P228" s="4" t="s">
        <v>6</v>
      </c>
      <c r="Q228" s="50">
        <v>450</v>
      </c>
      <c r="S228" s="33" t="s">
        <v>322</v>
      </c>
      <c r="T228" s="33"/>
    </row>
    <row r="229" spans="1:20" x14ac:dyDescent="0.25">
      <c r="A229" s="23" t="s">
        <v>78</v>
      </c>
      <c r="B229" s="69" t="s">
        <v>67</v>
      </c>
      <c r="C229" s="69">
        <v>5</v>
      </c>
      <c r="D229" s="69">
        <v>2018</v>
      </c>
      <c r="E229" s="60">
        <v>13</v>
      </c>
      <c r="F229" s="64">
        <v>0</v>
      </c>
      <c r="G229" s="60">
        <v>17</v>
      </c>
      <c r="H229" s="64">
        <v>0</v>
      </c>
      <c r="I229" s="4" t="s">
        <v>7</v>
      </c>
      <c r="J229" s="55">
        <v>4</v>
      </c>
      <c r="K229" s="4" t="s">
        <v>12</v>
      </c>
      <c r="L229" s="14" t="s">
        <v>50</v>
      </c>
      <c r="M229" s="14" t="s">
        <v>51</v>
      </c>
      <c r="N229" s="4" t="s">
        <v>52</v>
      </c>
      <c r="O229" s="4" t="s">
        <v>53</v>
      </c>
      <c r="P229" s="4" t="s">
        <v>6</v>
      </c>
      <c r="Q229" s="50">
        <v>575</v>
      </c>
      <c r="S229" s="33" t="s">
        <v>322</v>
      </c>
      <c r="T229" s="33"/>
    </row>
    <row r="230" spans="1:20" hidden="1" x14ac:dyDescent="0.25">
      <c r="A230" s="23" t="s">
        <v>79</v>
      </c>
      <c r="B230" s="69" t="s">
        <v>68</v>
      </c>
      <c r="C230" s="69">
        <v>5</v>
      </c>
      <c r="D230" s="69">
        <v>2018</v>
      </c>
      <c r="E230" s="60">
        <v>9</v>
      </c>
      <c r="F230" s="64">
        <v>0</v>
      </c>
      <c r="G230" s="60">
        <v>12</v>
      </c>
      <c r="H230" s="64">
        <v>0</v>
      </c>
      <c r="I230" s="4" t="s">
        <v>7</v>
      </c>
      <c r="J230" s="55">
        <v>3</v>
      </c>
      <c r="K230" s="4" t="s">
        <v>13</v>
      </c>
      <c r="L230" s="14" t="s">
        <v>24</v>
      </c>
      <c r="M230" s="14" t="s">
        <v>105</v>
      </c>
      <c r="N230" s="4" t="s">
        <v>52</v>
      </c>
      <c r="O230" s="4" t="s">
        <v>52</v>
      </c>
      <c r="P230" s="4" t="s">
        <v>6</v>
      </c>
      <c r="Q230" s="50">
        <v>600</v>
      </c>
      <c r="S230" s="33" t="s">
        <v>322</v>
      </c>
      <c r="T230" s="33"/>
    </row>
    <row r="231" spans="1:20" hidden="1" x14ac:dyDescent="0.25">
      <c r="A231" s="23" t="s">
        <v>79</v>
      </c>
      <c r="B231" s="69" t="s">
        <v>68</v>
      </c>
      <c r="C231" s="69">
        <v>5</v>
      </c>
      <c r="D231" s="69">
        <v>2018</v>
      </c>
      <c r="E231" s="60">
        <v>13</v>
      </c>
      <c r="F231" s="64">
        <v>0</v>
      </c>
      <c r="G231" s="60">
        <v>17</v>
      </c>
      <c r="H231" s="64">
        <v>0</v>
      </c>
      <c r="I231" s="4" t="s">
        <v>7</v>
      </c>
      <c r="J231" s="55">
        <v>4</v>
      </c>
      <c r="K231" s="4" t="s">
        <v>12</v>
      </c>
      <c r="L231" s="14" t="s">
        <v>5</v>
      </c>
      <c r="M231" s="14" t="s">
        <v>104</v>
      </c>
      <c r="N231" s="4" t="s">
        <v>52</v>
      </c>
      <c r="O231" s="4" t="s">
        <v>125</v>
      </c>
      <c r="P231" s="4" t="s">
        <v>6</v>
      </c>
      <c r="Q231" s="50">
        <v>575</v>
      </c>
      <c r="S231" s="33" t="s">
        <v>322</v>
      </c>
      <c r="T231" s="33"/>
    </row>
    <row r="232" spans="1:20" hidden="1" x14ac:dyDescent="0.25">
      <c r="A232" s="23" t="s">
        <v>80</v>
      </c>
      <c r="B232" s="69" t="s">
        <v>69</v>
      </c>
      <c r="C232" s="69">
        <v>5</v>
      </c>
      <c r="D232" s="69">
        <v>2018</v>
      </c>
      <c r="E232" s="60">
        <v>9</v>
      </c>
      <c r="F232" s="64">
        <v>0</v>
      </c>
      <c r="G232" s="60">
        <v>13</v>
      </c>
      <c r="H232" s="64">
        <v>0</v>
      </c>
      <c r="I232" s="4" t="s">
        <v>7</v>
      </c>
      <c r="J232" s="55">
        <v>4</v>
      </c>
      <c r="K232" s="4" t="s">
        <v>12</v>
      </c>
      <c r="L232" s="14" t="s">
        <v>5</v>
      </c>
      <c r="M232" s="14" t="s">
        <v>104</v>
      </c>
      <c r="N232" s="4" t="s">
        <v>52</v>
      </c>
      <c r="O232" s="4" t="s">
        <v>125</v>
      </c>
      <c r="P232" s="4" t="s">
        <v>6</v>
      </c>
      <c r="Q232" s="50">
        <v>575</v>
      </c>
      <c r="S232" s="33" t="s">
        <v>322</v>
      </c>
      <c r="T232" s="33"/>
    </row>
    <row r="233" spans="1:20" hidden="1" x14ac:dyDescent="0.25">
      <c r="A233" s="23" t="s">
        <v>80</v>
      </c>
      <c r="B233" s="69" t="s">
        <v>69</v>
      </c>
      <c r="C233" s="67">
        <v>5</v>
      </c>
      <c r="D233" s="69">
        <v>2018</v>
      </c>
      <c r="E233" s="60">
        <v>13</v>
      </c>
      <c r="F233" s="64">
        <v>0</v>
      </c>
      <c r="G233" s="60">
        <v>17</v>
      </c>
      <c r="H233" s="64">
        <v>0</v>
      </c>
      <c r="I233" s="4" t="s">
        <v>7</v>
      </c>
      <c r="J233" s="55">
        <v>4</v>
      </c>
      <c r="K233" s="4" t="s">
        <v>12</v>
      </c>
      <c r="L233" s="14" t="s">
        <v>92</v>
      </c>
      <c r="M233" s="14" t="s">
        <v>116</v>
      </c>
      <c r="N233" s="4" t="s">
        <v>52</v>
      </c>
      <c r="O233" s="4" t="s">
        <v>52</v>
      </c>
      <c r="P233" s="4" t="s">
        <v>6</v>
      </c>
      <c r="Q233" s="50">
        <v>450</v>
      </c>
      <c r="S233" s="33" t="s">
        <v>322</v>
      </c>
      <c r="T233" s="33"/>
    </row>
    <row r="234" spans="1:20" hidden="1" x14ac:dyDescent="0.25">
      <c r="A234" s="23" t="s">
        <v>49</v>
      </c>
      <c r="B234" s="69" t="s">
        <v>70</v>
      </c>
      <c r="C234" s="69">
        <v>5</v>
      </c>
      <c r="D234" s="69">
        <v>2018</v>
      </c>
      <c r="E234" s="60">
        <v>9</v>
      </c>
      <c r="F234" s="64">
        <v>0</v>
      </c>
      <c r="G234" s="60">
        <v>17</v>
      </c>
      <c r="H234" s="64">
        <v>0</v>
      </c>
      <c r="I234" s="4" t="s">
        <v>16</v>
      </c>
      <c r="J234" s="55">
        <v>8</v>
      </c>
      <c r="K234" s="4" t="s">
        <v>687</v>
      </c>
      <c r="L234" s="14" t="s">
        <v>99</v>
      </c>
      <c r="M234" s="14" t="s">
        <v>609</v>
      </c>
      <c r="N234" s="4" t="s">
        <v>419</v>
      </c>
      <c r="P234" s="4" t="s">
        <v>6</v>
      </c>
      <c r="S234" s="33" t="s">
        <v>322</v>
      </c>
      <c r="T234" s="33"/>
    </row>
    <row r="235" spans="1:20" hidden="1" x14ac:dyDescent="0.25">
      <c r="A235" s="23" t="s">
        <v>77</v>
      </c>
      <c r="B235" s="69" t="s">
        <v>73</v>
      </c>
      <c r="C235" s="69">
        <v>5</v>
      </c>
      <c r="D235" s="69">
        <v>2018</v>
      </c>
      <c r="E235" s="60">
        <v>9</v>
      </c>
      <c r="F235" s="64">
        <v>0</v>
      </c>
      <c r="G235" s="60">
        <v>17</v>
      </c>
      <c r="H235" s="64">
        <v>0</v>
      </c>
      <c r="I235" s="4" t="s">
        <v>16</v>
      </c>
      <c r="J235" s="55">
        <v>8</v>
      </c>
      <c r="K235" s="4" t="s">
        <v>687</v>
      </c>
      <c r="L235" s="14" t="s">
        <v>99</v>
      </c>
      <c r="M235" s="14" t="s">
        <v>609</v>
      </c>
      <c r="N235" s="4" t="s">
        <v>419</v>
      </c>
      <c r="P235" s="4" t="s">
        <v>6</v>
      </c>
      <c r="S235" s="33" t="s">
        <v>322</v>
      </c>
      <c r="T235" s="33"/>
    </row>
    <row r="236" spans="1:20" hidden="1" x14ac:dyDescent="0.25">
      <c r="A236" s="23" t="s">
        <v>78</v>
      </c>
      <c r="B236" s="69" t="s">
        <v>74</v>
      </c>
      <c r="C236" s="69">
        <v>5</v>
      </c>
      <c r="D236" s="69">
        <v>2018</v>
      </c>
      <c r="E236" s="60">
        <v>9</v>
      </c>
      <c r="F236" s="64">
        <v>0</v>
      </c>
      <c r="G236" s="60">
        <v>17</v>
      </c>
      <c r="H236" s="64">
        <v>0</v>
      </c>
      <c r="I236" s="4" t="s">
        <v>16</v>
      </c>
      <c r="J236" s="55">
        <v>8</v>
      </c>
      <c r="K236" s="4" t="s">
        <v>687</v>
      </c>
      <c r="L236" s="14" t="s">
        <v>99</v>
      </c>
      <c r="M236" s="14" t="s">
        <v>609</v>
      </c>
      <c r="N236" s="4" t="s">
        <v>419</v>
      </c>
      <c r="P236" s="4" t="s">
        <v>6</v>
      </c>
      <c r="S236" s="33" t="s">
        <v>322</v>
      </c>
      <c r="T236" s="33"/>
    </row>
    <row r="237" spans="1:20" hidden="1" x14ac:dyDescent="0.25">
      <c r="A237" s="23" t="s">
        <v>79</v>
      </c>
      <c r="B237" s="69" t="s">
        <v>75</v>
      </c>
      <c r="C237" s="69">
        <v>5</v>
      </c>
      <c r="D237" s="69">
        <v>2018</v>
      </c>
      <c r="E237" s="60">
        <v>9</v>
      </c>
      <c r="F237" s="64">
        <v>0</v>
      </c>
      <c r="G237" s="60">
        <v>17</v>
      </c>
      <c r="H237" s="64">
        <v>0</v>
      </c>
      <c r="I237" s="4" t="s">
        <v>16</v>
      </c>
      <c r="J237" s="55">
        <v>8</v>
      </c>
      <c r="K237" s="4" t="s">
        <v>687</v>
      </c>
      <c r="L237" s="14" t="s">
        <v>99</v>
      </c>
      <c r="M237" s="14" t="s">
        <v>609</v>
      </c>
      <c r="N237" s="4" t="s">
        <v>419</v>
      </c>
      <c r="P237" s="4" t="s">
        <v>6</v>
      </c>
      <c r="S237" s="33" t="s">
        <v>322</v>
      </c>
      <c r="T237" s="33"/>
    </row>
    <row r="238" spans="1:20" hidden="1" x14ac:dyDescent="0.25">
      <c r="A238" s="23" t="s">
        <v>80</v>
      </c>
      <c r="B238" s="69" t="s">
        <v>76</v>
      </c>
      <c r="C238" s="69">
        <v>5</v>
      </c>
      <c r="D238" s="69">
        <v>2018</v>
      </c>
      <c r="E238" s="60">
        <v>9</v>
      </c>
      <c r="F238" s="64">
        <v>0</v>
      </c>
      <c r="G238" s="60">
        <v>13</v>
      </c>
      <c r="H238" s="64">
        <v>0</v>
      </c>
      <c r="I238" s="4" t="s">
        <v>7</v>
      </c>
      <c r="J238" s="55">
        <v>4</v>
      </c>
      <c r="K238" s="4" t="s">
        <v>12</v>
      </c>
      <c r="L238" s="14" t="s">
        <v>92</v>
      </c>
      <c r="M238" s="14" t="s">
        <v>116</v>
      </c>
      <c r="N238" s="4" t="s">
        <v>52</v>
      </c>
      <c r="O238" s="4" t="s">
        <v>52</v>
      </c>
      <c r="P238" s="4" t="s">
        <v>6</v>
      </c>
      <c r="Q238" s="50">
        <v>450</v>
      </c>
      <c r="S238" s="33" t="s">
        <v>322</v>
      </c>
      <c r="T238" s="33"/>
    </row>
    <row r="239" spans="1:20" hidden="1" x14ac:dyDescent="0.25">
      <c r="A239" s="23" t="s">
        <v>80</v>
      </c>
      <c r="B239" s="69" t="s">
        <v>76</v>
      </c>
      <c r="C239" s="69">
        <v>5</v>
      </c>
      <c r="D239" s="69">
        <v>2018</v>
      </c>
      <c r="E239" s="60">
        <v>13</v>
      </c>
      <c r="F239" s="64">
        <v>0</v>
      </c>
      <c r="G239" s="60">
        <v>17</v>
      </c>
      <c r="H239" s="64">
        <v>0</v>
      </c>
      <c r="I239" s="4" t="s">
        <v>7</v>
      </c>
      <c r="J239" s="55">
        <v>4</v>
      </c>
      <c r="K239" s="4" t="s">
        <v>12</v>
      </c>
      <c r="L239" s="14" t="s">
        <v>5</v>
      </c>
      <c r="M239" s="14" t="s">
        <v>104</v>
      </c>
      <c r="N239" s="4" t="s">
        <v>52</v>
      </c>
      <c r="O239" s="4" t="s">
        <v>125</v>
      </c>
      <c r="P239" s="4" t="s">
        <v>6</v>
      </c>
      <c r="Q239" s="50">
        <v>575</v>
      </c>
      <c r="S239" s="33" t="s">
        <v>322</v>
      </c>
      <c r="T239" s="33"/>
    </row>
    <row r="240" spans="1:20" hidden="1" x14ac:dyDescent="0.25">
      <c r="A240" s="23" t="s">
        <v>80</v>
      </c>
      <c r="B240" s="69" t="s">
        <v>76</v>
      </c>
      <c r="C240" s="69">
        <v>5</v>
      </c>
      <c r="D240" s="69">
        <v>2018</v>
      </c>
      <c r="I240" s="4" t="s">
        <v>7</v>
      </c>
      <c r="J240" s="55">
        <v>18.5</v>
      </c>
      <c r="K240" s="4" t="s">
        <v>89</v>
      </c>
      <c r="L240" s="14" t="s">
        <v>5</v>
      </c>
      <c r="M240" s="14" t="s">
        <v>104</v>
      </c>
      <c r="N240" s="4" t="s">
        <v>52</v>
      </c>
      <c r="O240" s="4" t="s">
        <v>125</v>
      </c>
      <c r="P240" s="4" t="s">
        <v>133</v>
      </c>
      <c r="Q240" s="50">
        <v>13875</v>
      </c>
      <c r="S240" s="33" t="s">
        <v>322</v>
      </c>
      <c r="T240" s="33"/>
    </row>
    <row r="241" spans="1:20" hidden="1" x14ac:dyDescent="0.25">
      <c r="A241" s="23" t="s">
        <v>80</v>
      </c>
      <c r="B241" s="69" t="s">
        <v>76</v>
      </c>
      <c r="C241" s="69">
        <v>5</v>
      </c>
      <c r="D241" s="69">
        <v>2018</v>
      </c>
      <c r="I241" s="4" t="s">
        <v>7</v>
      </c>
      <c r="L241" s="14" t="s">
        <v>102</v>
      </c>
      <c r="M241" s="14" t="s">
        <v>117</v>
      </c>
      <c r="N241" s="4" t="s">
        <v>52</v>
      </c>
      <c r="P241" s="4" t="s">
        <v>135</v>
      </c>
      <c r="Q241" s="50">
        <v>990.63</v>
      </c>
      <c r="S241" s="33" t="s">
        <v>322</v>
      </c>
      <c r="T241" s="33"/>
    </row>
    <row r="242" spans="1:20" x14ac:dyDescent="0.25">
      <c r="A242" s="23" t="s">
        <v>49</v>
      </c>
      <c r="B242" s="69">
        <v>1</v>
      </c>
      <c r="C242" s="69">
        <v>6</v>
      </c>
      <c r="D242" s="69">
        <v>2018</v>
      </c>
      <c r="E242" s="60">
        <v>8</v>
      </c>
      <c r="F242" s="64">
        <v>30</v>
      </c>
      <c r="G242" s="60">
        <v>11</v>
      </c>
      <c r="H242" s="64">
        <v>30</v>
      </c>
      <c r="I242" s="4" t="s">
        <v>7</v>
      </c>
      <c r="J242" s="55">
        <v>3</v>
      </c>
      <c r="K242" s="4" t="s">
        <v>13</v>
      </c>
      <c r="L242" s="14" t="s">
        <v>50</v>
      </c>
      <c r="M242" s="14" t="s">
        <v>51</v>
      </c>
      <c r="N242" s="4" t="s">
        <v>52</v>
      </c>
      <c r="O242" s="4" t="s">
        <v>53</v>
      </c>
      <c r="P242" s="4" t="s">
        <v>6</v>
      </c>
      <c r="Q242" s="50">
        <v>356.25</v>
      </c>
      <c r="S242" s="33" t="s">
        <v>322</v>
      </c>
      <c r="T242" s="33"/>
    </row>
    <row r="243" spans="1:20" hidden="1" x14ac:dyDescent="0.25">
      <c r="A243" s="23" t="s">
        <v>77</v>
      </c>
      <c r="B243" s="69">
        <v>4</v>
      </c>
      <c r="C243" s="69">
        <v>6</v>
      </c>
      <c r="D243" s="69">
        <v>2018</v>
      </c>
      <c r="E243" s="60">
        <v>8</v>
      </c>
      <c r="F243" s="64">
        <v>0</v>
      </c>
      <c r="G243" s="60">
        <v>9</v>
      </c>
      <c r="H243" s="64">
        <v>0</v>
      </c>
      <c r="I243" s="4" t="s">
        <v>16</v>
      </c>
      <c r="J243" s="55">
        <v>1</v>
      </c>
      <c r="K243" s="4" t="s">
        <v>13</v>
      </c>
      <c r="L243" s="14" t="s">
        <v>24</v>
      </c>
      <c r="M243" s="14" t="s">
        <v>105</v>
      </c>
      <c r="N243" s="4" t="s">
        <v>52</v>
      </c>
      <c r="O243" s="4" t="s">
        <v>52</v>
      </c>
      <c r="P243" s="4" t="s">
        <v>6</v>
      </c>
      <c r="Q243" s="50">
        <v>125</v>
      </c>
      <c r="R243" s="14" t="s">
        <v>272</v>
      </c>
      <c r="S243" s="33" t="s">
        <v>322</v>
      </c>
      <c r="T243" s="33"/>
    </row>
    <row r="244" spans="1:20" hidden="1" x14ac:dyDescent="0.25">
      <c r="A244" s="23" t="s">
        <v>77</v>
      </c>
      <c r="B244" s="69">
        <v>4</v>
      </c>
      <c r="C244" s="69">
        <v>6</v>
      </c>
      <c r="D244" s="69">
        <v>2018</v>
      </c>
      <c r="E244" s="60">
        <v>9</v>
      </c>
      <c r="F244" s="64">
        <v>0</v>
      </c>
      <c r="G244" s="60">
        <v>11</v>
      </c>
      <c r="H244" s="64">
        <v>30</v>
      </c>
      <c r="I244" s="4" t="s">
        <v>16</v>
      </c>
      <c r="J244" s="55">
        <v>2.5</v>
      </c>
      <c r="K244" s="4" t="s">
        <v>13</v>
      </c>
      <c r="L244" s="14" t="s">
        <v>5</v>
      </c>
      <c r="M244" s="14" t="s">
        <v>104</v>
      </c>
      <c r="N244" s="4" t="s">
        <v>52</v>
      </c>
      <c r="O244" s="4" t="s">
        <v>125</v>
      </c>
      <c r="P244" s="4" t="s">
        <v>6</v>
      </c>
      <c r="Q244" s="50">
        <v>312.5</v>
      </c>
      <c r="R244" s="14" t="s">
        <v>273</v>
      </c>
      <c r="S244" s="33" t="s">
        <v>322</v>
      </c>
      <c r="T244" s="33"/>
    </row>
    <row r="245" spans="1:20" hidden="1" x14ac:dyDescent="0.25">
      <c r="A245" s="23" t="s">
        <v>77</v>
      </c>
      <c r="B245" s="69">
        <v>4</v>
      </c>
      <c r="C245" s="69">
        <v>6</v>
      </c>
      <c r="D245" s="69">
        <v>2018</v>
      </c>
      <c r="E245" s="60">
        <v>13</v>
      </c>
      <c r="F245" s="64">
        <v>0</v>
      </c>
      <c r="G245" s="60">
        <v>17</v>
      </c>
      <c r="H245" s="64">
        <v>0</v>
      </c>
      <c r="I245" s="4" t="s">
        <v>7</v>
      </c>
      <c r="J245" s="55">
        <v>4</v>
      </c>
      <c r="K245" s="4" t="s">
        <v>12</v>
      </c>
      <c r="L245" s="14" t="s">
        <v>5</v>
      </c>
      <c r="M245" s="14" t="s">
        <v>104</v>
      </c>
      <c r="N245" s="4" t="s">
        <v>52</v>
      </c>
      <c r="O245" s="4" t="s">
        <v>125</v>
      </c>
      <c r="P245" s="4" t="s">
        <v>6</v>
      </c>
      <c r="Q245" s="50">
        <v>575</v>
      </c>
      <c r="R245" s="14" t="s">
        <v>274</v>
      </c>
      <c r="S245" s="33" t="s">
        <v>322</v>
      </c>
      <c r="T245" s="33"/>
    </row>
    <row r="246" spans="1:20" hidden="1" x14ac:dyDescent="0.25">
      <c r="A246" s="23" t="s">
        <v>78</v>
      </c>
      <c r="B246" s="69">
        <v>5</v>
      </c>
      <c r="C246" s="69">
        <v>6</v>
      </c>
      <c r="D246" s="69">
        <v>2018</v>
      </c>
      <c r="E246" s="60">
        <v>9</v>
      </c>
      <c r="F246" s="64">
        <v>0</v>
      </c>
      <c r="G246" s="60">
        <v>13</v>
      </c>
      <c r="H246" s="64">
        <v>0</v>
      </c>
      <c r="I246" s="4" t="s">
        <v>7</v>
      </c>
      <c r="J246" s="55">
        <v>4</v>
      </c>
      <c r="K246" s="4" t="s">
        <v>12</v>
      </c>
      <c r="L246" s="14" t="s">
        <v>92</v>
      </c>
      <c r="M246" s="14" t="s">
        <v>116</v>
      </c>
      <c r="N246" s="4" t="s">
        <v>52</v>
      </c>
      <c r="O246" s="4" t="s">
        <v>52</v>
      </c>
      <c r="P246" s="4" t="s">
        <v>6</v>
      </c>
      <c r="Q246" s="50">
        <v>450</v>
      </c>
      <c r="R246" s="14" t="s">
        <v>275</v>
      </c>
      <c r="S246" s="33" t="s">
        <v>322</v>
      </c>
      <c r="T246" s="33"/>
    </row>
    <row r="247" spans="1:20" hidden="1" x14ac:dyDescent="0.25">
      <c r="A247" s="23" t="s">
        <v>78</v>
      </c>
      <c r="B247" s="69">
        <v>5</v>
      </c>
      <c r="C247" s="69">
        <v>6</v>
      </c>
      <c r="D247" s="69">
        <v>2018</v>
      </c>
      <c r="E247" s="60">
        <v>13</v>
      </c>
      <c r="F247" s="64">
        <v>0</v>
      </c>
      <c r="G247" s="60">
        <v>17</v>
      </c>
      <c r="H247" s="64">
        <v>0</v>
      </c>
      <c r="I247" s="4" t="s">
        <v>7</v>
      </c>
      <c r="J247" s="55">
        <v>4</v>
      </c>
      <c r="K247" s="4" t="s">
        <v>12</v>
      </c>
      <c r="L247" s="14" t="s">
        <v>5</v>
      </c>
      <c r="M247" s="14" t="s">
        <v>104</v>
      </c>
      <c r="N247" s="4" t="s">
        <v>52</v>
      </c>
      <c r="O247" s="4" t="s">
        <v>125</v>
      </c>
      <c r="P247" s="4" t="s">
        <v>6</v>
      </c>
      <c r="Q247" s="50">
        <v>575</v>
      </c>
      <c r="R247" s="14" t="s">
        <v>276</v>
      </c>
      <c r="S247" s="33" t="s">
        <v>322</v>
      </c>
      <c r="T247" s="33"/>
    </row>
    <row r="248" spans="1:20" hidden="1" x14ac:dyDescent="0.25">
      <c r="A248" s="23" t="s">
        <v>79</v>
      </c>
      <c r="B248" s="69">
        <v>6</v>
      </c>
      <c r="C248" s="69">
        <v>6</v>
      </c>
      <c r="D248" s="69">
        <v>2018</v>
      </c>
      <c r="I248" s="4" t="s">
        <v>16</v>
      </c>
      <c r="J248" s="55">
        <v>8</v>
      </c>
      <c r="L248" s="14" t="s">
        <v>99</v>
      </c>
      <c r="M248" s="14" t="s">
        <v>609</v>
      </c>
      <c r="N248" s="4" t="s">
        <v>419</v>
      </c>
      <c r="P248" s="4" t="s">
        <v>6</v>
      </c>
      <c r="S248" s="14" t="s">
        <v>417</v>
      </c>
    </row>
    <row r="249" spans="1:20" hidden="1" x14ac:dyDescent="0.25">
      <c r="A249" s="23" t="s">
        <v>80</v>
      </c>
      <c r="B249" s="69">
        <v>7</v>
      </c>
      <c r="C249" s="69">
        <v>6</v>
      </c>
      <c r="D249" s="69">
        <v>2018</v>
      </c>
      <c r="E249" s="60">
        <v>9</v>
      </c>
      <c r="F249" s="64">
        <v>0</v>
      </c>
      <c r="G249" s="60">
        <v>13</v>
      </c>
      <c r="H249" s="64">
        <v>0</v>
      </c>
      <c r="I249" s="4" t="s">
        <v>7</v>
      </c>
      <c r="J249" s="55">
        <v>4</v>
      </c>
      <c r="K249" s="4" t="s">
        <v>12</v>
      </c>
      <c r="L249" s="14" t="s">
        <v>5</v>
      </c>
      <c r="M249" s="14" t="s">
        <v>104</v>
      </c>
      <c r="N249" s="4" t="s">
        <v>52</v>
      </c>
      <c r="O249" s="4" t="s">
        <v>125</v>
      </c>
      <c r="P249" s="4" t="s">
        <v>6</v>
      </c>
      <c r="Q249" s="50">
        <v>575</v>
      </c>
      <c r="R249" s="14" t="s">
        <v>277</v>
      </c>
      <c r="S249" s="33" t="s">
        <v>322</v>
      </c>
      <c r="T249" s="33"/>
    </row>
    <row r="250" spans="1:20" hidden="1" x14ac:dyDescent="0.25">
      <c r="A250" s="23" t="s">
        <v>80</v>
      </c>
      <c r="B250" s="69">
        <v>7</v>
      </c>
      <c r="C250" s="69">
        <v>6</v>
      </c>
      <c r="D250" s="69">
        <v>2018</v>
      </c>
      <c r="E250" s="60">
        <v>13</v>
      </c>
      <c r="F250" s="64">
        <v>0</v>
      </c>
      <c r="G250" s="60">
        <v>17</v>
      </c>
      <c r="H250" s="64">
        <v>0</v>
      </c>
      <c r="I250" s="4" t="s">
        <v>7</v>
      </c>
      <c r="J250" s="55">
        <v>4</v>
      </c>
      <c r="K250" s="4" t="s">
        <v>12</v>
      </c>
      <c r="L250" s="14" t="s">
        <v>92</v>
      </c>
      <c r="M250" s="14" t="s">
        <v>116</v>
      </c>
      <c r="N250" s="4" t="s">
        <v>52</v>
      </c>
      <c r="O250" s="4" t="s">
        <v>52</v>
      </c>
      <c r="P250" s="4" t="s">
        <v>6</v>
      </c>
      <c r="Q250" s="50">
        <v>450</v>
      </c>
      <c r="R250" s="14" t="s">
        <v>278</v>
      </c>
      <c r="S250" s="33" t="s">
        <v>322</v>
      </c>
      <c r="T250" s="33"/>
    </row>
    <row r="251" spans="1:20" x14ac:dyDescent="0.25">
      <c r="A251" s="23" t="s">
        <v>49</v>
      </c>
      <c r="B251" s="69">
        <v>8</v>
      </c>
      <c r="C251" s="69">
        <v>6</v>
      </c>
      <c r="D251" s="69">
        <v>2018</v>
      </c>
      <c r="E251" s="60">
        <v>9</v>
      </c>
      <c r="F251" s="64">
        <v>0</v>
      </c>
      <c r="G251" s="60">
        <v>12</v>
      </c>
      <c r="H251" s="64">
        <v>0</v>
      </c>
      <c r="I251" s="4" t="s">
        <v>7</v>
      </c>
      <c r="J251" s="55">
        <v>3</v>
      </c>
      <c r="K251" s="4" t="s">
        <v>13</v>
      </c>
      <c r="L251" s="14" t="s">
        <v>50</v>
      </c>
      <c r="M251" s="14" t="s">
        <v>51</v>
      </c>
      <c r="N251" s="4" t="s">
        <v>52</v>
      </c>
      <c r="O251" s="4" t="s">
        <v>53</v>
      </c>
      <c r="P251" s="4" t="s">
        <v>6</v>
      </c>
      <c r="Q251" s="50">
        <v>356.25</v>
      </c>
      <c r="S251" s="33" t="s">
        <v>322</v>
      </c>
      <c r="T251" s="33"/>
    </row>
    <row r="252" spans="1:20" hidden="1" x14ac:dyDescent="0.25">
      <c r="A252" s="23" t="s">
        <v>77</v>
      </c>
      <c r="B252" s="69" t="s">
        <v>56</v>
      </c>
      <c r="C252" s="69">
        <v>6</v>
      </c>
      <c r="D252" s="69">
        <v>2018</v>
      </c>
      <c r="E252" s="60">
        <v>9</v>
      </c>
      <c r="F252" s="64">
        <v>0</v>
      </c>
      <c r="G252" s="60">
        <v>13</v>
      </c>
      <c r="H252" s="64">
        <v>0</v>
      </c>
      <c r="I252" s="4" t="s">
        <v>7</v>
      </c>
      <c r="J252" s="55">
        <v>4</v>
      </c>
      <c r="K252" s="4" t="s">
        <v>12</v>
      </c>
      <c r="L252" s="14" t="s">
        <v>92</v>
      </c>
      <c r="M252" s="14" t="s">
        <v>116</v>
      </c>
      <c r="N252" s="4" t="s">
        <v>52</v>
      </c>
      <c r="O252" s="4" t="s">
        <v>52</v>
      </c>
      <c r="P252" s="4" t="s">
        <v>6</v>
      </c>
      <c r="Q252" s="50">
        <v>450</v>
      </c>
      <c r="R252" s="14" t="s">
        <v>279</v>
      </c>
      <c r="S252" s="33" t="s">
        <v>322</v>
      </c>
      <c r="T252" s="33"/>
    </row>
    <row r="253" spans="1:20" hidden="1" x14ac:dyDescent="0.25">
      <c r="A253" s="23" t="s">
        <v>77</v>
      </c>
      <c r="B253" s="69" t="s">
        <v>56</v>
      </c>
      <c r="C253" s="69">
        <v>6</v>
      </c>
      <c r="D253" s="69">
        <v>2018</v>
      </c>
      <c r="E253" s="60">
        <v>13</v>
      </c>
      <c r="F253" s="64">
        <v>0</v>
      </c>
      <c r="G253" s="60">
        <v>17</v>
      </c>
      <c r="H253" s="64">
        <v>0</v>
      </c>
      <c r="I253" s="4" t="s">
        <v>7</v>
      </c>
      <c r="J253" s="55">
        <v>4</v>
      </c>
      <c r="K253" s="4" t="s">
        <v>12</v>
      </c>
      <c r="L253" s="14" t="s">
        <v>5</v>
      </c>
      <c r="M253" s="14" t="s">
        <v>104</v>
      </c>
      <c r="N253" s="4" t="s">
        <v>52</v>
      </c>
      <c r="O253" s="4" t="s">
        <v>125</v>
      </c>
      <c r="P253" s="4" t="s">
        <v>6</v>
      </c>
      <c r="Q253" s="50">
        <v>575</v>
      </c>
      <c r="R253" s="14" t="s">
        <v>280</v>
      </c>
      <c r="S253" s="33" t="s">
        <v>322</v>
      </c>
      <c r="T253" s="33"/>
    </row>
    <row r="254" spans="1:20" hidden="1" x14ac:dyDescent="0.25">
      <c r="A254" s="23" t="s">
        <v>78</v>
      </c>
      <c r="B254" s="69" t="s">
        <v>57</v>
      </c>
      <c r="C254" s="69">
        <v>6</v>
      </c>
      <c r="D254" s="69">
        <v>2018</v>
      </c>
      <c r="E254" s="60">
        <v>9</v>
      </c>
      <c r="F254" s="64">
        <v>0</v>
      </c>
      <c r="G254" s="60">
        <v>13</v>
      </c>
      <c r="H254" s="64">
        <v>0</v>
      </c>
      <c r="I254" s="4" t="s">
        <v>7</v>
      </c>
      <c r="J254" s="55">
        <v>3</v>
      </c>
      <c r="K254" s="4" t="s">
        <v>13</v>
      </c>
      <c r="L254" s="14" t="s">
        <v>5</v>
      </c>
      <c r="M254" s="14" t="s">
        <v>104</v>
      </c>
      <c r="N254" s="4" t="s">
        <v>52</v>
      </c>
      <c r="O254" s="4" t="s">
        <v>125</v>
      </c>
      <c r="P254" s="4" t="s">
        <v>6</v>
      </c>
      <c r="Q254" s="50">
        <v>575</v>
      </c>
      <c r="R254" s="14" t="s">
        <v>281</v>
      </c>
      <c r="S254" s="33" t="s">
        <v>322</v>
      </c>
      <c r="T254" s="33"/>
    </row>
    <row r="255" spans="1:20" hidden="1" x14ac:dyDescent="0.25">
      <c r="A255" s="23" t="s">
        <v>78</v>
      </c>
      <c r="B255" s="69" t="s">
        <v>57</v>
      </c>
      <c r="C255" s="69">
        <v>6</v>
      </c>
      <c r="D255" s="69">
        <v>2018</v>
      </c>
      <c r="I255" s="4" t="s">
        <v>7</v>
      </c>
      <c r="L255" s="14" t="s">
        <v>5</v>
      </c>
      <c r="M255" s="14" t="s">
        <v>104</v>
      </c>
      <c r="N255" s="4" t="s">
        <v>52</v>
      </c>
      <c r="O255" s="4" t="s">
        <v>125</v>
      </c>
      <c r="P255" s="4" t="s">
        <v>6</v>
      </c>
      <c r="Q255" s="50">
        <v>200</v>
      </c>
      <c r="R255" s="14" t="s">
        <v>282</v>
      </c>
      <c r="S255" s="33" t="s">
        <v>322</v>
      </c>
      <c r="T255" s="33"/>
    </row>
    <row r="256" spans="1:20" hidden="1" x14ac:dyDescent="0.25">
      <c r="A256" s="23" t="s">
        <v>79</v>
      </c>
      <c r="B256" s="69" t="s">
        <v>58</v>
      </c>
      <c r="C256" s="69">
        <v>6</v>
      </c>
      <c r="D256" s="69">
        <v>2018</v>
      </c>
      <c r="E256" s="60">
        <v>11</v>
      </c>
      <c r="F256" s="64">
        <v>0</v>
      </c>
      <c r="G256" s="60">
        <v>12</v>
      </c>
      <c r="H256" s="64">
        <v>0</v>
      </c>
      <c r="I256" s="4" t="s">
        <v>16</v>
      </c>
      <c r="J256" s="55">
        <v>1</v>
      </c>
      <c r="K256" s="4" t="s">
        <v>13</v>
      </c>
      <c r="L256" s="14" t="s">
        <v>92</v>
      </c>
      <c r="M256" s="14" t="s">
        <v>116</v>
      </c>
      <c r="N256" s="4" t="s">
        <v>52</v>
      </c>
      <c r="O256" s="4" t="s">
        <v>52</v>
      </c>
      <c r="P256" s="4" t="s">
        <v>6</v>
      </c>
      <c r="Q256" s="50">
        <v>112.5</v>
      </c>
      <c r="R256" s="14" t="s">
        <v>283</v>
      </c>
      <c r="S256" s="33" t="s">
        <v>322</v>
      </c>
      <c r="T256" s="33"/>
    </row>
    <row r="257" spans="1:26" hidden="1" x14ac:dyDescent="0.25">
      <c r="A257" s="23" t="s">
        <v>80</v>
      </c>
      <c r="B257" s="69" t="s">
        <v>59</v>
      </c>
      <c r="C257" s="69">
        <v>6</v>
      </c>
      <c r="D257" s="69">
        <v>2018</v>
      </c>
      <c r="E257" s="60">
        <v>9</v>
      </c>
      <c r="F257" s="64">
        <v>0</v>
      </c>
      <c r="G257" s="60">
        <v>13</v>
      </c>
      <c r="H257" s="64">
        <v>0</v>
      </c>
      <c r="I257" s="4" t="s">
        <v>7</v>
      </c>
      <c r="J257" s="55">
        <v>4</v>
      </c>
      <c r="K257" s="4" t="s">
        <v>12</v>
      </c>
      <c r="L257" s="14" t="s">
        <v>5</v>
      </c>
      <c r="M257" s="14" t="s">
        <v>104</v>
      </c>
      <c r="N257" s="4" t="s">
        <v>52</v>
      </c>
      <c r="O257" s="4" t="s">
        <v>125</v>
      </c>
      <c r="P257" s="4" t="s">
        <v>6</v>
      </c>
      <c r="Q257" s="50">
        <v>575</v>
      </c>
      <c r="R257" s="14" t="s">
        <v>284</v>
      </c>
      <c r="S257" s="33" t="s">
        <v>322</v>
      </c>
      <c r="T257" s="33"/>
    </row>
    <row r="258" spans="1:26" hidden="1" x14ac:dyDescent="0.25">
      <c r="A258" s="23" t="s">
        <v>80</v>
      </c>
      <c r="B258" s="69" t="s">
        <v>59</v>
      </c>
      <c r="C258" s="69">
        <v>6</v>
      </c>
      <c r="D258" s="69">
        <v>2018</v>
      </c>
      <c r="E258" s="60">
        <v>13</v>
      </c>
      <c r="F258" s="64">
        <v>0</v>
      </c>
      <c r="G258" s="60">
        <v>17</v>
      </c>
      <c r="H258" s="64">
        <v>0</v>
      </c>
      <c r="I258" s="4" t="s">
        <v>7</v>
      </c>
      <c r="J258" s="55">
        <v>4</v>
      </c>
      <c r="K258" s="4" t="s">
        <v>12</v>
      </c>
      <c r="L258" s="14" t="s">
        <v>92</v>
      </c>
      <c r="M258" s="14" t="s">
        <v>116</v>
      </c>
      <c r="N258" s="4" t="s">
        <v>52</v>
      </c>
      <c r="O258" s="4" t="s">
        <v>52</v>
      </c>
      <c r="P258" s="4" t="s">
        <v>6</v>
      </c>
      <c r="Q258" s="50">
        <v>450</v>
      </c>
      <c r="R258" s="14" t="s">
        <v>285</v>
      </c>
      <c r="S258" s="33" t="s">
        <v>322</v>
      </c>
      <c r="T258" s="33"/>
    </row>
    <row r="259" spans="1:26" hidden="1" x14ac:dyDescent="0.25">
      <c r="A259" s="23" t="s">
        <v>49</v>
      </c>
      <c r="B259" s="69" t="s">
        <v>60</v>
      </c>
      <c r="C259" s="69">
        <v>6</v>
      </c>
      <c r="D259" s="69">
        <v>2018</v>
      </c>
      <c r="E259" s="60">
        <v>9</v>
      </c>
      <c r="F259" s="64">
        <v>0</v>
      </c>
      <c r="G259" s="60">
        <v>10</v>
      </c>
      <c r="H259" s="64">
        <v>30</v>
      </c>
      <c r="I259" s="4" t="s">
        <v>16</v>
      </c>
      <c r="J259" s="55">
        <v>1</v>
      </c>
      <c r="K259" s="4" t="s">
        <v>13</v>
      </c>
      <c r="L259" s="14" t="s">
        <v>24</v>
      </c>
      <c r="M259" s="14" t="s">
        <v>105</v>
      </c>
      <c r="N259" s="4" t="s">
        <v>52</v>
      </c>
      <c r="O259" s="4" t="s">
        <v>52</v>
      </c>
      <c r="P259" s="4" t="s">
        <v>6</v>
      </c>
      <c r="Q259" s="50">
        <v>125</v>
      </c>
      <c r="R259" s="14" t="s">
        <v>286</v>
      </c>
      <c r="S259" s="33" t="s">
        <v>322</v>
      </c>
      <c r="T259" s="33"/>
    </row>
    <row r="260" spans="1:26" x14ac:dyDescent="0.25">
      <c r="A260" s="23" t="s">
        <v>49</v>
      </c>
      <c r="B260" s="72" t="s">
        <v>60</v>
      </c>
      <c r="C260" s="72">
        <v>6</v>
      </c>
      <c r="D260" s="69">
        <v>2018</v>
      </c>
      <c r="E260" s="60">
        <v>10</v>
      </c>
      <c r="F260" s="64">
        <v>30</v>
      </c>
      <c r="G260" s="60">
        <v>12</v>
      </c>
      <c r="H260" s="64">
        <v>0</v>
      </c>
      <c r="I260" s="4" t="s">
        <v>16</v>
      </c>
      <c r="J260" s="55">
        <v>1</v>
      </c>
      <c r="K260" s="4" t="s">
        <v>13</v>
      </c>
      <c r="L260" s="14" t="s">
        <v>50</v>
      </c>
      <c r="M260" s="14" t="s">
        <v>51</v>
      </c>
      <c r="N260" s="4" t="s">
        <v>52</v>
      </c>
      <c r="O260" s="4" t="s">
        <v>53</v>
      </c>
      <c r="P260" s="4" t="s">
        <v>6</v>
      </c>
      <c r="Q260" s="50">
        <v>118.75</v>
      </c>
      <c r="R260" s="14" t="s">
        <v>287</v>
      </c>
      <c r="S260" s="33" t="s">
        <v>322</v>
      </c>
      <c r="T260" s="33"/>
    </row>
    <row r="261" spans="1:26" x14ac:dyDescent="0.25">
      <c r="A261" s="23" t="s">
        <v>77</v>
      </c>
      <c r="B261" s="69" t="s">
        <v>63</v>
      </c>
      <c r="C261" s="69">
        <v>6</v>
      </c>
      <c r="D261" s="69">
        <v>2018</v>
      </c>
      <c r="E261" s="60">
        <v>8</v>
      </c>
      <c r="F261" s="64">
        <v>30</v>
      </c>
      <c r="G261" s="60">
        <v>11</v>
      </c>
      <c r="H261" s="64">
        <v>30</v>
      </c>
      <c r="I261" s="4" t="s">
        <v>16</v>
      </c>
      <c r="J261" s="55">
        <v>3</v>
      </c>
      <c r="K261" s="4" t="s">
        <v>13</v>
      </c>
      <c r="L261" s="14" t="s">
        <v>50</v>
      </c>
      <c r="M261" s="14" t="s">
        <v>51</v>
      </c>
      <c r="N261" s="4" t="s">
        <v>52</v>
      </c>
      <c r="O261" s="4" t="s">
        <v>53</v>
      </c>
      <c r="P261" s="4" t="s">
        <v>6</v>
      </c>
      <c r="Q261" s="50">
        <v>356.25</v>
      </c>
      <c r="R261" s="14" t="s">
        <v>288</v>
      </c>
      <c r="S261" s="33" t="s">
        <v>322</v>
      </c>
      <c r="T261" s="31"/>
      <c r="U261" s="87"/>
      <c r="V261" s="87"/>
      <c r="W261" s="87"/>
      <c r="X261" s="87"/>
      <c r="Y261" s="87"/>
      <c r="Z261" s="87"/>
    </row>
    <row r="262" spans="1:26" hidden="1" x14ac:dyDescent="0.25">
      <c r="A262" s="23" t="s">
        <v>77</v>
      </c>
      <c r="B262" s="69" t="s">
        <v>63</v>
      </c>
      <c r="C262" s="69">
        <v>6</v>
      </c>
      <c r="D262" s="69">
        <v>2018</v>
      </c>
      <c r="E262" s="60">
        <v>11</v>
      </c>
      <c r="F262" s="64">
        <v>30</v>
      </c>
      <c r="G262" s="60">
        <v>12</v>
      </c>
      <c r="H262" s="64">
        <v>30</v>
      </c>
      <c r="I262" s="4" t="s">
        <v>16</v>
      </c>
      <c r="J262" s="55">
        <v>1</v>
      </c>
      <c r="K262" s="4" t="s">
        <v>13</v>
      </c>
      <c r="L262" s="14" t="s">
        <v>24</v>
      </c>
      <c r="M262" s="14" t="s">
        <v>105</v>
      </c>
      <c r="N262" s="4" t="s">
        <v>52</v>
      </c>
      <c r="O262" s="4" t="s">
        <v>52</v>
      </c>
      <c r="P262" s="4" t="s">
        <v>6</v>
      </c>
      <c r="Q262" s="50">
        <v>125</v>
      </c>
      <c r="R262" s="14" t="s">
        <v>289</v>
      </c>
      <c r="S262" s="33" t="s">
        <v>322</v>
      </c>
      <c r="T262" s="33"/>
    </row>
    <row r="263" spans="1:26" hidden="1" x14ac:dyDescent="0.25">
      <c r="A263" s="23" t="s">
        <v>78</v>
      </c>
      <c r="B263" s="69" t="s">
        <v>64</v>
      </c>
      <c r="C263" s="69">
        <v>6</v>
      </c>
      <c r="D263" s="69">
        <v>2018</v>
      </c>
      <c r="E263" s="60">
        <v>8</v>
      </c>
      <c r="F263" s="64">
        <v>0</v>
      </c>
      <c r="G263" s="60">
        <v>12</v>
      </c>
      <c r="H263" s="64">
        <v>0</v>
      </c>
      <c r="I263" s="4" t="s">
        <v>7</v>
      </c>
      <c r="J263" s="55">
        <v>4</v>
      </c>
      <c r="K263" s="4" t="s">
        <v>12</v>
      </c>
      <c r="L263" s="14" t="s">
        <v>92</v>
      </c>
      <c r="M263" s="14" t="s">
        <v>116</v>
      </c>
      <c r="N263" s="4" t="s">
        <v>52</v>
      </c>
      <c r="O263" s="4" t="s">
        <v>52</v>
      </c>
      <c r="P263" s="4" t="s">
        <v>6</v>
      </c>
      <c r="Q263" s="50">
        <v>450</v>
      </c>
      <c r="R263" s="14" t="s">
        <v>290</v>
      </c>
      <c r="S263" s="33" t="s">
        <v>322</v>
      </c>
      <c r="T263" s="33"/>
    </row>
    <row r="264" spans="1:26" hidden="1" x14ac:dyDescent="0.25">
      <c r="A264" s="23" t="s">
        <v>78</v>
      </c>
      <c r="B264" s="69" t="s">
        <v>64</v>
      </c>
      <c r="C264" s="69">
        <v>6</v>
      </c>
      <c r="D264" s="69">
        <v>2018</v>
      </c>
      <c r="E264" s="60">
        <v>12</v>
      </c>
      <c r="F264" s="64">
        <v>0</v>
      </c>
      <c r="G264" s="60">
        <v>14</v>
      </c>
      <c r="H264" s="64">
        <v>0</v>
      </c>
      <c r="I264" s="4" t="s">
        <v>7</v>
      </c>
      <c r="J264" s="55">
        <v>2</v>
      </c>
      <c r="K264" s="4" t="s">
        <v>13</v>
      </c>
      <c r="L264" s="14" t="s">
        <v>5</v>
      </c>
      <c r="M264" s="14" t="s">
        <v>104</v>
      </c>
      <c r="N264" s="4" t="s">
        <v>52</v>
      </c>
      <c r="O264" s="4" t="s">
        <v>125</v>
      </c>
      <c r="P264" s="4" t="s">
        <v>6</v>
      </c>
      <c r="Q264" s="50">
        <v>262.5</v>
      </c>
      <c r="R264" s="14" t="s">
        <v>291</v>
      </c>
      <c r="S264" s="33" t="s">
        <v>322</v>
      </c>
      <c r="T264" s="33"/>
    </row>
    <row r="265" spans="1:26" hidden="1" x14ac:dyDescent="0.25">
      <c r="A265" s="23" t="s">
        <v>78</v>
      </c>
      <c r="B265" s="69" t="s">
        <v>64</v>
      </c>
      <c r="C265" s="69">
        <v>6</v>
      </c>
      <c r="D265" s="69">
        <v>2018</v>
      </c>
      <c r="I265" s="4" t="s">
        <v>16</v>
      </c>
      <c r="J265" s="55">
        <v>8</v>
      </c>
      <c r="L265" s="14" t="s">
        <v>99</v>
      </c>
      <c r="M265" s="14" t="s">
        <v>609</v>
      </c>
      <c r="N265" s="4" t="s">
        <v>419</v>
      </c>
      <c r="P265" s="4" t="s">
        <v>6</v>
      </c>
      <c r="R265" s="14" t="s">
        <v>292</v>
      </c>
      <c r="S265" s="14" t="s">
        <v>417</v>
      </c>
    </row>
    <row r="266" spans="1:26" hidden="1" x14ac:dyDescent="0.25">
      <c r="A266" s="23" t="s">
        <v>79</v>
      </c>
      <c r="B266" s="69" t="s">
        <v>65</v>
      </c>
      <c r="C266" s="69">
        <v>6</v>
      </c>
      <c r="D266" s="69">
        <v>2018</v>
      </c>
      <c r="I266" s="4" t="s">
        <v>16</v>
      </c>
      <c r="J266" s="55">
        <v>8</v>
      </c>
      <c r="L266" s="14" t="s">
        <v>99</v>
      </c>
      <c r="M266" s="14" t="s">
        <v>609</v>
      </c>
      <c r="N266" s="4" t="s">
        <v>419</v>
      </c>
      <c r="P266" s="4" t="s">
        <v>6</v>
      </c>
      <c r="S266" s="14" t="s">
        <v>417</v>
      </c>
    </row>
    <row r="267" spans="1:26" hidden="1" x14ac:dyDescent="0.25">
      <c r="A267" s="23" t="s">
        <v>80</v>
      </c>
      <c r="B267" s="69" t="s">
        <v>66</v>
      </c>
      <c r="C267" s="69">
        <v>6</v>
      </c>
      <c r="D267" s="69">
        <v>2018</v>
      </c>
      <c r="E267" s="60">
        <v>9</v>
      </c>
      <c r="F267" s="64">
        <v>0</v>
      </c>
      <c r="G267" s="60">
        <v>13</v>
      </c>
      <c r="H267" s="64">
        <v>0</v>
      </c>
      <c r="I267" s="4" t="s">
        <v>7</v>
      </c>
      <c r="J267" s="55">
        <v>4</v>
      </c>
      <c r="K267" s="4" t="s">
        <v>12</v>
      </c>
      <c r="L267" s="14" t="s">
        <v>5</v>
      </c>
      <c r="M267" s="14" t="s">
        <v>104</v>
      </c>
      <c r="N267" s="4" t="s">
        <v>52</v>
      </c>
      <c r="O267" s="4" t="s">
        <v>125</v>
      </c>
      <c r="P267" s="4" t="s">
        <v>6</v>
      </c>
      <c r="Q267" s="50">
        <v>575</v>
      </c>
      <c r="R267" s="14" t="s">
        <v>293</v>
      </c>
      <c r="S267" s="33" t="s">
        <v>322</v>
      </c>
      <c r="T267" s="33"/>
    </row>
    <row r="268" spans="1:26" hidden="1" x14ac:dyDescent="0.25">
      <c r="A268" s="23" t="s">
        <v>80</v>
      </c>
      <c r="B268" s="69" t="s">
        <v>66</v>
      </c>
      <c r="C268" s="69">
        <v>6</v>
      </c>
      <c r="D268" s="69">
        <v>2018</v>
      </c>
      <c r="E268" s="60">
        <v>13</v>
      </c>
      <c r="F268" s="64">
        <v>0</v>
      </c>
      <c r="G268" s="60">
        <v>17</v>
      </c>
      <c r="H268" s="64">
        <v>0</v>
      </c>
      <c r="I268" s="4" t="s">
        <v>7</v>
      </c>
      <c r="J268" s="55">
        <v>4</v>
      </c>
      <c r="K268" s="4" t="s">
        <v>12</v>
      </c>
      <c r="L268" s="14" t="s">
        <v>24</v>
      </c>
      <c r="M268" s="14" t="s">
        <v>105</v>
      </c>
      <c r="N268" s="4" t="s">
        <v>52</v>
      </c>
      <c r="O268" s="4" t="s">
        <v>52</v>
      </c>
      <c r="P268" s="4" t="s">
        <v>6</v>
      </c>
      <c r="Q268" s="50">
        <v>600</v>
      </c>
      <c r="R268" s="14" t="s">
        <v>294</v>
      </c>
      <c r="S268" s="33" t="s">
        <v>322</v>
      </c>
      <c r="T268" s="33"/>
    </row>
    <row r="269" spans="1:26" hidden="1" x14ac:dyDescent="0.25">
      <c r="A269" s="25" t="s">
        <v>555</v>
      </c>
      <c r="B269" s="65">
        <v>22</v>
      </c>
      <c r="C269" s="72">
        <v>6</v>
      </c>
      <c r="D269" s="65">
        <v>2018</v>
      </c>
      <c r="E269" s="61">
        <v>8</v>
      </c>
      <c r="F269" s="65">
        <v>0</v>
      </c>
      <c r="G269" s="61">
        <v>10</v>
      </c>
      <c r="H269" s="65">
        <v>0</v>
      </c>
      <c r="I269" s="25" t="s">
        <v>16</v>
      </c>
      <c r="J269" s="56">
        <v>2</v>
      </c>
      <c r="K269" s="25" t="s">
        <v>13</v>
      </c>
      <c r="L269" s="27" t="s">
        <v>31</v>
      </c>
      <c r="M269" s="27" t="s">
        <v>553</v>
      </c>
      <c r="N269" s="25" t="s">
        <v>52</v>
      </c>
      <c r="O269" s="25"/>
      <c r="P269" s="25" t="s">
        <v>27</v>
      </c>
      <c r="Q269" s="51">
        <v>250</v>
      </c>
      <c r="R269" s="27" t="s">
        <v>560</v>
      </c>
      <c r="S269" s="27" t="s">
        <v>54</v>
      </c>
      <c r="T269" s="27"/>
      <c r="U269" s="97">
        <f>Q269/J269*8</f>
        <v>1000</v>
      </c>
      <c r="V269" s="98">
        <v>220</v>
      </c>
      <c r="W269" s="99">
        <f>$W$2*V269/8*J269</f>
        <v>9.625</v>
      </c>
      <c r="X269" s="99">
        <f>$X$2*V269/8*J269</f>
        <v>9.625</v>
      </c>
      <c r="Y269" s="99">
        <f>$Y$2*V269/8*J269</f>
        <v>0</v>
      </c>
      <c r="Z269" s="99">
        <f>V269-W269-X269-Y269</f>
        <v>200.75</v>
      </c>
    </row>
    <row r="270" spans="1:26" x14ac:dyDescent="0.25">
      <c r="A270" s="23" t="s">
        <v>49</v>
      </c>
      <c r="B270" s="69" t="s">
        <v>67</v>
      </c>
      <c r="C270" s="69">
        <v>6</v>
      </c>
      <c r="D270" s="69">
        <v>2018</v>
      </c>
      <c r="E270" s="60">
        <v>9</v>
      </c>
      <c r="F270" s="64">
        <v>0</v>
      </c>
      <c r="G270" s="60">
        <v>13</v>
      </c>
      <c r="H270" s="64">
        <v>0</v>
      </c>
      <c r="I270" s="4" t="s">
        <v>7</v>
      </c>
      <c r="J270" s="55">
        <v>4</v>
      </c>
      <c r="K270" s="4" t="s">
        <v>12</v>
      </c>
      <c r="L270" s="14" t="s">
        <v>50</v>
      </c>
      <c r="M270" s="14" t="s">
        <v>51</v>
      </c>
      <c r="N270" s="4" t="s">
        <v>52</v>
      </c>
      <c r="O270" s="4" t="s">
        <v>53</v>
      </c>
      <c r="P270" s="4" t="s">
        <v>6</v>
      </c>
      <c r="Q270" s="50">
        <v>575</v>
      </c>
      <c r="R270" s="14" t="s">
        <v>295</v>
      </c>
      <c r="S270" s="33" t="s">
        <v>322</v>
      </c>
      <c r="T270" s="33"/>
    </row>
    <row r="271" spans="1:26" hidden="1" x14ac:dyDescent="0.25">
      <c r="A271" s="23" t="s">
        <v>77</v>
      </c>
      <c r="B271" s="69" t="s">
        <v>70</v>
      </c>
      <c r="C271" s="69">
        <v>6</v>
      </c>
      <c r="D271" s="69">
        <v>2018</v>
      </c>
      <c r="E271" s="60">
        <v>8</v>
      </c>
      <c r="F271" s="64">
        <v>0</v>
      </c>
      <c r="G271" s="60">
        <v>10</v>
      </c>
      <c r="H271" s="64">
        <v>30</v>
      </c>
      <c r="I271" s="4" t="s">
        <v>7</v>
      </c>
      <c r="J271" s="55">
        <v>2.5</v>
      </c>
      <c r="K271" s="4" t="s">
        <v>13</v>
      </c>
      <c r="L271" s="14" t="s">
        <v>24</v>
      </c>
      <c r="M271" s="14" t="s">
        <v>105</v>
      </c>
      <c r="N271" s="4" t="s">
        <v>52</v>
      </c>
      <c r="O271" s="4" t="s">
        <v>52</v>
      </c>
      <c r="P271" s="4" t="s">
        <v>6</v>
      </c>
      <c r="Q271" s="50">
        <v>312.5</v>
      </c>
      <c r="R271" s="14" t="s">
        <v>296</v>
      </c>
      <c r="S271" s="33" t="s">
        <v>322</v>
      </c>
      <c r="T271" s="33"/>
    </row>
    <row r="272" spans="1:26" hidden="1" x14ac:dyDescent="0.25">
      <c r="A272" s="25" t="s">
        <v>570</v>
      </c>
      <c r="B272" s="65">
        <v>25</v>
      </c>
      <c r="C272" s="72">
        <v>6</v>
      </c>
      <c r="D272" s="65">
        <v>2018</v>
      </c>
      <c r="E272" s="61">
        <v>8</v>
      </c>
      <c r="F272" s="65">
        <v>0</v>
      </c>
      <c r="G272" s="61">
        <v>12</v>
      </c>
      <c r="H272" s="65">
        <v>0</v>
      </c>
      <c r="I272" s="25" t="s">
        <v>7</v>
      </c>
      <c r="J272" s="56">
        <v>4</v>
      </c>
      <c r="K272" s="25" t="s">
        <v>12</v>
      </c>
      <c r="L272" s="27" t="s">
        <v>31</v>
      </c>
      <c r="M272" s="27" t="s">
        <v>553</v>
      </c>
      <c r="N272" s="25" t="s">
        <v>52</v>
      </c>
      <c r="O272" s="25"/>
      <c r="P272" s="25" t="s">
        <v>27</v>
      </c>
      <c r="Q272" s="88">
        <v>650</v>
      </c>
      <c r="R272" s="27" t="s">
        <v>571</v>
      </c>
      <c r="S272" s="27" t="s">
        <v>54</v>
      </c>
      <c r="T272" s="27"/>
      <c r="U272" s="97">
        <f>Q272/J272*8</f>
        <v>1300</v>
      </c>
      <c r="V272" s="98">
        <v>250</v>
      </c>
      <c r="W272" s="99">
        <f>$W$2*V272/8*J272</f>
        <v>21.875</v>
      </c>
      <c r="X272" s="99">
        <f>$X$2*V272/8*J272</f>
        <v>21.875</v>
      </c>
      <c r="Y272" s="99">
        <f>$Y$2*V272/8*J272</f>
        <v>0</v>
      </c>
      <c r="Z272" s="99">
        <f>V272-W272-X272-Y272</f>
        <v>206.25</v>
      </c>
    </row>
    <row r="273" spans="1:26" hidden="1" x14ac:dyDescent="0.25">
      <c r="A273" s="23" t="s">
        <v>77</v>
      </c>
      <c r="B273" s="69" t="s">
        <v>70</v>
      </c>
      <c r="C273" s="69">
        <v>6</v>
      </c>
      <c r="D273" s="69">
        <v>2018</v>
      </c>
      <c r="E273" s="60">
        <v>14</v>
      </c>
      <c r="F273" s="64">
        <v>30</v>
      </c>
      <c r="G273" s="60">
        <v>17</v>
      </c>
      <c r="H273" s="64">
        <v>0</v>
      </c>
      <c r="I273" s="4" t="s">
        <v>7</v>
      </c>
      <c r="J273" s="55">
        <v>2.5</v>
      </c>
      <c r="K273" s="4" t="s">
        <v>13</v>
      </c>
      <c r="L273" s="14" t="s">
        <v>92</v>
      </c>
      <c r="M273" s="14" t="s">
        <v>116</v>
      </c>
      <c r="N273" s="4" t="s">
        <v>52</v>
      </c>
      <c r="O273" s="4" t="s">
        <v>52</v>
      </c>
      <c r="P273" s="4" t="s">
        <v>6</v>
      </c>
      <c r="Q273" s="50">
        <v>281.25</v>
      </c>
      <c r="R273" s="14" t="s">
        <v>297</v>
      </c>
      <c r="S273" s="33" t="s">
        <v>322</v>
      </c>
      <c r="T273" s="33"/>
    </row>
    <row r="274" spans="1:26" hidden="1" x14ac:dyDescent="0.25">
      <c r="A274" s="23" t="s">
        <v>78</v>
      </c>
      <c r="B274" s="69" t="s">
        <v>71</v>
      </c>
      <c r="C274" s="69">
        <v>6</v>
      </c>
      <c r="D274" s="69">
        <v>2018</v>
      </c>
      <c r="E274" s="60">
        <v>9</v>
      </c>
      <c r="F274" s="64">
        <v>0</v>
      </c>
      <c r="G274" s="60">
        <v>13</v>
      </c>
      <c r="H274" s="64">
        <v>0</v>
      </c>
      <c r="I274" s="4" t="s">
        <v>7</v>
      </c>
      <c r="J274" s="55">
        <v>4</v>
      </c>
      <c r="K274" s="4" t="s">
        <v>12</v>
      </c>
      <c r="L274" s="14" t="s">
        <v>92</v>
      </c>
      <c r="M274" s="14" t="s">
        <v>116</v>
      </c>
      <c r="N274" s="4" t="s">
        <v>52</v>
      </c>
      <c r="O274" s="4" t="s">
        <v>52</v>
      </c>
      <c r="P274" s="4" t="s">
        <v>6</v>
      </c>
      <c r="Q274" s="50">
        <v>450</v>
      </c>
      <c r="R274" s="14" t="s">
        <v>19</v>
      </c>
      <c r="S274" s="33" t="s">
        <v>322</v>
      </c>
      <c r="T274" s="33"/>
    </row>
    <row r="275" spans="1:26" hidden="1" x14ac:dyDescent="0.25">
      <c r="A275" s="23" t="s">
        <v>78</v>
      </c>
      <c r="B275" s="69" t="s">
        <v>71</v>
      </c>
      <c r="C275" s="69">
        <v>6</v>
      </c>
      <c r="D275" s="69">
        <v>2018</v>
      </c>
      <c r="E275" s="60">
        <v>13</v>
      </c>
      <c r="F275" s="64">
        <v>0</v>
      </c>
      <c r="G275" s="60">
        <v>16</v>
      </c>
      <c r="H275" s="64">
        <v>0</v>
      </c>
      <c r="I275" s="4" t="s">
        <v>7</v>
      </c>
      <c r="J275" s="55">
        <v>3</v>
      </c>
      <c r="K275" s="4" t="s">
        <v>13</v>
      </c>
      <c r="L275" s="14" t="s">
        <v>5</v>
      </c>
      <c r="M275" s="14" t="s">
        <v>104</v>
      </c>
      <c r="N275" s="4" t="s">
        <v>52</v>
      </c>
      <c r="O275" s="4" t="s">
        <v>125</v>
      </c>
      <c r="P275" s="4" t="s">
        <v>6</v>
      </c>
      <c r="Q275" s="50">
        <v>393.75</v>
      </c>
      <c r="R275" s="14" t="s">
        <v>298</v>
      </c>
      <c r="S275" s="33" t="s">
        <v>322</v>
      </c>
      <c r="T275" s="33"/>
    </row>
    <row r="276" spans="1:26" hidden="1" x14ac:dyDescent="0.25">
      <c r="A276" s="23" t="s">
        <v>79</v>
      </c>
      <c r="B276" s="69" t="s">
        <v>72</v>
      </c>
      <c r="C276" s="69">
        <v>6</v>
      </c>
      <c r="D276" s="69">
        <v>2018</v>
      </c>
      <c r="E276" s="60">
        <v>8</v>
      </c>
      <c r="F276" s="64">
        <v>0</v>
      </c>
      <c r="G276" s="60">
        <v>12</v>
      </c>
      <c r="H276" s="64">
        <v>0</v>
      </c>
      <c r="I276" s="4" t="s">
        <v>16</v>
      </c>
      <c r="J276" s="55">
        <v>4</v>
      </c>
      <c r="K276" s="4" t="s">
        <v>12</v>
      </c>
      <c r="L276" s="14" t="s">
        <v>24</v>
      </c>
      <c r="M276" s="14" t="s">
        <v>105</v>
      </c>
      <c r="N276" s="4" t="s">
        <v>52</v>
      </c>
      <c r="O276" s="4" t="s">
        <v>52</v>
      </c>
      <c r="P276" s="4" t="s">
        <v>6</v>
      </c>
      <c r="Q276" s="50">
        <v>500</v>
      </c>
      <c r="R276" s="14" t="s">
        <v>296</v>
      </c>
      <c r="S276" s="33" t="s">
        <v>322</v>
      </c>
      <c r="T276" s="33"/>
    </row>
    <row r="277" spans="1:26" hidden="1" x14ac:dyDescent="0.25">
      <c r="A277" s="23" t="s">
        <v>80</v>
      </c>
      <c r="B277" s="69" t="s">
        <v>73</v>
      </c>
      <c r="C277" s="69">
        <v>6</v>
      </c>
      <c r="D277" s="69">
        <v>2018</v>
      </c>
      <c r="E277" s="60">
        <v>8</v>
      </c>
      <c r="F277" s="64">
        <v>0</v>
      </c>
      <c r="G277" s="60">
        <v>10</v>
      </c>
      <c r="H277" s="64">
        <v>0</v>
      </c>
      <c r="I277" s="4" t="s">
        <v>7</v>
      </c>
      <c r="J277" s="55">
        <v>2</v>
      </c>
      <c r="K277" s="4" t="s">
        <v>13</v>
      </c>
      <c r="L277" s="14" t="s">
        <v>24</v>
      </c>
      <c r="M277" s="14" t="s">
        <v>105</v>
      </c>
      <c r="N277" s="4" t="s">
        <v>52</v>
      </c>
      <c r="O277" s="4" t="s">
        <v>52</v>
      </c>
      <c r="P277" s="4" t="s">
        <v>6</v>
      </c>
      <c r="Q277" s="50">
        <v>250</v>
      </c>
      <c r="R277" s="14" t="s">
        <v>296</v>
      </c>
      <c r="S277" s="33" t="s">
        <v>322</v>
      </c>
      <c r="T277" s="33"/>
    </row>
    <row r="278" spans="1:26" hidden="1" x14ac:dyDescent="0.25">
      <c r="A278" s="25" t="s">
        <v>551</v>
      </c>
      <c r="B278" s="65">
        <v>3</v>
      </c>
      <c r="C278" s="89">
        <v>7</v>
      </c>
      <c r="D278" s="65">
        <v>2018</v>
      </c>
      <c r="E278" s="61">
        <v>8</v>
      </c>
      <c r="F278" s="65">
        <v>0</v>
      </c>
      <c r="G278" s="61">
        <v>16</v>
      </c>
      <c r="H278" s="65">
        <v>0</v>
      </c>
      <c r="I278" s="25" t="s">
        <v>7</v>
      </c>
      <c r="J278" s="56">
        <v>8</v>
      </c>
      <c r="K278" s="25" t="s">
        <v>687</v>
      </c>
      <c r="L278" s="27" t="s">
        <v>473</v>
      </c>
      <c r="M278" s="27" t="s">
        <v>575</v>
      </c>
      <c r="N278" s="25" t="s">
        <v>52</v>
      </c>
      <c r="O278" s="25"/>
      <c r="P278" s="25" t="s">
        <v>21</v>
      </c>
      <c r="Q278" s="51">
        <v>1150</v>
      </c>
      <c r="R278" s="27"/>
      <c r="S278" s="27" t="s">
        <v>54</v>
      </c>
      <c r="T278" s="27"/>
      <c r="U278" s="97">
        <f>Q278/J278*8</f>
        <v>1150</v>
      </c>
      <c r="V278" s="98">
        <v>250</v>
      </c>
      <c r="W278" s="99">
        <f>$W$2*V278/8*J278</f>
        <v>43.75</v>
      </c>
      <c r="X278" s="99">
        <f>$X$2*V278/8*J278</f>
        <v>43.75</v>
      </c>
      <c r="Y278" s="99">
        <f>$Y$2*V278/8*J278</f>
        <v>0</v>
      </c>
      <c r="Z278" s="99">
        <f>V278-W278-X278-Y278</f>
        <v>162.5</v>
      </c>
    </row>
    <row r="279" spans="1:26" hidden="1" x14ac:dyDescent="0.25">
      <c r="A279" s="23" t="s">
        <v>80</v>
      </c>
      <c r="B279" s="69" t="s">
        <v>73</v>
      </c>
      <c r="C279" s="69">
        <v>6</v>
      </c>
      <c r="D279" s="69">
        <v>2018</v>
      </c>
      <c r="E279" s="60">
        <v>10</v>
      </c>
      <c r="F279" s="64">
        <v>30</v>
      </c>
      <c r="G279" s="60">
        <v>17</v>
      </c>
      <c r="H279" s="64">
        <v>0</v>
      </c>
      <c r="I279" s="4" t="s">
        <v>7</v>
      </c>
      <c r="J279" s="55">
        <v>6.5</v>
      </c>
      <c r="K279" s="4" t="s">
        <v>13</v>
      </c>
      <c r="L279" s="14" t="s">
        <v>92</v>
      </c>
      <c r="M279" s="14" t="s">
        <v>116</v>
      </c>
      <c r="N279" s="4" t="s">
        <v>52</v>
      </c>
      <c r="O279" s="4" t="s">
        <v>52</v>
      </c>
      <c r="P279" s="4" t="s">
        <v>6</v>
      </c>
      <c r="Q279" s="50">
        <v>731.25</v>
      </c>
      <c r="R279" s="14" t="s">
        <v>290</v>
      </c>
      <c r="S279" s="33" t="s">
        <v>322</v>
      </c>
      <c r="T279" s="33"/>
    </row>
    <row r="280" spans="1:26" hidden="1" x14ac:dyDescent="0.25">
      <c r="A280" s="23" t="s">
        <v>49</v>
      </c>
      <c r="B280" s="69" t="s">
        <v>74</v>
      </c>
      <c r="C280" s="69">
        <v>6</v>
      </c>
      <c r="D280" s="69">
        <v>2018</v>
      </c>
      <c r="E280" s="60">
        <v>10</v>
      </c>
      <c r="F280" s="64">
        <v>0</v>
      </c>
      <c r="G280" s="60">
        <v>18</v>
      </c>
      <c r="H280" s="64">
        <v>0</v>
      </c>
      <c r="I280" s="4" t="s">
        <v>7</v>
      </c>
      <c r="J280" s="55">
        <v>8</v>
      </c>
      <c r="K280" s="4" t="s">
        <v>687</v>
      </c>
      <c r="L280" s="14" t="s">
        <v>24</v>
      </c>
      <c r="M280" s="14" t="s">
        <v>105</v>
      </c>
      <c r="N280" s="4" t="s">
        <v>52</v>
      </c>
      <c r="O280" s="4" t="s">
        <v>52</v>
      </c>
      <c r="P280" s="4" t="s">
        <v>6</v>
      </c>
      <c r="Q280" s="50">
        <v>1000</v>
      </c>
      <c r="R280" s="14" t="s">
        <v>299</v>
      </c>
      <c r="S280" s="33" t="s">
        <v>322</v>
      </c>
      <c r="T280" s="33"/>
    </row>
    <row r="281" spans="1:26" hidden="1" x14ac:dyDescent="0.25">
      <c r="A281" s="23" t="s">
        <v>49</v>
      </c>
      <c r="B281" s="69" t="s">
        <v>74</v>
      </c>
      <c r="C281" s="69">
        <v>6</v>
      </c>
      <c r="D281" s="69">
        <v>2018</v>
      </c>
      <c r="I281" s="4" t="s">
        <v>7</v>
      </c>
      <c r="J281" s="55">
        <v>20</v>
      </c>
      <c r="K281" s="4" t="s">
        <v>89</v>
      </c>
      <c r="L281" s="14" t="s">
        <v>5</v>
      </c>
      <c r="M281" s="14" t="s">
        <v>104</v>
      </c>
      <c r="N281" s="4" t="s">
        <v>52</v>
      </c>
      <c r="O281" s="4" t="s">
        <v>125</v>
      </c>
      <c r="P281" s="4" t="s">
        <v>133</v>
      </c>
      <c r="Q281" s="50">
        <v>15000</v>
      </c>
      <c r="R281" s="14" t="s">
        <v>300</v>
      </c>
      <c r="S281" s="33" t="s">
        <v>322</v>
      </c>
      <c r="T281" s="33"/>
    </row>
    <row r="282" spans="1:26" hidden="1" x14ac:dyDescent="0.25">
      <c r="A282" s="23" t="s">
        <v>49</v>
      </c>
      <c r="B282" s="69" t="s">
        <v>74</v>
      </c>
      <c r="C282" s="69">
        <v>6</v>
      </c>
      <c r="D282" s="69">
        <v>2018</v>
      </c>
      <c r="I282" s="4" t="s">
        <v>7</v>
      </c>
      <c r="L282" s="14" t="s">
        <v>102</v>
      </c>
      <c r="M282" s="14" t="s">
        <v>117</v>
      </c>
      <c r="N282" s="4" t="s">
        <v>52</v>
      </c>
      <c r="P282" s="4" t="s">
        <v>135</v>
      </c>
      <c r="Q282" s="50">
        <v>837.5</v>
      </c>
      <c r="S282" s="33" t="s">
        <v>322</v>
      </c>
      <c r="T282" s="33"/>
    </row>
    <row r="283" spans="1:26" hidden="1" x14ac:dyDescent="0.25">
      <c r="A283" s="23" t="s">
        <v>77</v>
      </c>
      <c r="B283" s="69">
        <v>2</v>
      </c>
      <c r="C283" s="69">
        <v>7</v>
      </c>
      <c r="D283" s="69">
        <v>2018</v>
      </c>
      <c r="E283" s="60">
        <v>9</v>
      </c>
      <c r="F283" s="64">
        <v>0</v>
      </c>
      <c r="G283" s="60">
        <v>17</v>
      </c>
      <c r="H283" s="64">
        <v>0</v>
      </c>
      <c r="I283" s="4" t="s">
        <v>7</v>
      </c>
      <c r="J283" s="55">
        <v>8</v>
      </c>
      <c r="K283" s="4" t="s">
        <v>687</v>
      </c>
      <c r="L283" s="14" t="s">
        <v>31</v>
      </c>
      <c r="M283" s="14" t="s">
        <v>118</v>
      </c>
      <c r="N283" s="4" t="s">
        <v>52</v>
      </c>
      <c r="O283" s="4" t="s">
        <v>52</v>
      </c>
      <c r="P283" s="4" t="s">
        <v>6</v>
      </c>
      <c r="Q283" s="50">
        <v>1150</v>
      </c>
      <c r="R283" s="14" t="s">
        <v>301</v>
      </c>
      <c r="S283" s="33" t="s">
        <v>322</v>
      </c>
      <c r="T283" s="33"/>
      <c r="U283" s="97">
        <f>Q283/J283*8</f>
        <v>1150</v>
      </c>
      <c r="V283" s="98">
        <v>250</v>
      </c>
      <c r="W283" s="99">
        <f>$W$2*V283/8*J283</f>
        <v>43.75</v>
      </c>
      <c r="X283" s="99">
        <f>$X$2*V283/8*J283</f>
        <v>43.75</v>
      </c>
      <c r="Y283" s="99">
        <f>$Y$2*V283/8*J283</f>
        <v>0</v>
      </c>
      <c r="Z283" s="99">
        <f>V283-W283-X283-Y283</f>
        <v>162.5</v>
      </c>
    </row>
    <row r="284" spans="1:26" hidden="1" x14ac:dyDescent="0.25">
      <c r="A284" s="23" t="s">
        <v>78</v>
      </c>
      <c r="B284" s="69">
        <v>3</v>
      </c>
      <c r="C284" s="69">
        <v>7</v>
      </c>
      <c r="D284" s="69">
        <v>2018</v>
      </c>
      <c r="E284" s="60">
        <v>8</v>
      </c>
      <c r="F284" s="64">
        <v>0</v>
      </c>
      <c r="G284" s="60">
        <v>11</v>
      </c>
      <c r="H284" s="64">
        <v>0</v>
      </c>
      <c r="I284" s="4" t="s">
        <v>7</v>
      </c>
      <c r="J284" s="55">
        <v>3</v>
      </c>
      <c r="K284" s="4" t="s">
        <v>13</v>
      </c>
      <c r="L284" s="14" t="s">
        <v>92</v>
      </c>
      <c r="M284" s="14" t="s">
        <v>116</v>
      </c>
      <c r="N284" s="4" t="s">
        <v>52</v>
      </c>
      <c r="O284" s="4" t="s">
        <v>52</v>
      </c>
      <c r="P284" s="4" t="s">
        <v>6</v>
      </c>
      <c r="Q284" s="50">
        <v>337.5</v>
      </c>
      <c r="R284" s="14" t="s">
        <v>302</v>
      </c>
      <c r="S284" s="33" t="s">
        <v>322</v>
      </c>
      <c r="T284" s="33"/>
    </row>
    <row r="285" spans="1:26" hidden="1" x14ac:dyDescent="0.25">
      <c r="A285" s="25" t="s">
        <v>557</v>
      </c>
      <c r="B285" s="65">
        <v>7</v>
      </c>
      <c r="C285" s="89">
        <v>8</v>
      </c>
      <c r="D285" s="65">
        <v>2018</v>
      </c>
      <c r="E285" s="61">
        <v>8</v>
      </c>
      <c r="F285" s="65">
        <v>0</v>
      </c>
      <c r="G285" s="61">
        <v>16</v>
      </c>
      <c r="H285" s="65">
        <v>0</v>
      </c>
      <c r="I285" s="25" t="s">
        <v>7</v>
      </c>
      <c r="J285" s="56">
        <v>8</v>
      </c>
      <c r="K285" s="25" t="s">
        <v>687</v>
      </c>
      <c r="L285" s="27" t="s">
        <v>473</v>
      </c>
      <c r="M285" s="27" t="s">
        <v>575</v>
      </c>
      <c r="N285" s="25" t="s">
        <v>52</v>
      </c>
      <c r="O285" s="25"/>
      <c r="P285" s="25" t="s">
        <v>27</v>
      </c>
      <c r="Q285" s="51">
        <v>1150</v>
      </c>
      <c r="R285" s="27" t="s">
        <v>576</v>
      </c>
      <c r="S285" s="27" t="s">
        <v>54</v>
      </c>
      <c r="T285" s="27"/>
      <c r="U285" s="97">
        <f>Q285/J285*8</f>
        <v>1150</v>
      </c>
      <c r="V285" s="98">
        <v>250</v>
      </c>
      <c r="W285" s="99">
        <f>$W$2*V285/8*J285</f>
        <v>43.75</v>
      </c>
      <c r="X285" s="99">
        <f>$X$2*V285/8*J285</f>
        <v>43.75</v>
      </c>
      <c r="Y285" s="99">
        <f>$Y$2*V285/8*J285</f>
        <v>0</v>
      </c>
      <c r="Z285" s="99">
        <f>V285-W285-X285-Y285</f>
        <v>162.5</v>
      </c>
    </row>
    <row r="286" spans="1:26" hidden="1" x14ac:dyDescent="0.25">
      <c r="A286" s="23" t="s">
        <v>78</v>
      </c>
      <c r="B286" s="69">
        <v>3</v>
      </c>
      <c r="C286" s="69">
        <v>7</v>
      </c>
      <c r="D286" s="69">
        <v>2018</v>
      </c>
      <c r="E286" s="60">
        <v>13</v>
      </c>
      <c r="F286" s="64">
        <v>0</v>
      </c>
      <c r="G286" s="60">
        <v>16</v>
      </c>
      <c r="H286" s="64">
        <v>0</v>
      </c>
      <c r="I286" s="4" t="s">
        <v>7</v>
      </c>
      <c r="J286" s="55">
        <v>4</v>
      </c>
      <c r="K286" s="4" t="s">
        <v>12</v>
      </c>
      <c r="L286" s="14" t="s">
        <v>5</v>
      </c>
      <c r="M286" s="14" t="s">
        <v>104</v>
      </c>
      <c r="N286" s="4" t="s">
        <v>52</v>
      </c>
      <c r="O286" s="4" t="s">
        <v>125</v>
      </c>
      <c r="P286" s="4" t="s">
        <v>6</v>
      </c>
      <c r="Q286" s="50">
        <v>575</v>
      </c>
      <c r="R286" s="14" t="s">
        <v>303</v>
      </c>
      <c r="S286" s="33" t="s">
        <v>322</v>
      </c>
      <c r="T286" s="33"/>
    </row>
    <row r="287" spans="1:26" hidden="1" x14ac:dyDescent="0.25">
      <c r="A287" s="23" t="s">
        <v>78</v>
      </c>
      <c r="B287" s="69">
        <v>3</v>
      </c>
      <c r="C287" s="69">
        <v>7</v>
      </c>
      <c r="D287" s="69">
        <v>2018</v>
      </c>
      <c r="I287" s="4" t="s">
        <v>16</v>
      </c>
      <c r="J287" s="55">
        <v>6</v>
      </c>
      <c r="K287" s="4" t="s">
        <v>13</v>
      </c>
      <c r="L287" s="14" t="s">
        <v>5</v>
      </c>
      <c r="M287" s="14" t="s">
        <v>104</v>
      </c>
      <c r="N287" s="4" t="s">
        <v>52</v>
      </c>
      <c r="O287" s="4" t="s">
        <v>125</v>
      </c>
      <c r="P287" s="4" t="s">
        <v>21</v>
      </c>
      <c r="Q287" s="50">
        <v>690</v>
      </c>
      <c r="R287" s="14" t="s">
        <v>304</v>
      </c>
      <c r="S287" s="33" t="s">
        <v>322</v>
      </c>
      <c r="T287" s="33"/>
    </row>
    <row r="288" spans="1:26" hidden="1" x14ac:dyDescent="0.25">
      <c r="A288" s="23" t="s">
        <v>79</v>
      </c>
      <c r="B288" s="69">
        <v>4</v>
      </c>
      <c r="C288" s="69">
        <v>7</v>
      </c>
      <c r="D288" s="69">
        <v>2018</v>
      </c>
      <c r="E288" s="60">
        <v>9</v>
      </c>
      <c r="F288" s="64">
        <v>0</v>
      </c>
      <c r="G288" s="60">
        <v>17</v>
      </c>
      <c r="H288" s="64">
        <v>0</v>
      </c>
      <c r="I288" s="4" t="s">
        <v>16</v>
      </c>
      <c r="J288" s="55">
        <v>8</v>
      </c>
      <c r="K288" s="4" t="s">
        <v>687</v>
      </c>
      <c r="L288" s="14" t="s">
        <v>99</v>
      </c>
      <c r="M288" s="14" t="s">
        <v>609</v>
      </c>
      <c r="N288" s="4" t="s">
        <v>419</v>
      </c>
      <c r="P288" s="4" t="s">
        <v>6</v>
      </c>
      <c r="S288" s="33" t="s">
        <v>322</v>
      </c>
      <c r="T288" s="33"/>
    </row>
    <row r="289" spans="1:26" hidden="1" x14ac:dyDescent="0.25">
      <c r="A289" s="23" t="s">
        <v>80</v>
      </c>
      <c r="B289" s="69">
        <v>5</v>
      </c>
      <c r="C289" s="69">
        <v>7</v>
      </c>
      <c r="D289" s="69">
        <v>2018</v>
      </c>
      <c r="E289" s="60">
        <v>9</v>
      </c>
      <c r="F289" s="64">
        <v>0</v>
      </c>
      <c r="G289" s="60">
        <v>17</v>
      </c>
      <c r="H289" s="64">
        <v>0</v>
      </c>
      <c r="I289" s="4" t="s">
        <v>16</v>
      </c>
      <c r="J289" s="55">
        <v>8</v>
      </c>
      <c r="K289" s="4" t="s">
        <v>687</v>
      </c>
      <c r="L289" s="14" t="s">
        <v>99</v>
      </c>
      <c r="M289" s="14" t="s">
        <v>609</v>
      </c>
      <c r="N289" s="4" t="s">
        <v>419</v>
      </c>
      <c r="P289" s="4" t="s">
        <v>6</v>
      </c>
      <c r="S289" s="33" t="s">
        <v>322</v>
      </c>
      <c r="T289" s="33"/>
    </row>
    <row r="290" spans="1:26" hidden="1" x14ac:dyDescent="0.25">
      <c r="A290" s="23" t="s">
        <v>49</v>
      </c>
      <c r="B290" s="69">
        <v>6</v>
      </c>
      <c r="C290" s="69">
        <v>7</v>
      </c>
      <c r="D290" s="69">
        <v>2018</v>
      </c>
      <c r="E290" s="60">
        <v>9</v>
      </c>
      <c r="F290" s="64">
        <v>0</v>
      </c>
      <c r="G290" s="60">
        <v>17</v>
      </c>
      <c r="H290" s="64">
        <v>0</v>
      </c>
      <c r="I290" s="4" t="s">
        <v>16</v>
      </c>
      <c r="J290" s="55">
        <v>8</v>
      </c>
      <c r="K290" s="4" t="s">
        <v>687</v>
      </c>
      <c r="L290" s="14" t="s">
        <v>99</v>
      </c>
      <c r="M290" s="14" t="s">
        <v>609</v>
      </c>
      <c r="N290" s="4" t="s">
        <v>419</v>
      </c>
      <c r="P290" s="4" t="s">
        <v>6</v>
      </c>
      <c r="S290" s="33" t="s">
        <v>322</v>
      </c>
      <c r="T290" s="33"/>
    </row>
    <row r="291" spans="1:26" x14ac:dyDescent="0.25">
      <c r="A291" s="23" t="s">
        <v>77</v>
      </c>
      <c r="B291" s="69">
        <v>9</v>
      </c>
      <c r="C291" s="69">
        <v>7</v>
      </c>
      <c r="D291" s="69">
        <v>2018</v>
      </c>
      <c r="E291" s="60">
        <v>8</v>
      </c>
      <c r="F291" s="64">
        <v>30</v>
      </c>
      <c r="G291" s="60">
        <v>12</v>
      </c>
      <c r="H291" s="64">
        <v>30</v>
      </c>
      <c r="I291" s="4" t="s">
        <v>16</v>
      </c>
      <c r="J291" s="55">
        <v>4</v>
      </c>
      <c r="K291" s="4" t="s">
        <v>13</v>
      </c>
      <c r="L291" s="14" t="s">
        <v>50</v>
      </c>
      <c r="M291" s="14" t="s">
        <v>115</v>
      </c>
      <c r="N291" s="4" t="s">
        <v>52</v>
      </c>
      <c r="O291" s="4" t="s">
        <v>131</v>
      </c>
      <c r="P291" s="4" t="s">
        <v>6</v>
      </c>
      <c r="Q291" s="50">
        <v>475</v>
      </c>
      <c r="R291" s="14" t="s">
        <v>305</v>
      </c>
      <c r="S291" s="33" t="s">
        <v>322</v>
      </c>
      <c r="T291" s="33"/>
    </row>
    <row r="292" spans="1:26" hidden="1" x14ac:dyDescent="0.25">
      <c r="A292" s="23" t="s">
        <v>78</v>
      </c>
      <c r="B292" s="69">
        <v>7</v>
      </c>
      <c r="C292" s="69">
        <v>8</v>
      </c>
      <c r="D292" s="69">
        <v>2018</v>
      </c>
      <c r="E292" s="60">
        <v>13</v>
      </c>
      <c r="F292" s="64">
        <v>0</v>
      </c>
      <c r="G292" s="60">
        <v>17</v>
      </c>
      <c r="H292" s="64">
        <v>0</v>
      </c>
      <c r="I292" s="4" t="s">
        <v>7</v>
      </c>
      <c r="J292" s="55">
        <v>4</v>
      </c>
      <c r="K292" s="4" t="s">
        <v>12</v>
      </c>
      <c r="L292" s="28" t="s">
        <v>32</v>
      </c>
      <c r="M292" s="14" t="s">
        <v>119</v>
      </c>
      <c r="N292" s="4" t="s">
        <v>52</v>
      </c>
      <c r="O292" s="4" t="s">
        <v>52</v>
      </c>
      <c r="P292" s="4" t="s">
        <v>6</v>
      </c>
      <c r="Q292" s="50">
        <v>650</v>
      </c>
      <c r="R292" s="14" t="s">
        <v>310</v>
      </c>
      <c r="S292" s="33" t="s">
        <v>322</v>
      </c>
      <c r="T292" s="27"/>
      <c r="U292" s="97">
        <f>Q292/J292*8</f>
        <v>1300</v>
      </c>
      <c r="V292" s="98">
        <v>250</v>
      </c>
      <c r="W292" s="99">
        <f>$W$2*V292/8*J292</f>
        <v>21.875</v>
      </c>
      <c r="X292" s="99">
        <f>$X$2*V292/8*J292</f>
        <v>21.875</v>
      </c>
      <c r="Y292" s="99">
        <f>$Y$2*V292/8*J292</f>
        <v>0</v>
      </c>
      <c r="Z292" s="99">
        <f>V292-W292-X292-Y292</f>
        <v>206.25</v>
      </c>
    </row>
    <row r="293" spans="1:26" hidden="1" x14ac:dyDescent="0.25">
      <c r="A293" s="25" t="s">
        <v>551</v>
      </c>
      <c r="B293" s="65">
        <v>9</v>
      </c>
      <c r="C293" s="89">
        <v>7</v>
      </c>
      <c r="D293" s="65">
        <v>2018</v>
      </c>
      <c r="E293" s="61">
        <v>8</v>
      </c>
      <c r="F293" s="65">
        <v>0</v>
      </c>
      <c r="G293" s="61">
        <v>16</v>
      </c>
      <c r="H293" s="65">
        <v>0</v>
      </c>
      <c r="I293" s="25" t="s">
        <v>7</v>
      </c>
      <c r="J293" s="56">
        <v>8</v>
      </c>
      <c r="K293" s="25" t="s">
        <v>687</v>
      </c>
      <c r="L293" s="27" t="s">
        <v>473</v>
      </c>
      <c r="M293" s="27" t="s">
        <v>575</v>
      </c>
      <c r="N293" s="25" t="s">
        <v>52</v>
      </c>
      <c r="O293" s="25"/>
      <c r="P293" s="25" t="s">
        <v>21</v>
      </c>
      <c r="Q293" s="51">
        <v>1150</v>
      </c>
      <c r="R293" s="27"/>
      <c r="S293" s="27" t="s">
        <v>54</v>
      </c>
      <c r="T293" s="27"/>
      <c r="U293" s="97">
        <f>Q293/J293*8</f>
        <v>1150</v>
      </c>
      <c r="V293" s="98">
        <v>250</v>
      </c>
      <c r="W293" s="99">
        <f>$W$2*V293/8*J293</f>
        <v>43.75</v>
      </c>
      <c r="X293" s="99">
        <f>$X$2*V293/8*J293</f>
        <v>43.75</v>
      </c>
      <c r="Y293" s="99">
        <f>$Y$2*V293/8*J293</f>
        <v>0</v>
      </c>
      <c r="Z293" s="99">
        <f>V293-W293-X293-Y293</f>
        <v>162.5</v>
      </c>
    </row>
    <row r="294" spans="1:26" hidden="1" x14ac:dyDescent="0.25">
      <c r="A294" s="23" t="s">
        <v>78</v>
      </c>
      <c r="B294" s="69" t="s">
        <v>55</v>
      </c>
      <c r="C294" s="69">
        <v>7</v>
      </c>
      <c r="D294" s="69">
        <v>2018</v>
      </c>
      <c r="E294" s="60">
        <v>13</v>
      </c>
      <c r="F294" s="64">
        <v>0</v>
      </c>
      <c r="G294" s="60">
        <v>16</v>
      </c>
      <c r="H294" s="64">
        <v>0</v>
      </c>
      <c r="I294" s="4" t="s">
        <v>7</v>
      </c>
      <c r="J294" s="55">
        <v>4</v>
      </c>
      <c r="K294" s="4" t="s">
        <v>12</v>
      </c>
      <c r="L294" s="14" t="s">
        <v>5</v>
      </c>
      <c r="M294" s="14" t="s">
        <v>104</v>
      </c>
      <c r="N294" s="4" t="s">
        <v>52</v>
      </c>
      <c r="O294" s="4" t="s">
        <v>125</v>
      </c>
      <c r="P294" s="4" t="s">
        <v>6</v>
      </c>
      <c r="Q294" s="50">
        <v>575</v>
      </c>
      <c r="R294" s="14" t="s">
        <v>306</v>
      </c>
      <c r="S294" s="33" t="s">
        <v>322</v>
      </c>
      <c r="T294" s="33"/>
    </row>
    <row r="295" spans="1:26" x14ac:dyDescent="0.25">
      <c r="A295" s="23" t="s">
        <v>79</v>
      </c>
      <c r="B295" s="69" t="s">
        <v>56</v>
      </c>
      <c r="C295" s="67">
        <v>7</v>
      </c>
      <c r="D295" s="69">
        <v>2018</v>
      </c>
      <c r="E295" s="60">
        <v>8</v>
      </c>
      <c r="F295" s="64">
        <v>30</v>
      </c>
      <c r="G295" s="60">
        <v>12</v>
      </c>
      <c r="H295" s="64">
        <v>30</v>
      </c>
      <c r="I295" s="4" t="s">
        <v>7</v>
      </c>
      <c r="J295" s="55">
        <v>4</v>
      </c>
      <c r="K295" s="4" t="s">
        <v>12</v>
      </c>
      <c r="L295" s="14" t="s">
        <v>50</v>
      </c>
      <c r="M295" s="14" t="s">
        <v>51</v>
      </c>
      <c r="N295" s="4" t="s">
        <v>52</v>
      </c>
      <c r="O295" s="4" t="s">
        <v>53</v>
      </c>
      <c r="P295" s="4" t="s">
        <v>6</v>
      </c>
      <c r="Q295" s="50">
        <v>575</v>
      </c>
      <c r="R295" s="14" t="s">
        <v>307</v>
      </c>
      <c r="S295" s="33" t="s">
        <v>322</v>
      </c>
      <c r="T295" s="33"/>
    </row>
    <row r="296" spans="1:26" hidden="1" x14ac:dyDescent="0.25">
      <c r="A296" s="23" t="s">
        <v>80</v>
      </c>
      <c r="B296" s="69" t="s">
        <v>57</v>
      </c>
      <c r="C296" s="69">
        <v>7</v>
      </c>
      <c r="D296" s="69">
        <v>2018</v>
      </c>
      <c r="E296" s="60">
        <v>13</v>
      </c>
      <c r="F296" s="64">
        <v>0</v>
      </c>
      <c r="G296" s="60">
        <v>17</v>
      </c>
      <c r="H296" s="64">
        <v>0</v>
      </c>
      <c r="I296" s="4" t="s">
        <v>7</v>
      </c>
      <c r="J296" s="55">
        <v>4</v>
      </c>
      <c r="K296" s="4" t="s">
        <v>12</v>
      </c>
      <c r="L296" s="14" t="s">
        <v>92</v>
      </c>
      <c r="M296" s="14" t="s">
        <v>116</v>
      </c>
      <c r="N296" s="4" t="s">
        <v>52</v>
      </c>
      <c r="O296" s="4" t="s">
        <v>52</v>
      </c>
      <c r="P296" s="4" t="s">
        <v>6</v>
      </c>
      <c r="Q296" s="50">
        <v>450</v>
      </c>
      <c r="R296" s="14" t="s">
        <v>308</v>
      </c>
      <c r="S296" s="33" t="s">
        <v>322</v>
      </c>
      <c r="T296" s="33"/>
    </row>
    <row r="297" spans="1:26" hidden="1" x14ac:dyDescent="0.25">
      <c r="A297" s="23" t="s">
        <v>49</v>
      </c>
      <c r="B297" s="69" t="s">
        <v>58</v>
      </c>
      <c r="C297" s="69">
        <v>7</v>
      </c>
      <c r="D297" s="69">
        <v>2018</v>
      </c>
      <c r="E297" s="60">
        <v>11</v>
      </c>
      <c r="F297" s="64">
        <v>0</v>
      </c>
      <c r="G297" s="60">
        <v>13</v>
      </c>
      <c r="H297" s="64">
        <v>0</v>
      </c>
      <c r="I297" s="4" t="s">
        <v>16</v>
      </c>
      <c r="J297" s="55">
        <v>2</v>
      </c>
      <c r="K297" s="4" t="s">
        <v>13</v>
      </c>
      <c r="L297" s="14" t="s">
        <v>31</v>
      </c>
      <c r="M297" s="14" t="s">
        <v>118</v>
      </c>
      <c r="N297" s="4" t="s">
        <v>52</v>
      </c>
      <c r="O297" s="4" t="s">
        <v>52</v>
      </c>
      <c r="P297" s="4" t="s">
        <v>6</v>
      </c>
      <c r="Q297" s="50">
        <v>250</v>
      </c>
      <c r="R297" s="14" t="s">
        <v>309</v>
      </c>
      <c r="S297" s="33" t="s">
        <v>322</v>
      </c>
      <c r="T297" s="33"/>
      <c r="U297" s="97">
        <f>Q297/J297*8</f>
        <v>1000</v>
      </c>
      <c r="V297" s="98">
        <v>220</v>
      </c>
      <c r="W297" s="99">
        <f>$W$2*V297/8*J297</f>
        <v>9.625</v>
      </c>
      <c r="X297" s="99">
        <f>$X$2*V297/8*J297</f>
        <v>9.625</v>
      </c>
      <c r="Y297" s="99">
        <f>$Y$2*V297/8*J297</f>
        <v>0</v>
      </c>
      <c r="Z297" s="99">
        <f>V297-W297-X297-Y297</f>
        <v>200.75</v>
      </c>
    </row>
    <row r="298" spans="1:26" hidden="1" x14ac:dyDescent="0.25">
      <c r="A298" s="23" t="s">
        <v>77</v>
      </c>
      <c r="B298" s="69" t="s">
        <v>61</v>
      </c>
      <c r="C298" s="69">
        <v>7</v>
      </c>
      <c r="D298" s="69">
        <v>2018</v>
      </c>
      <c r="E298" s="60">
        <v>9</v>
      </c>
      <c r="F298" s="64">
        <v>0</v>
      </c>
      <c r="G298" s="60">
        <v>17</v>
      </c>
      <c r="H298" s="64">
        <v>0</v>
      </c>
      <c r="I298" s="4" t="s">
        <v>16</v>
      </c>
      <c r="J298" s="55">
        <v>8</v>
      </c>
      <c r="K298" s="4" t="s">
        <v>687</v>
      </c>
      <c r="L298" s="14" t="s">
        <v>99</v>
      </c>
      <c r="M298" s="14" t="s">
        <v>609</v>
      </c>
      <c r="N298" s="4" t="s">
        <v>419</v>
      </c>
      <c r="P298" s="4" t="s">
        <v>6</v>
      </c>
      <c r="S298" s="33" t="s">
        <v>322</v>
      </c>
      <c r="T298" s="33"/>
    </row>
    <row r="299" spans="1:26" hidden="1" x14ac:dyDescent="0.25">
      <c r="A299" s="23" t="s">
        <v>78</v>
      </c>
      <c r="B299" s="69" t="s">
        <v>62</v>
      </c>
      <c r="C299" s="69">
        <v>7</v>
      </c>
      <c r="D299" s="69">
        <v>2018</v>
      </c>
      <c r="E299" s="60">
        <v>9</v>
      </c>
      <c r="F299" s="64">
        <v>0</v>
      </c>
      <c r="G299" s="60">
        <v>17</v>
      </c>
      <c r="H299" s="64">
        <v>0</v>
      </c>
      <c r="I299" s="4" t="s">
        <v>16</v>
      </c>
      <c r="J299" s="55">
        <v>8</v>
      </c>
      <c r="K299" s="4" t="s">
        <v>687</v>
      </c>
      <c r="L299" s="14" t="s">
        <v>99</v>
      </c>
      <c r="M299" s="14" t="s">
        <v>609</v>
      </c>
      <c r="N299" s="4" t="s">
        <v>419</v>
      </c>
      <c r="P299" s="4" t="s">
        <v>6</v>
      </c>
      <c r="S299" s="33" t="s">
        <v>322</v>
      </c>
      <c r="T299" s="33"/>
    </row>
    <row r="300" spans="1:26" hidden="1" x14ac:dyDescent="0.25">
      <c r="A300" s="23" t="s">
        <v>79</v>
      </c>
      <c r="B300" s="69" t="s">
        <v>63</v>
      </c>
      <c r="C300" s="69">
        <v>7</v>
      </c>
      <c r="D300" s="69">
        <v>2018</v>
      </c>
      <c r="E300" s="60">
        <v>9</v>
      </c>
      <c r="F300" s="64">
        <v>0</v>
      </c>
      <c r="G300" s="60">
        <v>17</v>
      </c>
      <c r="H300" s="64">
        <v>0</v>
      </c>
      <c r="I300" s="4" t="s">
        <v>16</v>
      </c>
      <c r="J300" s="55">
        <v>8</v>
      </c>
      <c r="K300" s="4" t="s">
        <v>687</v>
      </c>
      <c r="L300" s="14" t="s">
        <v>99</v>
      </c>
      <c r="M300" s="14" t="s">
        <v>609</v>
      </c>
      <c r="N300" s="4" t="s">
        <v>419</v>
      </c>
      <c r="P300" s="4" t="s">
        <v>6</v>
      </c>
      <c r="S300" s="33" t="s">
        <v>322</v>
      </c>
      <c r="T300" s="33"/>
    </row>
    <row r="301" spans="1:26" hidden="1" x14ac:dyDescent="0.25">
      <c r="A301" s="23" t="s">
        <v>80</v>
      </c>
      <c r="B301" s="69" t="s">
        <v>64</v>
      </c>
      <c r="C301" s="69">
        <v>7</v>
      </c>
      <c r="D301" s="69">
        <v>2018</v>
      </c>
      <c r="E301" s="60">
        <v>9</v>
      </c>
      <c r="F301" s="64">
        <v>0</v>
      </c>
      <c r="G301" s="60">
        <v>17</v>
      </c>
      <c r="H301" s="64">
        <v>0</v>
      </c>
      <c r="I301" s="4" t="s">
        <v>16</v>
      </c>
      <c r="J301" s="55">
        <v>8</v>
      </c>
      <c r="K301" s="4" t="s">
        <v>687</v>
      </c>
      <c r="L301" s="14" t="s">
        <v>99</v>
      </c>
      <c r="M301" s="14" t="s">
        <v>609</v>
      </c>
      <c r="N301" s="4" t="s">
        <v>419</v>
      </c>
      <c r="P301" s="4" t="s">
        <v>6</v>
      </c>
      <c r="S301" s="33" t="s">
        <v>322</v>
      </c>
      <c r="T301" s="33"/>
    </row>
    <row r="302" spans="1:26" hidden="1" x14ac:dyDescent="0.25">
      <c r="A302" s="23" t="s">
        <v>49</v>
      </c>
      <c r="B302" s="69" t="s">
        <v>65</v>
      </c>
      <c r="C302" s="69">
        <v>7</v>
      </c>
      <c r="D302" s="69">
        <v>2018</v>
      </c>
      <c r="E302" s="60">
        <v>9</v>
      </c>
      <c r="F302" s="64">
        <v>0</v>
      </c>
      <c r="G302" s="60">
        <v>17</v>
      </c>
      <c r="H302" s="64">
        <v>0</v>
      </c>
      <c r="I302" s="4" t="s">
        <v>16</v>
      </c>
      <c r="J302" s="55">
        <v>8</v>
      </c>
      <c r="K302" s="4" t="s">
        <v>687</v>
      </c>
      <c r="L302" s="14" t="s">
        <v>99</v>
      </c>
      <c r="M302" s="14" t="s">
        <v>609</v>
      </c>
      <c r="N302" s="4" t="s">
        <v>419</v>
      </c>
      <c r="P302" s="4" t="s">
        <v>6</v>
      </c>
      <c r="S302" s="33" t="s">
        <v>322</v>
      </c>
      <c r="T302" s="33"/>
    </row>
    <row r="303" spans="1:26" hidden="1" x14ac:dyDescent="0.25">
      <c r="A303" s="23" t="s">
        <v>77</v>
      </c>
      <c r="B303" s="69" t="s">
        <v>68</v>
      </c>
      <c r="C303" s="69">
        <v>7</v>
      </c>
      <c r="D303" s="69">
        <v>2018</v>
      </c>
      <c r="E303" s="60">
        <v>9</v>
      </c>
      <c r="F303" s="64">
        <v>0</v>
      </c>
      <c r="G303" s="60">
        <v>17</v>
      </c>
      <c r="H303" s="64">
        <v>0</v>
      </c>
      <c r="I303" s="4" t="s">
        <v>16</v>
      </c>
      <c r="J303" s="55">
        <v>8</v>
      </c>
      <c r="K303" s="4" t="s">
        <v>687</v>
      </c>
      <c r="L303" s="14" t="s">
        <v>99</v>
      </c>
      <c r="M303" s="14" t="s">
        <v>609</v>
      </c>
      <c r="N303" s="4" t="s">
        <v>419</v>
      </c>
      <c r="P303" s="4" t="s">
        <v>6</v>
      </c>
      <c r="S303" s="33" t="s">
        <v>322</v>
      </c>
      <c r="T303" s="33"/>
    </row>
    <row r="304" spans="1:26" hidden="1" x14ac:dyDescent="0.25">
      <c r="A304" s="23" t="s">
        <v>78</v>
      </c>
      <c r="B304" s="69" t="s">
        <v>69</v>
      </c>
      <c r="C304" s="69">
        <v>7</v>
      </c>
      <c r="D304" s="69">
        <v>2018</v>
      </c>
      <c r="E304" s="60">
        <v>9</v>
      </c>
      <c r="F304" s="64">
        <v>0</v>
      </c>
      <c r="G304" s="60">
        <v>17</v>
      </c>
      <c r="H304" s="64">
        <v>0</v>
      </c>
      <c r="I304" s="4" t="s">
        <v>16</v>
      </c>
      <c r="J304" s="55">
        <v>8</v>
      </c>
      <c r="K304" s="4" t="s">
        <v>687</v>
      </c>
      <c r="L304" s="14" t="s">
        <v>99</v>
      </c>
      <c r="M304" s="14" t="s">
        <v>609</v>
      </c>
      <c r="N304" s="4" t="s">
        <v>419</v>
      </c>
      <c r="P304" s="4" t="s">
        <v>6</v>
      </c>
      <c r="S304" s="33" t="s">
        <v>322</v>
      </c>
      <c r="T304" s="33"/>
    </row>
    <row r="305" spans="1:26" hidden="1" x14ac:dyDescent="0.25">
      <c r="A305" s="23" t="s">
        <v>79</v>
      </c>
      <c r="B305" s="69" t="s">
        <v>70</v>
      </c>
      <c r="C305" s="69">
        <v>7</v>
      </c>
      <c r="D305" s="69">
        <v>2018</v>
      </c>
      <c r="E305" s="60">
        <v>9</v>
      </c>
      <c r="F305" s="64">
        <v>0</v>
      </c>
      <c r="G305" s="60">
        <v>17</v>
      </c>
      <c r="H305" s="64">
        <v>0</v>
      </c>
      <c r="I305" s="4" t="s">
        <v>16</v>
      </c>
      <c r="J305" s="55">
        <v>8</v>
      </c>
      <c r="K305" s="4" t="s">
        <v>687</v>
      </c>
      <c r="L305" s="14" t="s">
        <v>99</v>
      </c>
      <c r="M305" s="14" t="s">
        <v>609</v>
      </c>
      <c r="N305" s="4" t="s">
        <v>419</v>
      </c>
      <c r="P305" s="4" t="s">
        <v>6</v>
      </c>
      <c r="S305" s="33" t="s">
        <v>322</v>
      </c>
      <c r="T305" s="33"/>
    </row>
    <row r="306" spans="1:26" hidden="1" x14ac:dyDescent="0.25">
      <c r="A306" s="23" t="s">
        <v>80</v>
      </c>
      <c r="B306" s="69" t="s">
        <v>71</v>
      </c>
      <c r="C306" s="69">
        <v>7</v>
      </c>
      <c r="D306" s="69">
        <v>2018</v>
      </c>
      <c r="E306" s="60">
        <v>9</v>
      </c>
      <c r="F306" s="64">
        <v>0</v>
      </c>
      <c r="G306" s="60">
        <v>17</v>
      </c>
      <c r="H306" s="64">
        <v>0</v>
      </c>
      <c r="I306" s="4" t="s">
        <v>16</v>
      </c>
      <c r="J306" s="55">
        <v>8</v>
      </c>
      <c r="K306" s="4" t="s">
        <v>687</v>
      </c>
      <c r="L306" s="14" t="s">
        <v>99</v>
      </c>
      <c r="M306" s="14" t="s">
        <v>609</v>
      </c>
      <c r="N306" s="4" t="s">
        <v>419</v>
      </c>
      <c r="P306" s="4" t="s">
        <v>6</v>
      </c>
      <c r="S306" s="33" t="s">
        <v>322</v>
      </c>
      <c r="T306" s="33"/>
    </row>
    <row r="307" spans="1:26" hidden="1" x14ac:dyDescent="0.25">
      <c r="A307" s="23" t="s">
        <v>49</v>
      </c>
      <c r="B307" s="69" t="s">
        <v>72</v>
      </c>
      <c r="C307" s="69">
        <v>7</v>
      </c>
      <c r="D307" s="69">
        <v>2018</v>
      </c>
      <c r="E307" s="60">
        <v>9</v>
      </c>
      <c r="F307" s="64">
        <v>0</v>
      </c>
      <c r="G307" s="60">
        <v>17</v>
      </c>
      <c r="H307" s="64">
        <v>0</v>
      </c>
      <c r="I307" s="4" t="s">
        <v>16</v>
      </c>
      <c r="J307" s="55">
        <v>8</v>
      </c>
      <c r="K307" s="4" t="s">
        <v>687</v>
      </c>
      <c r="L307" s="14" t="s">
        <v>99</v>
      </c>
      <c r="M307" s="14" t="s">
        <v>609</v>
      </c>
      <c r="N307" s="4" t="s">
        <v>419</v>
      </c>
      <c r="P307" s="4" t="s">
        <v>6</v>
      </c>
      <c r="S307" s="33" t="s">
        <v>322</v>
      </c>
      <c r="T307" s="33"/>
    </row>
    <row r="308" spans="1:26" s="150" customFormat="1" hidden="1" x14ac:dyDescent="0.25">
      <c r="A308" s="23" t="s">
        <v>77</v>
      </c>
      <c r="B308" s="69" t="s">
        <v>75</v>
      </c>
      <c r="C308" s="69">
        <v>7</v>
      </c>
      <c r="D308" s="69">
        <v>2018</v>
      </c>
      <c r="E308" s="60">
        <v>9</v>
      </c>
      <c r="F308" s="64">
        <v>0</v>
      </c>
      <c r="G308" s="60">
        <v>17</v>
      </c>
      <c r="H308" s="64">
        <v>0</v>
      </c>
      <c r="I308" s="4" t="s">
        <v>16</v>
      </c>
      <c r="J308" s="55">
        <v>8</v>
      </c>
      <c r="K308" s="4" t="s">
        <v>687</v>
      </c>
      <c r="L308" s="14" t="s">
        <v>99</v>
      </c>
      <c r="M308" s="14" t="s">
        <v>609</v>
      </c>
      <c r="N308" s="4" t="s">
        <v>419</v>
      </c>
      <c r="O308" s="4"/>
      <c r="P308" s="4" t="s">
        <v>6</v>
      </c>
      <c r="Q308" s="50"/>
      <c r="R308" s="14"/>
      <c r="S308" s="33" t="s">
        <v>322</v>
      </c>
      <c r="T308" s="33"/>
      <c r="U308" s="20"/>
      <c r="V308" s="20"/>
      <c r="W308" s="20"/>
      <c r="X308" s="20"/>
      <c r="Y308" s="20"/>
      <c r="Z308" s="20"/>
    </row>
    <row r="309" spans="1:26" hidden="1" x14ac:dyDescent="0.25">
      <c r="A309" s="23" t="s">
        <v>78</v>
      </c>
      <c r="B309" s="69" t="s">
        <v>76</v>
      </c>
      <c r="C309" s="69">
        <v>7</v>
      </c>
      <c r="D309" s="69">
        <v>2018</v>
      </c>
      <c r="E309" s="60">
        <v>9</v>
      </c>
      <c r="F309" s="64">
        <v>0</v>
      </c>
      <c r="G309" s="60">
        <v>17</v>
      </c>
      <c r="H309" s="64">
        <v>0</v>
      </c>
      <c r="I309" s="4" t="s">
        <v>16</v>
      </c>
      <c r="J309" s="55">
        <v>8</v>
      </c>
      <c r="K309" s="4" t="s">
        <v>687</v>
      </c>
      <c r="L309" s="14" t="s">
        <v>99</v>
      </c>
      <c r="M309" s="14" t="s">
        <v>609</v>
      </c>
      <c r="N309" s="4" t="s">
        <v>419</v>
      </c>
      <c r="P309" s="4" t="s">
        <v>6</v>
      </c>
      <c r="S309" s="33" t="s">
        <v>322</v>
      </c>
      <c r="T309" s="33"/>
    </row>
    <row r="310" spans="1:26" hidden="1" x14ac:dyDescent="0.25">
      <c r="A310" s="25" t="s">
        <v>552</v>
      </c>
      <c r="B310" s="65">
        <v>1</v>
      </c>
      <c r="C310" s="72">
        <v>8</v>
      </c>
      <c r="D310" s="65">
        <v>2018</v>
      </c>
      <c r="E310" s="61">
        <v>8</v>
      </c>
      <c r="F310" s="65">
        <v>0</v>
      </c>
      <c r="G310" s="61">
        <v>12</v>
      </c>
      <c r="H310" s="65">
        <v>0</v>
      </c>
      <c r="I310" s="25" t="s">
        <v>16</v>
      </c>
      <c r="J310" s="56">
        <v>4</v>
      </c>
      <c r="K310" s="25" t="s">
        <v>13</v>
      </c>
      <c r="L310" s="27" t="s">
        <v>474</v>
      </c>
      <c r="M310" s="14" t="s">
        <v>121</v>
      </c>
      <c r="N310" s="25" t="s">
        <v>52</v>
      </c>
      <c r="O310" s="25" t="s">
        <v>52</v>
      </c>
      <c r="P310" s="25" t="s">
        <v>27</v>
      </c>
      <c r="Q310" s="51">
        <v>500</v>
      </c>
      <c r="R310" s="27"/>
      <c r="S310" s="27" t="s">
        <v>54</v>
      </c>
      <c r="T310" s="27"/>
      <c r="U310" s="97">
        <f>Q310/J310*8</f>
        <v>1000</v>
      </c>
      <c r="V310" s="98">
        <v>220</v>
      </c>
      <c r="W310" s="99">
        <f>$W$2*V310/8*J310</f>
        <v>19.25</v>
      </c>
      <c r="X310" s="99">
        <f>$X$2*V310/8*J310</f>
        <v>19.25</v>
      </c>
      <c r="Y310" s="99">
        <f>$Y$2*V310/8*J310</f>
        <v>0</v>
      </c>
      <c r="Z310" s="99">
        <f>V310-W310-X310-Y310</f>
        <v>181.5</v>
      </c>
    </row>
    <row r="311" spans="1:26" hidden="1" x14ac:dyDescent="0.25">
      <c r="A311" s="23" t="s">
        <v>79</v>
      </c>
      <c r="B311" s="69">
        <v>1</v>
      </c>
      <c r="C311" s="69">
        <v>8</v>
      </c>
      <c r="D311" s="69">
        <v>2018</v>
      </c>
      <c r="E311" s="60">
        <v>9</v>
      </c>
      <c r="F311" s="64">
        <v>0</v>
      </c>
      <c r="G311" s="60">
        <v>17</v>
      </c>
      <c r="H311" s="64">
        <v>0</v>
      </c>
      <c r="I311" s="4" t="s">
        <v>16</v>
      </c>
      <c r="J311" s="55">
        <v>8</v>
      </c>
      <c r="K311" s="4" t="s">
        <v>687</v>
      </c>
      <c r="L311" s="14" t="s">
        <v>99</v>
      </c>
      <c r="M311" s="14" t="s">
        <v>609</v>
      </c>
      <c r="N311" s="4" t="s">
        <v>419</v>
      </c>
      <c r="P311" s="4" t="s">
        <v>6</v>
      </c>
      <c r="S311" s="14" t="s">
        <v>417</v>
      </c>
    </row>
    <row r="312" spans="1:26" hidden="1" x14ac:dyDescent="0.25">
      <c r="A312" s="25" t="s">
        <v>551</v>
      </c>
      <c r="B312" s="65">
        <v>2</v>
      </c>
      <c r="C312" s="72">
        <v>8</v>
      </c>
      <c r="D312" s="65">
        <v>2018</v>
      </c>
      <c r="E312" s="61">
        <v>8</v>
      </c>
      <c r="F312" s="65">
        <v>0</v>
      </c>
      <c r="G312" s="61">
        <v>12</v>
      </c>
      <c r="H312" s="65">
        <v>0</v>
      </c>
      <c r="I312" s="25" t="s">
        <v>16</v>
      </c>
      <c r="J312" s="56">
        <v>4</v>
      </c>
      <c r="K312" s="25" t="s">
        <v>13</v>
      </c>
      <c r="L312" s="27" t="s">
        <v>474</v>
      </c>
      <c r="M312" s="14" t="s">
        <v>121</v>
      </c>
      <c r="N312" s="25" t="s">
        <v>52</v>
      </c>
      <c r="O312" s="25" t="s">
        <v>52</v>
      </c>
      <c r="P312" s="25" t="s">
        <v>27</v>
      </c>
      <c r="Q312" s="51">
        <v>500</v>
      </c>
      <c r="R312" s="27"/>
      <c r="S312" s="27" t="s">
        <v>54</v>
      </c>
      <c r="T312" s="27"/>
      <c r="U312" s="97">
        <f>Q312/J312*8</f>
        <v>1000</v>
      </c>
      <c r="V312" s="98">
        <v>220</v>
      </c>
      <c r="W312" s="99">
        <f>$W$2*V312/8*J312</f>
        <v>19.25</v>
      </c>
      <c r="X312" s="99">
        <f>$X$2*V312/8*J312</f>
        <v>19.25</v>
      </c>
      <c r="Y312" s="99">
        <f>$Y$2*V312/8*J312</f>
        <v>0</v>
      </c>
      <c r="Z312" s="99">
        <f>V312-W312-X312-Y312</f>
        <v>181.5</v>
      </c>
    </row>
    <row r="313" spans="1:26" hidden="1" x14ac:dyDescent="0.25">
      <c r="A313" s="23" t="s">
        <v>80</v>
      </c>
      <c r="B313" s="69">
        <v>2</v>
      </c>
      <c r="C313" s="69">
        <v>8</v>
      </c>
      <c r="D313" s="69">
        <v>2018</v>
      </c>
      <c r="E313" s="60">
        <v>9</v>
      </c>
      <c r="F313" s="64">
        <v>0</v>
      </c>
      <c r="G313" s="60">
        <v>17</v>
      </c>
      <c r="H313" s="64">
        <v>0</v>
      </c>
      <c r="I313" s="4" t="s">
        <v>16</v>
      </c>
      <c r="J313" s="55">
        <v>8</v>
      </c>
      <c r="K313" s="4" t="s">
        <v>687</v>
      </c>
      <c r="L313" s="14" t="s">
        <v>99</v>
      </c>
      <c r="M313" s="14" t="s">
        <v>609</v>
      </c>
      <c r="N313" s="4" t="s">
        <v>419</v>
      </c>
      <c r="P313" s="4" t="s">
        <v>6</v>
      </c>
      <c r="S313" s="14" t="s">
        <v>417</v>
      </c>
    </row>
    <row r="314" spans="1:26" hidden="1" x14ac:dyDescent="0.25">
      <c r="A314" s="25" t="s">
        <v>555</v>
      </c>
      <c r="B314" s="65">
        <v>3</v>
      </c>
      <c r="C314" s="72">
        <v>8</v>
      </c>
      <c r="D314" s="65">
        <v>2018</v>
      </c>
      <c r="E314" s="61">
        <v>8</v>
      </c>
      <c r="F314" s="65">
        <v>0</v>
      </c>
      <c r="G314" s="61">
        <v>12</v>
      </c>
      <c r="H314" s="65">
        <v>0</v>
      </c>
      <c r="I314" s="25" t="s">
        <v>16</v>
      </c>
      <c r="J314" s="56">
        <v>4</v>
      </c>
      <c r="K314" s="25" t="s">
        <v>13</v>
      </c>
      <c r="L314" s="27" t="s">
        <v>470</v>
      </c>
      <c r="M314" s="27" t="s">
        <v>120</v>
      </c>
      <c r="N314" s="25" t="s">
        <v>52</v>
      </c>
      <c r="O314" s="25"/>
      <c r="P314" s="25" t="s">
        <v>27</v>
      </c>
      <c r="Q314" s="51">
        <v>500</v>
      </c>
      <c r="R314" s="27" t="s">
        <v>560</v>
      </c>
      <c r="S314" s="33" t="s">
        <v>322</v>
      </c>
      <c r="T314" s="33"/>
      <c r="U314" s="45"/>
      <c r="V314" s="45"/>
      <c r="W314" s="45"/>
      <c r="X314" s="45"/>
      <c r="Y314" s="45"/>
      <c r="Z314" s="45"/>
    </row>
    <row r="315" spans="1:26" hidden="1" x14ac:dyDescent="0.25">
      <c r="A315" s="23" t="s">
        <v>49</v>
      </c>
      <c r="B315" s="69">
        <v>3</v>
      </c>
      <c r="C315" s="69">
        <v>8</v>
      </c>
      <c r="D315" s="69">
        <v>2018</v>
      </c>
      <c r="E315" s="60">
        <v>9</v>
      </c>
      <c r="F315" s="64">
        <v>0</v>
      </c>
      <c r="G315" s="60">
        <v>17</v>
      </c>
      <c r="H315" s="64">
        <v>0</v>
      </c>
      <c r="I315" s="4" t="s">
        <v>16</v>
      </c>
      <c r="J315" s="55">
        <v>8</v>
      </c>
      <c r="K315" s="4" t="s">
        <v>687</v>
      </c>
      <c r="L315" s="14" t="s">
        <v>99</v>
      </c>
      <c r="M315" s="14" t="s">
        <v>609</v>
      </c>
      <c r="N315" s="4" t="s">
        <v>419</v>
      </c>
      <c r="P315" s="4" t="s">
        <v>6</v>
      </c>
      <c r="S315" s="14" t="s">
        <v>417</v>
      </c>
    </row>
    <row r="316" spans="1:26" hidden="1" x14ac:dyDescent="0.25">
      <c r="A316" s="23" t="s">
        <v>77</v>
      </c>
      <c r="B316" s="69">
        <v>6</v>
      </c>
      <c r="C316" s="69">
        <v>8</v>
      </c>
      <c r="D316" s="69">
        <v>2018</v>
      </c>
      <c r="E316" s="60">
        <v>9</v>
      </c>
      <c r="F316" s="64">
        <v>0</v>
      </c>
      <c r="G316" s="60">
        <v>17</v>
      </c>
      <c r="H316" s="64">
        <v>0</v>
      </c>
      <c r="I316" s="4" t="s">
        <v>16</v>
      </c>
      <c r="J316" s="55">
        <v>8</v>
      </c>
      <c r="K316" s="4" t="s">
        <v>687</v>
      </c>
      <c r="L316" s="14" t="s">
        <v>99</v>
      </c>
      <c r="M316" s="14" t="s">
        <v>609</v>
      </c>
      <c r="N316" s="4" t="s">
        <v>419</v>
      </c>
      <c r="P316" s="4" t="s">
        <v>6</v>
      </c>
      <c r="S316" s="14" t="s">
        <v>417</v>
      </c>
    </row>
    <row r="317" spans="1:26" hidden="1" x14ac:dyDescent="0.25">
      <c r="A317" s="44" t="s">
        <v>557</v>
      </c>
      <c r="B317" s="72">
        <v>7</v>
      </c>
      <c r="C317" s="72">
        <v>8</v>
      </c>
      <c r="D317" s="72">
        <v>2018</v>
      </c>
      <c r="E317" s="61">
        <v>8</v>
      </c>
      <c r="F317" s="65">
        <v>0</v>
      </c>
      <c r="G317" s="151">
        <v>10</v>
      </c>
      <c r="H317" s="152">
        <v>0</v>
      </c>
      <c r="I317" s="140" t="s">
        <v>16</v>
      </c>
      <c r="J317" s="153">
        <v>2</v>
      </c>
      <c r="K317" s="140" t="s">
        <v>13</v>
      </c>
      <c r="L317" s="154" t="s">
        <v>470</v>
      </c>
      <c r="M317" s="29" t="s">
        <v>120</v>
      </c>
      <c r="N317" s="140" t="s">
        <v>52</v>
      </c>
      <c r="O317" s="140" t="s">
        <v>52</v>
      </c>
      <c r="P317" s="140" t="s">
        <v>6</v>
      </c>
      <c r="Q317" s="50">
        <v>250</v>
      </c>
      <c r="R317" s="29" t="s">
        <v>311</v>
      </c>
      <c r="S317" s="33" t="s">
        <v>322</v>
      </c>
      <c r="T317" s="33"/>
      <c r="U317" s="150"/>
      <c r="V317" s="150"/>
      <c r="W317" s="150"/>
      <c r="X317" s="150"/>
      <c r="Y317" s="150"/>
      <c r="Z317" s="150"/>
    </row>
    <row r="318" spans="1:26" hidden="1" x14ac:dyDescent="0.25">
      <c r="A318" s="23" t="s">
        <v>78</v>
      </c>
      <c r="B318" s="69">
        <v>7</v>
      </c>
      <c r="C318" s="69">
        <v>8</v>
      </c>
      <c r="D318" s="69">
        <v>2018</v>
      </c>
      <c r="E318" s="60">
        <v>8</v>
      </c>
      <c r="F318" s="64">
        <v>0</v>
      </c>
      <c r="G318" s="60">
        <v>10</v>
      </c>
      <c r="H318" s="64">
        <v>0</v>
      </c>
      <c r="I318" s="4" t="s">
        <v>16</v>
      </c>
      <c r="J318" s="55">
        <v>2</v>
      </c>
      <c r="K318" s="4" t="s">
        <v>13</v>
      </c>
      <c r="L318" s="28" t="s">
        <v>33</v>
      </c>
      <c r="M318" s="14" t="s">
        <v>121</v>
      </c>
      <c r="N318" s="4" t="s">
        <v>52</v>
      </c>
      <c r="O318" s="4" t="s">
        <v>52</v>
      </c>
      <c r="P318" s="4" t="s">
        <v>6</v>
      </c>
      <c r="Q318" s="50">
        <v>250</v>
      </c>
      <c r="R318" s="14" t="s">
        <v>312</v>
      </c>
      <c r="S318" s="14" t="s">
        <v>417</v>
      </c>
      <c r="U318" s="97">
        <f>Q318/J318*8</f>
        <v>1000</v>
      </c>
      <c r="V318" s="98">
        <v>220</v>
      </c>
      <c r="W318" s="99">
        <f>$W$2*V318/8*J318</f>
        <v>9.625</v>
      </c>
      <c r="X318" s="99">
        <f>$X$2*V318/8*J318</f>
        <v>9.625</v>
      </c>
      <c r="Y318" s="99">
        <f>$Y$2*V318/8*J318</f>
        <v>0</v>
      </c>
      <c r="Z318" s="99">
        <f>V318-W318-X318-Y318</f>
        <v>200.75</v>
      </c>
    </row>
    <row r="319" spans="1:26" hidden="1" x14ac:dyDescent="0.25">
      <c r="A319" s="44" t="s">
        <v>551</v>
      </c>
      <c r="B319" s="72">
        <v>9</v>
      </c>
      <c r="C319" s="72">
        <v>8</v>
      </c>
      <c r="D319" s="72">
        <v>2018</v>
      </c>
      <c r="E319" s="61">
        <v>9</v>
      </c>
      <c r="F319" s="65">
        <v>0</v>
      </c>
      <c r="G319" s="61">
        <v>17</v>
      </c>
      <c r="H319" s="65">
        <v>0</v>
      </c>
      <c r="I319" s="25" t="s">
        <v>7</v>
      </c>
      <c r="J319" s="56">
        <v>8</v>
      </c>
      <c r="K319" s="25" t="s">
        <v>687</v>
      </c>
      <c r="L319" s="27" t="s">
        <v>473</v>
      </c>
      <c r="M319" s="27" t="s">
        <v>575</v>
      </c>
      <c r="N319" s="25" t="s">
        <v>52</v>
      </c>
      <c r="O319" s="25" t="s">
        <v>577</v>
      </c>
      <c r="P319" s="25" t="s">
        <v>21</v>
      </c>
      <c r="Q319" s="51">
        <v>1150</v>
      </c>
      <c r="R319" s="27" t="s">
        <v>578</v>
      </c>
      <c r="S319" s="27" t="s">
        <v>54</v>
      </c>
      <c r="T319" s="27"/>
      <c r="U319" s="97">
        <f>Q319/J319*8</f>
        <v>1150</v>
      </c>
      <c r="V319" s="98">
        <v>220</v>
      </c>
      <c r="W319" s="99">
        <f>$W$2*V319/8*J319</f>
        <v>38.5</v>
      </c>
      <c r="X319" s="99">
        <f>$X$2*V319/8*J319</f>
        <v>38.5</v>
      </c>
      <c r="Y319" s="99">
        <f>$Y$2*V319/8*J319</f>
        <v>0</v>
      </c>
      <c r="Z319" s="99">
        <f>V319-W319-X319-Y319</f>
        <v>143</v>
      </c>
    </row>
    <row r="320" spans="1:26" hidden="1" x14ac:dyDescent="0.25">
      <c r="A320" s="25" t="s">
        <v>551</v>
      </c>
      <c r="B320" s="65">
        <v>10</v>
      </c>
      <c r="C320" s="89">
        <v>7</v>
      </c>
      <c r="D320" s="65">
        <v>2018</v>
      </c>
      <c r="E320" s="61">
        <v>8</v>
      </c>
      <c r="F320" s="65">
        <v>0</v>
      </c>
      <c r="G320" s="61">
        <v>16</v>
      </c>
      <c r="H320" s="65">
        <v>0</v>
      </c>
      <c r="I320" s="25" t="s">
        <v>7</v>
      </c>
      <c r="J320" s="56">
        <v>8</v>
      </c>
      <c r="K320" s="25" t="s">
        <v>687</v>
      </c>
      <c r="L320" s="27" t="s">
        <v>473</v>
      </c>
      <c r="M320" s="27" t="s">
        <v>575</v>
      </c>
      <c r="N320" s="25" t="s">
        <v>52</v>
      </c>
      <c r="O320" s="25"/>
      <c r="P320" s="25" t="s">
        <v>21</v>
      </c>
      <c r="Q320" s="51">
        <v>1150</v>
      </c>
      <c r="R320" s="27"/>
      <c r="S320" s="27" t="s">
        <v>54</v>
      </c>
      <c r="T320" s="27"/>
      <c r="U320" s="97">
        <f>Q320/J320*8</f>
        <v>1150</v>
      </c>
      <c r="V320" s="98">
        <v>220</v>
      </c>
      <c r="W320" s="99">
        <f>$W$2*V320/8*J320</f>
        <v>38.5</v>
      </c>
      <c r="X320" s="99">
        <f>$X$2*V320/8*J320</f>
        <v>38.5</v>
      </c>
      <c r="Y320" s="99">
        <f>$Y$2*V320/8*J320</f>
        <v>0</v>
      </c>
      <c r="Z320" s="99">
        <f>V320-W320-X320-Y320</f>
        <v>143</v>
      </c>
    </row>
    <row r="321" spans="1:26" hidden="1" x14ac:dyDescent="0.25">
      <c r="A321" s="23" t="s">
        <v>79</v>
      </c>
      <c r="B321" s="69">
        <v>8</v>
      </c>
      <c r="C321" s="69">
        <v>8</v>
      </c>
      <c r="D321" s="69">
        <v>2018</v>
      </c>
      <c r="E321" s="60">
        <v>9</v>
      </c>
      <c r="F321" s="64">
        <v>0</v>
      </c>
      <c r="G321" s="60">
        <v>17</v>
      </c>
      <c r="H321" s="64">
        <v>0</v>
      </c>
      <c r="I321" s="4" t="s">
        <v>7</v>
      </c>
      <c r="J321" s="55">
        <v>8</v>
      </c>
      <c r="K321" s="4" t="s">
        <v>687</v>
      </c>
      <c r="L321" s="28" t="s">
        <v>33</v>
      </c>
      <c r="M321" s="14" t="s">
        <v>121</v>
      </c>
      <c r="N321" s="4" t="s">
        <v>52</v>
      </c>
      <c r="O321" s="4" t="s">
        <v>52</v>
      </c>
      <c r="P321" s="4" t="s">
        <v>6</v>
      </c>
      <c r="Q321" s="50">
        <v>1150</v>
      </c>
      <c r="R321" s="14" t="s">
        <v>616</v>
      </c>
      <c r="S321" s="14" t="s">
        <v>417</v>
      </c>
      <c r="U321" s="97">
        <f>Q321/J321*8</f>
        <v>1150</v>
      </c>
      <c r="V321" s="98">
        <v>250</v>
      </c>
      <c r="W321" s="99">
        <f>$W$2*V321/8*J321</f>
        <v>43.75</v>
      </c>
      <c r="X321" s="99">
        <f>$X$2*V321/8*J321</f>
        <v>43.75</v>
      </c>
      <c r="Y321" s="99">
        <f>$Y$2*V321/8*J321</f>
        <v>0</v>
      </c>
      <c r="Z321" s="99">
        <f>V321-W321-X321-Y321</f>
        <v>162.5</v>
      </c>
    </row>
    <row r="322" spans="1:26" hidden="1" x14ac:dyDescent="0.25">
      <c r="A322" s="23" t="s">
        <v>80</v>
      </c>
      <c r="B322" s="69">
        <v>9</v>
      </c>
      <c r="C322" s="69">
        <v>8</v>
      </c>
      <c r="D322" s="69">
        <v>2018</v>
      </c>
      <c r="E322" s="60">
        <v>7</v>
      </c>
      <c r="F322" s="64">
        <v>30</v>
      </c>
      <c r="G322" s="60">
        <v>8</v>
      </c>
      <c r="H322" s="64">
        <v>0</v>
      </c>
      <c r="I322" s="4" t="s">
        <v>16</v>
      </c>
      <c r="J322" s="55">
        <v>0.5</v>
      </c>
      <c r="K322" s="4" t="s">
        <v>13</v>
      </c>
      <c r="L322" s="28" t="s">
        <v>33</v>
      </c>
      <c r="M322" s="14" t="s">
        <v>121</v>
      </c>
      <c r="N322" s="4" t="s">
        <v>52</v>
      </c>
      <c r="O322" s="4" t="s">
        <v>52</v>
      </c>
      <c r="P322" s="4" t="s">
        <v>6</v>
      </c>
      <c r="Q322" s="50">
        <v>62.5</v>
      </c>
      <c r="R322" s="14" t="s">
        <v>313</v>
      </c>
      <c r="S322" s="14" t="s">
        <v>417</v>
      </c>
      <c r="U322" s="97">
        <f>Q322/J322*8</f>
        <v>1000</v>
      </c>
      <c r="V322" s="98">
        <v>220</v>
      </c>
      <c r="W322" s="99">
        <f>$W$2*V322/8*J322</f>
        <v>2.40625</v>
      </c>
      <c r="X322" s="99">
        <f>$X$2*V322/8*J322</f>
        <v>2.40625</v>
      </c>
      <c r="Y322" s="99">
        <f>$Y$2*V322/8*J322</f>
        <v>0</v>
      </c>
      <c r="Z322" s="99">
        <f>V322-W322-X322-Y322</f>
        <v>215.1875</v>
      </c>
    </row>
    <row r="323" spans="1:26" hidden="1" x14ac:dyDescent="0.25">
      <c r="A323" s="25" t="s">
        <v>551</v>
      </c>
      <c r="B323" s="65">
        <v>9</v>
      </c>
      <c r="C323" s="72">
        <v>8</v>
      </c>
      <c r="D323" s="65">
        <v>2018</v>
      </c>
      <c r="E323" s="61">
        <v>8</v>
      </c>
      <c r="F323" s="65">
        <v>0</v>
      </c>
      <c r="G323" s="61">
        <v>12</v>
      </c>
      <c r="H323" s="65">
        <v>0</v>
      </c>
      <c r="I323" s="25" t="s">
        <v>7</v>
      </c>
      <c r="J323" s="56">
        <v>4</v>
      </c>
      <c r="K323" s="25" t="s">
        <v>12</v>
      </c>
      <c r="L323" s="27" t="s">
        <v>470</v>
      </c>
      <c r="M323" s="27" t="s">
        <v>120</v>
      </c>
      <c r="N323" s="25" t="s">
        <v>52</v>
      </c>
      <c r="O323" s="25"/>
      <c r="P323" s="25" t="s">
        <v>27</v>
      </c>
      <c r="Q323" s="51">
        <v>650</v>
      </c>
      <c r="R323" s="27" t="s">
        <v>561</v>
      </c>
      <c r="S323" s="33" t="s">
        <v>322</v>
      </c>
      <c r="T323" s="33"/>
      <c r="U323" s="45"/>
      <c r="V323" s="45"/>
      <c r="W323" s="45"/>
      <c r="X323" s="45"/>
      <c r="Y323" s="45"/>
      <c r="Z323" s="45"/>
    </row>
    <row r="324" spans="1:26" hidden="1" x14ac:dyDescent="0.25">
      <c r="A324" s="23" t="s">
        <v>80</v>
      </c>
      <c r="B324" s="69">
        <v>9</v>
      </c>
      <c r="C324" s="69">
        <v>8</v>
      </c>
      <c r="D324" s="69">
        <v>2018</v>
      </c>
      <c r="E324" s="60">
        <v>9</v>
      </c>
      <c r="F324" s="64">
        <v>0</v>
      </c>
      <c r="G324" s="60">
        <v>13</v>
      </c>
      <c r="H324" s="64">
        <v>0</v>
      </c>
      <c r="I324" s="4" t="s">
        <v>7</v>
      </c>
      <c r="J324" s="55">
        <v>4</v>
      </c>
      <c r="K324" s="4" t="s">
        <v>12</v>
      </c>
      <c r="L324" s="28" t="s">
        <v>34</v>
      </c>
      <c r="M324" s="27" t="s">
        <v>536</v>
      </c>
      <c r="N324" s="4" t="s">
        <v>52</v>
      </c>
      <c r="P324" s="4" t="s">
        <v>6</v>
      </c>
      <c r="Q324" s="50">
        <v>650</v>
      </c>
      <c r="R324" s="14" t="s">
        <v>301</v>
      </c>
      <c r="S324" s="33" t="s">
        <v>322</v>
      </c>
      <c r="T324" s="33"/>
      <c r="U324" s="97">
        <f>Q324/J324*8</f>
        <v>1300</v>
      </c>
      <c r="V324" s="98">
        <v>250</v>
      </c>
      <c r="W324" s="99">
        <f>$W$2*V324/8*J324</f>
        <v>21.875</v>
      </c>
      <c r="X324" s="99">
        <f>$X$2*V324/8*J324</f>
        <v>21.875</v>
      </c>
      <c r="Y324" s="99">
        <f>$Y$2*V324/8*J324</f>
        <v>0</v>
      </c>
      <c r="Z324" s="99">
        <f>V324-W324-X324-Y324</f>
        <v>206.25</v>
      </c>
    </row>
    <row r="325" spans="1:26" hidden="1" x14ac:dyDescent="0.25">
      <c r="A325" s="44" t="s">
        <v>555</v>
      </c>
      <c r="B325" s="90">
        <v>10</v>
      </c>
      <c r="C325" s="90">
        <v>8</v>
      </c>
      <c r="D325" s="72">
        <v>2018</v>
      </c>
      <c r="E325" s="61">
        <v>8</v>
      </c>
      <c r="F325" s="65">
        <v>0</v>
      </c>
      <c r="G325" s="61">
        <v>12</v>
      </c>
      <c r="H325" s="65">
        <v>0</v>
      </c>
      <c r="I325" s="25" t="s">
        <v>7</v>
      </c>
      <c r="J325" s="56">
        <v>4</v>
      </c>
      <c r="K325" s="25" t="s">
        <v>12</v>
      </c>
      <c r="L325" s="27" t="s">
        <v>473</v>
      </c>
      <c r="M325" s="27" t="s">
        <v>575</v>
      </c>
      <c r="N325" s="25" t="s">
        <v>52</v>
      </c>
      <c r="O325" s="25" t="s">
        <v>577</v>
      </c>
      <c r="P325" s="25" t="s">
        <v>21</v>
      </c>
      <c r="Q325" s="51">
        <v>650</v>
      </c>
      <c r="R325" s="27" t="s">
        <v>579</v>
      </c>
      <c r="S325" s="27" t="s">
        <v>54</v>
      </c>
      <c r="T325" s="27"/>
      <c r="U325" s="97">
        <f>Q325/J325*8</f>
        <v>1300</v>
      </c>
      <c r="V325" s="98">
        <v>220</v>
      </c>
      <c r="W325" s="99">
        <f>$W$2*V325/8*J325</f>
        <v>19.25</v>
      </c>
      <c r="X325" s="99">
        <f>$X$2*V325/8*J325</f>
        <v>19.25</v>
      </c>
      <c r="Y325" s="99">
        <f>$Y$2*V325/8*J325</f>
        <v>0</v>
      </c>
      <c r="Z325" s="99">
        <f>V325-W325-X325-Y325</f>
        <v>181.5</v>
      </c>
    </row>
    <row r="326" spans="1:26" s="149" customFormat="1" hidden="1" x14ac:dyDescent="0.25">
      <c r="A326" s="23" t="s">
        <v>80</v>
      </c>
      <c r="B326" s="69">
        <v>9</v>
      </c>
      <c r="C326" s="69">
        <v>8</v>
      </c>
      <c r="D326" s="69">
        <v>2018</v>
      </c>
      <c r="E326" s="60">
        <v>14</v>
      </c>
      <c r="F326" s="64">
        <v>0</v>
      </c>
      <c r="G326" s="60">
        <v>18</v>
      </c>
      <c r="H326" s="64">
        <v>0</v>
      </c>
      <c r="I326" s="4" t="s">
        <v>7</v>
      </c>
      <c r="J326" s="55">
        <v>4</v>
      </c>
      <c r="K326" s="4" t="s">
        <v>12</v>
      </c>
      <c r="L326" s="28" t="s">
        <v>470</v>
      </c>
      <c r="M326" s="14" t="s">
        <v>120</v>
      </c>
      <c r="N326" s="4" t="s">
        <v>52</v>
      </c>
      <c r="O326" s="4" t="s">
        <v>52</v>
      </c>
      <c r="P326" s="4" t="s">
        <v>6</v>
      </c>
      <c r="Q326" s="50">
        <v>650</v>
      </c>
      <c r="R326" s="14" t="s">
        <v>314</v>
      </c>
      <c r="S326" s="33" t="s">
        <v>322</v>
      </c>
      <c r="T326" s="33"/>
      <c r="U326" s="20"/>
      <c r="V326" s="20"/>
      <c r="W326" s="20"/>
      <c r="X326" s="20"/>
      <c r="Y326" s="20"/>
      <c r="Z326" s="20"/>
    </row>
    <row r="327" spans="1:26" x14ac:dyDescent="0.25">
      <c r="A327" s="23" t="s">
        <v>49</v>
      </c>
      <c r="B327" s="69">
        <v>24</v>
      </c>
      <c r="C327" s="69">
        <v>8</v>
      </c>
      <c r="D327" s="69">
        <v>2018</v>
      </c>
      <c r="E327" s="60">
        <v>8</v>
      </c>
      <c r="F327" s="64">
        <v>30</v>
      </c>
      <c r="G327" s="60">
        <v>11</v>
      </c>
      <c r="H327" s="64">
        <v>30</v>
      </c>
      <c r="I327" s="4" t="s">
        <v>7</v>
      </c>
      <c r="J327" s="55">
        <v>3</v>
      </c>
      <c r="K327" s="4" t="s">
        <v>13</v>
      </c>
      <c r="L327" s="27" t="s">
        <v>50</v>
      </c>
      <c r="M327" s="27" t="s">
        <v>51</v>
      </c>
      <c r="N327" s="25" t="s">
        <v>52</v>
      </c>
      <c r="O327" s="4" t="s">
        <v>53</v>
      </c>
      <c r="P327" s="25" t="s">
        <v>6</v>
      </c>
      <c r="Q327" s="51">
        <v>356.25</v>
      </c>
      <c r="R327" s="26" t="s">
        <v>315</v>
      </c>
      <c r="S327" s="33" t="s">
        <v>322</v>
      </c>
      <c r="T327" s="33"/>
    </row>
    <row r="328" spans="1:26" hidden="1" x14ac:dyDescent="0.25">
      <c r="A328" s="44" t="s">
        <v>555</v>
      </c>
      <c r="B328" s="72">
        <v>17</v>
      </c>
      <c r="C328" s="72">
        <v>8</v>
      </c>
      <c r="D328" s="72">
        <v>2018</v>
      </c>
      <c r="E328" s="61">
        <v>15</v>
      </c>
      <c r="F328" s="65">
        <v>0</v>
      </c>
      <c r="G328" s="61">
        <v>17</v>
      </c>
      <c r="H328" s="65">
        <v>30</v>
      </c>
      <c r="I328" s="25" t="s">
        <v>16</v>
      </c>
      <c r="J328" s="56" t="s">
        <v>581</v>
      </c>
      <c r="K328" s="25" t="s">
        <v>13</v>
      </c>
      <c r="L328" s="27" t="s">
        <v>473</v>
      </c>
      <c r="M328" s="27" t="s">
        <v>575</v>
      </c>
      <c r="N328" s="25" t="s">
        <v>52</v>
      </c>
      <c r="O328" s="25" t="s">
        <v>577</v>
      </c>
      <c r="P328" s="25" t="s">
        <v>21</v>
      </c>
      <c r="Q328" s="51">
        <v>312.5</v>
      </c>
      <c r="R328" s="27" t="s">
        <v>582</v>
      </c>
      <c r="S328" s="27" t="s">
        <v>54</v>
      </c>
      <c r="T328" s="27"/>
      <c r="U328" s="97">
        <f>Q328/J328*8</f>
        <v>1000</v>
      </c>
      <c r="V328" s="98">
        <v>220</v>
      </c>
      <c r="W328" s="99">
        <f>$W$2*V328/8*J328</f>
        <v>12.03125</v>
      </c>
      <c r="X328" s="99">
        <f>$X$2*V328/8*J328</f>
        <v>12.03125</v>
      </c>
      <c r="Y328" s="99">
        <f>$Y$2*V328/8*J328</f>
        <v>0</v>
      </c>
      <c r="Z328" s="99">
        <f>V328-W328-X328-Y328</f>
        <v>195.9375</v>
      </c>
    </row>
    <row r="329" spans="1:26" s="45" customFormat="1" hidden="1" x14ac:dyDescent="0.25">
      <c r="A329" s="23" t="s">
        <v>77</v>
      </c>
      <c r="B329" s="69" t="s">
        <v>58</v>
      </c>
      <c r="C329" s="69">
        <v>8</v>
      </c>
      <c r="D329" s="69">
        <v>2018</v>
      </c>
      <c r="E329" s="60">
        <v>8</v>
      </c>
      <c r="F329" s="64">
        <v>0</v>
      </c>
      <c r="G329" s="60">
        <v>10</v>
      </c>
      <c r="H329" s="64">
        <v>0</v>
      </c>
      <c r="I329" s="4" t="s">
        <v>16</v>
      </c>
      <c r="J329" s="55">
        <v>1.5</v>
      </c>
      <c r="K329" s="4" t="s">
        <v>13</v>
      </c>
      <c r="L329" s="28" t="s">
        <v>33</v>
      </c>
      <c r="M329" s="14" t="s">
        <v>121</v>
      </c>
      <c r="N329" s="4" t="s">
        <v>52</v>
      </c>
      <c r="O329" s="4" t="s">
        <v>52</v>
      </c>
      <c r="P329" s="4" t="s">
        <v>6</v>
      </c>
      <c r="Q329" s="50">
        <v>187.5</v>
      </c>
      <c r="R329" s="14" t="s">
        <v>617</v>
      </c>
      <c r="S329" s="14" t="s">
        <v>417</v>
      </c>
      <c r="T329" s="14"/>
      <c r="U329" s="97">
        <f>Q329/J329*8</f>
        <v>1000</v>
      </c>
      <c r="V329" s="98">
        <v>220</v>
      </c>
      <c r="W329" s="99">
        <f>$W$2*V329/8*J329</f>
        <v>7.21875</v>
      </c>
      <c r="X329" s="99">
        <f>$X$2*V329/8*J329</f>
        <v>7.21875</v>
      </c>
      <c r="Y329" s="99">
        <f>$Y$2*V329/8*J329</f>
        <v>0</v>
      </c>
      <c r="Z329" s="99">
        <f>V329-W329-X329-Y329</f>
        <v>205.5625</v>
      </c>
    </row>
    <row r="330" spans="1:26" hidden="1" x14ac:dyDescent="0.25">
      <c r="A330" s="23" t="s">
        <v>77</v>
      </c>
      <c r="B330" s="69" t="s">
        <v>58</v>
      </c>
      <c r="C330" s="69">
        <v>8</v>
      </c>
      <c r="D330" s="69">
        <v>2018</v>
      </c>
      <c r="I330" s="4" t="s">
        <v>7</v>
      </c>
      <c r="L330" s="28" t="s">
        <v>102</v>
      </c>
      <c r="M330" s="14" t="s">
        <v>117</v>
      </c>
      <c r="N330" s="4" t="s">
        <v>52</v>
      </c>
      <c r="P330" s="4" t="s">
        <v>135</v>
      </c>
      <c r="Q330" s="50">
        <v>906.25</v>
      </c>
      <c r="S330" s="33" t="s">
        <v>322</v>
      </c>
      <c r="T330" s="33"/>
    </row>
    <row r="331" spans="1:26" hidden="1" x14ac:dyDescent="0.25">
      <c r="A331" s="23" t="s">
        <v>78</v>
      </c>
      <c r="B331" s="69" t="s">
        <v>59</v>
      </c>
      <c r="C331" s="69">
        <v>8</v>
      </c>
      <c r="D331" s="69">
        <v>2018</v>
      </c>
      <c r="E331" s="60">
        <v>8</v>
      </c>
      <c r="F331" s="64">
        <v>0</v>
      </c>
      <c r="G331" s="60">
        <v>12</v>
      </c>
      <c r="H331" s="64">
        <v>0</v>
      </c>
      <c r="I331" s="4" t="s">
        <v>7</v>
      </c>
      <c r="J331" s="55">
        <v>4</v>
      </c>
      <c r="K331" s="4" t="s">
        <v>12</v>
      </c>
      <c r="L331" s="28" t="s">
        <v>33</v>
      </c>
      <c r="M331" s="14" t="s">
        <v>121</v>
      </c>
      <c r="N331" s="4" t="s">
        <v>52</v>
      </c>
      <c r="O331" s="4" t="s">
        <v>52</v>
      </c>
      <c r="P331" s="4" t="s">
        <v>6</v>
      </c>
      <c r="Q331" s="50">
        <v>650</v>
      </c>
      <c r="R331" s="14" t="s">
        <v>316</v>
      </c>
      <c r="S331" s="14" t="s">
        <v>417</v>
      </c>
      <c r="U331" s="97">
        <f>Q331/J331*8</f>
        <v>1300</v>
      </c>
      <c r="V331" s="98">
        <v>250</v>
      </c>
      <c r="W331" s="99">
        <f>$W$2*V331/8*J331</f>
        <v>21.875</v>
      </c>
      <c r="X331" s="99">
        <f>$X$2*V331/8*J331</f>
        <v>21.875</v>
      </c>
      <c r="Y331" s="99">
        <f>$Y$2*V331/8*J331</f>
        <v>0</v>
      </c>
      <c r="Z331" s="99">
        <f>V331-W331-X331-Y331</f>
        <v>206.25</v>
      </c>
    </row>
    <row r="332" spans="1:26" hidden="1" x14ac:dyDescent="0.25">
      <c r="A332" s="23" t="s">
        <v>79</v>
      </c>
      <c r="B332" s="69" t="s">
        <v>60</v>
      </c>
      <c r="C332" s="69">
        <v>8</v>
      </c>
      <c r="D332" s="69">
        <v>2018</v>
      </c>
      <c r="E332" s="60">
        <v>9</v>
      </c>
      <c r="F332" s="64">
        <v>0</v>
      </c>
      <c r="G332" s="60">
        <v>17</v>
      </c>
      <c r="H332" s="64">
        <v>0</v>
      </c>
      <c r="I332" s="4" t="s">
        <v>16</v>
      </c>
      <c r="J332" s="55">
        <v>8</v>
      </c>
      <c r="K332" s="4" t="s">
        <v>687</v>
      </c>
      <c r="L332" s="14" t="s">
        <v>99</v>
      </c>
      <c r="M332" s="14" t="s">
        <v>609</v>
      </c>
      <c r="N332" s="4" t="s">
        <v>419</v>
      </c>
      <c r="P332" s="4" t="s">
        <v>6</v>
      </c>
      <c r="S332" s="14" t="s">
        <v>417</v>
      </c>
    </row>
    <row r="333" spans="1:26" hidden="1" x14ac:dyDescent="0.25">
      <c r="A333" s="23" t="s">
        <v>80</v>
      </c>
      <c r="B333" s="69" t="s">
        <v>61</v>
      </c>
      <c r="C333" s="69">
        <v>8</v>
      </c>
      <c r="D333" s="69">
        <v>2018</v>
      </c>
      <c r="E333" s="60">
        <v>8</v>
      </c>
      <c r="F333" s="64">
        <v>0</v>
      </c>
      <c r="G333" s="60">
        <v>14</v>
      </c>
      <c r="H333" s="64">
        <v>0</v>
      </c>
      <c r="I333" s="4" t="s">
        <v>7</v>
      </c>
      <c r="J333" s="55">
        <v>6</v>
      </c>
      <c r="K333" s="4" t="s">
        <v>13</v>
      </c>
      <c r="L333" s="28" t="s">
        <v>92</v>
      </c>
      <c r="M333" s="14" t="s">
        <v>116</v>
      </c>
      <c r="N333" s="4" t="s">
        <v>52</v>
      </c>
      <c r="O333" s="4" t="s">
        <v>52</v>
      </c>
      <c r="P333" s="4" t="s">
        <v>6</v>
      </c>
      <c r="Q333" s="50">
        <v>675</v>
      </c>
      <c r="R333" s="14" t="s">
        <v>317</v>
      </c>
      <c r="S333" s="33" t="s">
        <v>322</v>
      </c>
      <c r="T333" s="33"/>
    </row>
    <row r="334" spans="1:26" hidden="1" x14ac:dyDescent="0.25">
      <c r="A334" s="25" t="s">
        <v>551</v>
      </c>
      <c r="B334" s="65">
        <v>16</v>
      </c>
      <c r="C334" s="72">
        <v>8</v>
      </c>
      <c r="D334" s="65">
        <v>2018</v>
      </c>
      <c r="E334" s="61">
        <v>8</v>
      </c>
      <c r="F334" s="65">
        <v>0</v>
      </c>
      <c r="G334" s="61">
        <v>13</v>
      </c>
      <c r="H334" s="65">
        <v>0</v>
      </c>
      <c r="I334" s="25" t="s">
        <v>16</v>
      </c>
      <c r="J334" s="56">
        <v>5</v>
      </c>
      <c r="K334" s="25" t="s">
        <v>13</v>
      </c>
      <c r="L334" s="27" t="s">
        <v>400</v>
      </c>
      <c r="M334" s="27" t="s">
        <v>562</v>
      </c>
      <c r="N334" s="25" t="s">
        <v>52</v>
      </c>
      <c r="O334" s="25"/>
      <c r="P334" s="25" t="s">
        <v>27</v>
      </c>
      <c r="Q334" s="51">
        <v>625</v>
      </c>
      <c r="R334" s="27"/>
      <c r="S334" s="33" t="s">
        <v>322</v>
      </c>
      <c r="T334" s="33"/>
      <c r="U334" s="97">
        <f>Q334/J334*8</f>
        <v>1000</v>
      </c>
      <c r="V334" s="98">
        <v>220</v>
      </c>
      <c r="W334" s="99">
        <f>$W$2*V334/8*J334</f>
        <v>24.0625</v>
      </c>
      <c r="X334" s="99">
        <f>$X$2*V334/8*J334</f>
        <v>24.0625</v>
      </c>
      <c r="Y334" s="99">
        <f>$Y$2*V334/8*J334</f>
        <v>0</v>
      </c>
      <c r="Z334" s="99">
        <f>V334-W334-X334-Y334</f>
        <v>171.875</v>
      </c>
    </row>
    <row r="335" spans="1:26" x14ac:dyDescent="0.25">
      <c r="A335" s="23" t="s">
        <v>78</v>
      </c>
      <c r="B335" s="69">
        <v>28</v>
      </c>
      <c r="C335" s="69">
        <v>8</v>
      </c>
      <c r="D335" s="69">
        <v>2018</v>
      </c>
      <c r="E335" s="60">
        <v>14</v>
      </c>
      <c r="F335" s="64">
        <v>0</v>
      </c>
      <c r="G335" s="60">
        <v>17</v>
      </c>
      <c r="H335" s="64">
        <v>30</v>
      </c>
      <c r="I335" s="4" t="s">
        <v>16</v>
      </c>
      <c r="J335" s="55">
        <v>3.5</v>
      </c>
      <c r="K335" s="4" t="s">
        <v>13</v>
      </c>
      <c r="L335" s="29" t="s">
        <v>50</v>
      </c>
      <c r="M335" s="29" t="s">
        <v>51</v>
      </c>
      <c r="N335" s="269" t="s">
        <v>52</v>
      </c>
      <c r="O335" s="4" t="s">
        <v>53</v>
      </c>
      <c r="P335" s="269" t="s">
        <v>6</v>
      </c>
      <c r="Q335" s="52">
        <v>415.625</v>
      </c>
      <c r="R335" s="30" t="s">
        <v>415</v>
      </c>
      <c r="S335" s="33" t="s">
        <v>322</v>
      </c>
      <c r="T335" s="27"/>
      <c r="U335" s="45"/>
      <c r="V335" s="45"/>
      <c r="W335" s="45"/>
      <c r="X335" s="45"/>
      <c r="Y335" s="45"/>
      <c r="Z335" s="45"/>
    </row>
    <row r="336" spans="1:26" s="45" customFormat="1" hidden="1" x14ac:dyDescent="0.25">
      <c r="A336" s="25" t="s">
        <v>555</v>
      </c>
      <c r="B336" s="65">
        <v>17</v>
      </c>
      <c r="C336" s="89">
        <v>8</v>
      </c>
      <c r="D336" s="65">
        <v>2018</v>
      </c>
      <c r="E336" s="61">
        <v>8</v>
      </c>
      <c r="F336" s="65">
        <v>0</v>
      </c>
      <c r="G336" s="61">
        <v>12</v>
      </c>
      <c r="H336" s="65">
        <v>0</v>
      </c>
      <c r="I336" s="25" t="s">
        <v>7</v>
      </c>
      <c r="J336" s="56">
        <v>4</v>
      </c>
      <c r="K336" s="25" t="s">
        <v>12</v>
      </c>
      <c r="L336" s="27" t="s">
        <v>474</v>
      </c>
      <c r="M336" s="14" t="s">
        <v>121</v>
      </c>
      <c r="N336" s="25" t="s">
        <v>52</v>
      </c>
      <c r="O336" s="25" t="s">
        <v>52</v>
      </c>
      <c r="P336" s="25" t="s">
        <v>27</v>
      </c>
      <c r="Q336" s="51">
        <v>650</v>
      </c>
      <c r="R336" s="27"/>
      <c r="S336" s="27" t="s">
        <v>54</v>
      </c>
      <c r="T336" s="27"/>
      <c r="U336" s="97">
        <f>Q336/J336*8</f>
        <v>1300</v>
      </c>
      <c r="V336" s="98">
        <v>250</v>
      </c>
      <c r="W336" s="99">
        <f>$W$2*V336/8*J336</f>
        <v>21.875</v>
      </c>
      <c r="X336" s="99">
        <f>$X$2*V336/8*J336</f>
        <v>21.875</v>
      </c>
      <c r="Y336" s="99">
        <f>$Y$2*V336/8*J336</f>
        <v>0</v>
      </c>
      <c r="Z336" s="99">
        <f>V336-W336-X336-Y336</f>
        <v>206.25</v>
      </c>
    </row>
    <row r="337" spans="1:26" s="45" customFormat="1" hidden="1" x14ac:dyDescent="0.25">
      <c r="A337" s="91" t="s">
        <v>555</v>
      </c>
      <c r="B337" s="72">
        <v>17</v>
      </c>
      <c r="C337" s="72">
        <v>8</v>
      </c>
      <c r="D337" s="72">
        <v>2018</v>
      </c>
      <c r="E337" s="61">
        <v>8</v>
      </c>
      <c r="F337" s="65">
        <v>0</v>
      </c>
      <c r="G337" s="61">
        <v>12</v>
      </c>
      <c r="H337" s="65">
        <v>0</v>
      </c>
      <c r="I337" s="25" t="s">
        <v>7</v>
      </c>
      <c r="J337" s="56">
        <v>4</v>
      </c>
      <c r="K337" s="25" t="s">
        <v>12</v>
      </c>
      <c r="L337" s="27" t="s">
        <v>473</v>
      </c>
      <c r="M337" s="27" t="s">
        <v>575</v>
      </c>
      <c r="N337" s="25" t="s">
        <v>52</v>
      </c>
      <c r="O337" s="25" t="s">
        <v>577</v>
      </c>
      <c r="P337" s="25" t="s">
        <v>21</v>
      </c>
      <c r="Q337" s="51">
        <v>650</v>
      </c>
      <c r="R337" s="27" t="s">
        <v>580</v>
      </c>
      <c r="S337" s="27" t="s">
        <v>54</v>
      </c>
      <c r="T337" s="27"/>
      <c r="U337" s="97">
        <f>Q337/J337*8</f>
        <v>1300</v>
      </c>
      <c r="V337" s="98">
        <v>220</v>
      </c>
      <c r="W337" s="99">
        <f>$W$2*V337/8*J337</f>
        <v>19.25</v>
      </c>
      <c r="X337" s="99">
        <f>$X$2*V337/8*J337</f>
        <v>19.25</v>
      </c>
      <c r="Y337" s="99">
        <f>$Y$2*V337/8*J337</f>
        <v>0</v>
      </c>
      <c r="Z337" s="99">
        <f>V337-W337-X337-Y337</f>
        <v>181.5</v>
      </c>
    </row>
    <row r="338" spans="1:26" s="45" customFormat="1" hidden="1" x14ac:dyDescent="0.25">
      <c r="A338" s="23" t="s">
        <v>82</v>
      </c>
      <c r="B338" s="65">
        <v>17</v>
      </c>
      <c r="C338" s="72">
        <v>8</v>
      </c>
      <c r="D338" s="64">
        <v>2018</v>
      </c>
      <c r="E338" s="61">
        <v>13</v>
      </c>
      <c r="F338" s="64">
        <v>30</v>
      </c>
      <c r="G338" s="60">
        <v>16</v>
      </c>
      <c r="H338" s="64">
        <v>30</v>
      </c>
      <c r="I338" s="4" t="s">
        <v>7</v>
      </c>
      <c r="J338" s="55">
        <v>4</v>
      </c>
      <c r="K338" s="4" t="s">
        <v>12</v>
      </c>
      <c r="L338" s="28" t="s">
        <v>33</v>
      </c>
      <c r="M338" s="14" t="s">
        <v>121</v>
      </c>
      <c r="N338" s="4" t="s">
        <v>52</v>
      </c>
      <c r="O338" s="4" t="s">
        <v>52</v>
      </c>
      <c r="P338" s="4" t="s">
        <v>6</v>
      </c>
      <c r="Q338" s="50">
        <v>650</v>
      </c>
      <c r="R338" s="14" t="s">
        <v>614</v>
      </c>
      <c r="S338" s="14" t="s">
        <v>417</v>
      </c>
      <c r="T338" s="14"/>
      <c r="U338" s="97">
        <f>Q338/J338*8</f>
        <v>1300</v>
      </c>
      <c r="V338" s="98">
        <v>250</v>
      </c>
      <c r="W338" s="99">
        <f>$W$2*V338/8*J338</f>
        <v>21.875</v>
      </c>
      <c r="X338" s="99">
        <f>$X$2*V338/8*J338</f>
        <v>21.875</v>
      </c>
      <c r="Y338" s="99">
        <f>$Y$2*V338/8*J338</f>
        <v>0</v>
      </c>
      <c r="Z338" s="99">
        <f>V338-W338-X338-Y338</f>
        <v>206.25</v>
      </c>
    </row>
    <row r="339" spans="1:26" s="87" customFormat="1" hidden="1" x14ac:dyDescent="0.25">
      <c r="A339" s="44" t="s">
        <v>570</v>
      </c>
      <c r="B339" s="72">
        <v>20</v>
      </c>
      <c r="C339" s="72">
        <v>8</v>
      </c>
      <c r="D339" s="72">
        <v>2018</v>
      </c>
      <c r="E339" s="61">
        <v>8</v>
      </c>
      <c r="F339" s="65">
        <v>0</v>
      </c>
      <c r="G339" s="61">
        <v>13</v>
      </c>
      <c r="H339" s="65">
        <v>30</v>
      </c>
      <c r="I339" s="25" t="s">
        <v>16</v>
      </c>
      <c r="J339" s="56" t="s">
        <v>583</v>
      </c>
      <c r="K339" s="25" t="s">
        <v>13</v>
      </c>
      <c r="L339" s="27" t="s">
        <v>473</v>
      </c>
      <c r="M339" s="27" t="s">
        <v>575</v>
      </c>
      <c r="N339" s="25" t="s">
        <v>52</v>
      </c>
      <c r="O339" s="25" t="s">
        <v>577</v>
      </c>
      <c r="P339" s="25" t="s">
        <v>21</v>
      </c>
      <c r="Q339" s="51">
        <v>687.5</v>
      </c>
      <c r="R339" s="27" t="s">
        <v>584</v>
      </c>
      <c r="S339" s="27" t="s">
        <v>54</v>
      </c>
      <c r="T339" s="27"/>
      <c r="U339" s="97">
        <f>Q339/J339*8</f>
        <v>1000</v>
      </c>
      <c r="V339" s="98">
        <v>250</v>
      </c>
      <c r="W339" s="99">
        <f>$W$2*V339/8*J339</f>
        <v>30.078125</v>
      </c>
      <c r="X339" s="99">
        <f>$X$2*V339/8*J339</f>
        <v>30.078125</v>
      </c>
      <c r="Y339" s="99">
        <f>$Y$2*V339/8*J339</f>
        <v>0</v>
      </c>
      <c r="Z339" s="99">
        <f>V339-W339-X339-Y339</f>
        <v>189.84375</v>
      </c>
    </row>
    <row r="340" spans="1:26" s="87" customFormat="1" hidden="1" x14ac:dyDescent="0.25">
      <c r="A340" s="23" t="s">
        <v>77</v>
      </c>
      <c r="B340" s="69" t="s">
        <v>65</v>
      </c>
      <c r="C340" s="69">
        <v>8</v>
      </c>
      <c r="D340" s="69">
        <v>2018</v>
      </c>
      <c r="E340" s="60">
        <v>8</v>
      </c>
      <c r="F340" s="64">
        <v>0</v>
      </c>
      <c r="G340" s="60">
        <v>17</v>
      </c>
      <c r="H340" s="64">
        <v>0</v>
      </c>
      <c r="I340" s="4" t="s">
        <v>7</v>
      </c>
      <c r="J340" s="55">
        <v>8</v>
      </c>
      <c r="K340" s="4" t="s">
        <v>687</v>
      </c>
      <c r="L340" s="14" t="s">
        <v>103</v>
      </c>
      <c r="M340" s="14" t="s">
        <v>122</v>
      </c>
      <c r="N340" s="4" t="s">
        <v>52</v>
      </c>
      <c r="O340" s="4" t="s">
        <v>52</v>
      </c>
      <c r="P340" s="4" t="s">
        <v>6</v>
      </c>
      <c r="Q340" s="50">
        <v>1250</v>
      </c>
      <c r="R340" s="14"/>
      <c r="S340" s="33" t="s">
        <v>322</v>
      </c>
      <c r="T340" s="33"/>
      <c r="U340" s="97">
        <f>Q340/J340*8</f>
        <v>1250</v>
      </c>
      <c r="V340" s="98">
        <v>250</v>
      </c>
      <c r="W340" s="99">
        <f>$W$2*V340/8*J340</f>
        <v>43.75</v>
      </c>
      <c r="X340" s="99">
        <f>$X$2*V340/8*J340</f>
        <v>43.75</v>
      </c>
      <c r="Y340" s="99">
        <f>$Y$2*V340/8*J340</f>
        <v>0</v>
      </c>
      <c r="Z340" s="99">
        <f>V340-W340-X340-Y340</f>
        <v>162.5</v>
      </c>
    </row>
    <row r="341" spans="1:26" s="87" customFormat="1" hidden="1" x14ac:dyDescent="0.25">
      <c r="A341" s="44" t="s">
        <v>557</v>
      </c>
      <c r="B341" s="72">
        <v>21</v>
      </c>
      <c r="C341" s="72">
        <v>8</v>
      </c>
      <c r="D341" s="72">
        <v>2018</v>
      </c>
      <c r="E341" s="61">
        <v>13</v>
      </c>
      <c r="F341" s="65">
        <v>0</v>
      </c>
      <c r="G341" s="61">
        <v>13</v>
      </c>
      <c r="H341" s="65">
        <v>30</v>
      </c>
      <c r="I341" s="25" t="s">
        <v>16</v>
      </c>
      <c r="J341" s="55">
        <v>0.5</v>
      </c>
      <c r="K341" s="25" t="s">
        <v>13</v>
      </c>
      <c r="L341" s="27" t="s">
        <v>473</v>
      </c>
      <c r="M341" s="27" t="s">
        <v>575</v>
      </c>
      <c r="N341" s="25" t="s">
        <v>52</v>
      </c>
      <c r="O341" s="25" t="s">
        <v>577</v>
      </c>
      <c r="P341" s="25" t="s">
        <v>21</v>
      </c>
      <c r="Q341" s="50">
        <v>62.5</v>
      </c>
      <c r="R341" s="27" t="s">
        <v>585</v>
      </c>
      <c r="S341" s="27" t="s">
        <v>54</v>
      </c>
      <c r="T341" s="33"/>
      <c r="U341" s="97">
        <f>Q341/J341*8</f>
        <v>1000</v>
      </c>
      <c r="V341" s="98">
        <v>250</v>
      </c>
      <c r="W341" s="99">
        <f>$W$2*V341/8*J341</f>
        <v>2.734375</v>
      </c>
      <c r="X341" s="99">
        <f>$X$2*V341/8*J341</f>
        <v>2.734375</v>
      </c>
      <c r="Y341" s="99">
        <f>$Y$2*V341/8*J341</f>
        <v>0</v>
      </c>
      <c r="Z341" s="99">
        <f>V341-W341-X341-Y341</f>
        <v>244.53125</v>
      </c>
    </row>
    <row r="342" spans="1:26" s="87" customFormat="1" x14ac:dyDescent="0.25">
      <c r="A342" s="23" t="s">
        <v>49</v>
      </c>
      <c r="B342" s="69" t="s">
        <v>55</v>
      </c>
      <c r="C342" s="69">
        <v>8</v>
      </c>
      <c r="D342" s="69">
        <v>2018</v>
      </c>
      <c r="E342" s="60">
        <v>8</v>
      </c>
      <c r="F342" s="64">
        <v>30</v>
      </c>
      <c r="G342" s="60">
        <v>12</v>
      </c>
      <c r="H342" s="64">
        <v>30</v>
      </c>
      <c r="I342" s="4" t="s">
        <v>7</v>
      </c>
      <c r="J342" s="55">
        <v>3</v>
      </c>
      <c r="K342" s="4" t="s">
        <v>13</v>
      </c>
      <c r="L342" s="28" t="s">
        <v>50</v>
      </c>
      <c r="M342" s="14" t="s">
        <v>51</v>
      </c>
      <c r="N342" s="4" t="s">
        <v>52</v>
      </c>
      <c r="O342" s="4" t="s">
        <v>53</v>
      </c>
      <c r="P342" s="4" t="s">
        <v>6</v>
      </c>
      <c r="Q342" s="50">
        <v>356.25</v>
      </c>
      <c r="R342" s="14" t="s">
        <v>315</v>
      </c>
      <c r="S342" s="33" t="s">
        <v>322</v>
      </c>
      <c r="T342" s="33"/>
      <c r="U342" s="20"/>
      <c r="V342" s="20"/>
      <c r="W342" s="20"/>
      <c r="X342" s="20"/>
      <c r="Y342" s="20"/>
      <c r="Z342" s="20"/>
    </row>
    <row r="343" spans="1:26" s="45" customFormat="1" hidden="1" x14ac:dyDescent="0.25">
      <c r="A343" s="25" t="s">
        <v>557</v>
      </c>
      <c r="B343" s="65">
        <v>21</v>
      </c>
      <c r="C343" s="72">
        <v>8</v>
      </c>
      <c r="D343" s="65">
        <v>2018</v>
      </c>
      <c r="E343" s="61">
        <v>8</v>
      </c>
      <c r="F343" s="65">
        <v>0</v>
      </c>
      <c r="G343" s="61">
        <v>12</v>
      </c>
      <c r="H343" s="65">
        <v>0</v>
      </c>
      <c r="I343" s="25" t="s">
        <v>16</v>
      </c>
      <c r="J343" s="56">
        <v>4</v>
      </c>
      <c r="K343" s="25" t="s">
        <v>13</v>
      </c>
      <c r="L343" s="27" t="s">
        <v>470</v>
      </c>
      <c r="M343" s="27" t="s">
        <v>120</v>
      </c>
      <c r="N343" s="25" t="s">
        <v>52</v>
      </c>
      <c r="O343" s="25"/>
      <c r="P343" s="25" t="s">
        <v>27</v>
      </c>
      <c r="Q343" s="51">
        <v>500</v>
      </c>
      <c r="R343" s="27" t="s">
        <v>572</v>
      </c>
      <c r="S343" s="33" t="s">
        <v>322</v>
      </c>
      <c r="T343" s="33"/>
    </row>
    <row r="344" spans="1:26" s="45" customFormat="1" hidden="1" x14ac:dyDescent="0.25">
      <c r="A344" s="25" t="s">
        <v>557</v>
      </c>
      <c r="B344" s="65">
        <v>21</v>
      </c>
      <c r="C344" s="72">
        <v>8</v>
      </c>
      <c r="D344" s="65">
        <v>2018</v>
      </c>
      <c r="E344" s="61">
        <v>8</v>
      </c>
      <c r="F344" s="65">
        <v>0</v>
      </c>
      <c r="G344" s="61">
        <v>10</v>
      </c>
      <c r="H344" s="65">
        <v>0</v>
      </c>
      <c r="I344" s="25" t="s">
        <v>16</v>
      </c>
      <c r="J344" s="56">
        <v>2</v>
      </c>
      <c r="K344" s="25" t="s">
        <v>13</v>
      </c>
      <c r="L344" s="27" t="s">
        <v>400</v>
      </c>
      <c r="M344" s="27" t="s">
        <v>562</v>
      </c>
      <c r="N344" s="25" t="s">
        <v>52</v>
      </c>
      <c r="O344" s="25"/>
      <c r="P344" s="25" t="s">
        <v>27</v>
      </c>
      <c r="Q344" s="51">
        <v>250</v>
      </c>
      <c r="R344" s="27"/>
      <c r="S344" s="33" t="s">
        <v>322</v>
      </c>
      <c r="T344" s="33"/>
      <c r="U344" s="97">
        <f>Q344/J344*8</f>
        <v>1000</v>
      </c>
      <c r="V344" s="98">
        <v>220</v>
      </c>
      <c r="W344" s="99">
        <f>$W$2*V344/8*J344</f>
        <v>9.625</v>
      </c>
      <c r="X344" s="99">
        <f>$X$2*V344/8*J344</f>
        <v>9.625</v>
      </c>
      <c r="Y344" s="99">
        <f>$Y$2*V344/8*J344</f>
        <v>0</v>
      </c>
      <c r="Z344" s="99">
        <f>V344-W344-X344-Y344</f>
        <v>200.75</v>
      </c>
    </row>
    <row r="345" spans="1:26" s="45" customFormat="1" hidden="1" x14ac:dyDescent="0.25">
      <c r="A345" s="23" t="s">
        <v>78</v>
      </c>
      <c r="B345" s="69" t="s">
        <v>66</v>
      </c>
      <c r="C345" s="69">
        <v>8</v>
      </c>
      <c r="D345" s="69">
        <v>2018</v>
      </c>
      <c r="E345" s="60">
        <v>13</v>
      </c>
      <c r="F345" s="64">
        <v>0</v>
      </c>
      <c r="G345" s="60">
        <v>15</v>
      </c>
      <c r="H345" s="64">
        <v>0</v>
      </c>
      <c r="I345" s="4" t="s">
        <v>7</v>
      </c>
      <c r="J345" s="55">
        <v>2</v>
      </c>
      <c r="K345" s="4" t="s">
        <v>13</v>
      </c>
      <c r="L345" s="28" t="s">
        <v>103</v>
      </c>
      <c r="M345" s="14" t="s">
        <v>122</v>
      </c>
      <c r="N345" s="4" t="s">
        <v>52</v>
      </c>
      <c r="O345" s="4" t="s">
        <v>52</v>
      </c>
      <c r="P345" s="4" t="s">
        <v>6</v>
      </c>
      <c r="Q345" s="50">
        <v>370</v>
      </c>
      <c r="R345" s="14"/>
      <c r="S345" s="33" t="s">
        <v>322</v>
      </c>
      <c r="T345" s="33"/>
      <c r="U345" s="97">
        <f>Q345/J345*8</f>
        <v>1480</v>
      </c>
      <c r="V345" s="98">
        <v>250</v>
      </c>
      <c r="W345" s="99">
        <f>$W$2*V345/8*J345</f>
        <v>10.9375</v>
      </c>
      <c r="X345" s="99">
        <f>$X$2*V345/8*J345</f>
        <v>10.9375</v>
      </c>
      <c r="Y345" s="99">
        <f>$Y$2*V345/8*J345</f>
        <v>0</v>
      </c>
      <c r="Z345" s="99">
        <f>V345-W345-X345-Y345</f>
        <v>228.125</v>
      </c>
    </row>
    <row r="346" spans="1:26" s="45" customFormat="1" hidden="1" x14ac:dyDescent="0.25">
      <c r="A346" s="44" t="s">
        <v>551</v>
      </c>
      <c r="B346" s="72">
        <v>23</v>
      </c>
      <c r="C346" s="72">
        <v>8</v>
      </c>
      <c r="D346" s="72">
        <v>2018</v>
      </c>
      <c r="E346" s="61">
        <v>15</v>
      </c>
      <c r="F346" s="65">
        <v>0</v>
      </c>
      <c r="G346" s="61">
        <v>15</v>
      </c>
      <c r="H346" s="65">
        <v>15</v>
      </c>
      <c r="I346" s="25" t="s">
        <v>16</v>
      </c>
      <c r="J346" s="56" t="s">
        <v>586</v>
      </c>
      <c r="K346" s="25" t="s">
        <v>13</v>
      </c>
      <c r="L346" s="27" t="s">
        <v>473</v>
      </c>
      <c r="M346" s="27" t="s">
        <v>575</v>
      </c>
      <c r="N346" s="25" t="s">
        <v>52</v>
      </c>
      <c r="O346" s="25" t="s">
        <v>577</v>
      </c>
      <c r="P346" s="25" t="s">
        <v>21</v>
      </c>
      <c r="Q346" s="51">
        <v>31.25</v>
      </c>
      <c r="R346" s="27" t="s">
        <v>587</v>
      </c>
      <c r="S346" s="27" t="s">
        <v>54</v>
      </c>
      <c r="T346" s="27"/>
      <c r="U346" s="97">
        <f>Q346/J346*8</f>
        <v>1000</v>
      </c>
      <c r="V346" s="98">
        <v>250</v>
      </c>
      <c r="W346" s="99">
        <f>$W$2*V346/8*J346</f>
        <v>1.3671875</v>
      </c>
      <c r="X346" s="99">
        <f>$X$2*V346/8*J346</f>
        <v>1.3671875</v>
      </c>
      <c r="Y346" s="99">
        <f>$Y$2*V346/8*J346</f>
        <v>0</v>
      </c>
      <c r="Z346" s="99">
        <f>V346-W346-X346-Y346</f>
        <v>247.265625</v>
      </c>
    </row>
    <row r="347" spans="1:26" s="45" customFormat="1" hidden="1" x14ac:dyDescent="0.25">
      <c r="A347" s="23" t="s">
        <v>78</v>
      </c>
      <c r="B347" s="144" t="s">
        <v>66</v>
      </c>
      <c r="C347" s="69">
        <v>8</v>
      </c>
      <c r="D347" s="69">
        <v>2018</v>
      </c>
      <c r="E347" s="145">
        <v>15</v>
      </c>
      <c r="F347" s="144">
        <v>0</v>
      </c>
      <c r="G347" s="145">
        <v>16</v>
      </c>
      <c r="H347" s="144">
        <v>30</v>
      </c>
      <c r="I347" s="35" t="s">
        <v>7</v>
      </c>
      <c r="J347" s="146">
        <v>1.5</v>
      </c>
      <c r="K347" s="35" t="s">
        <v>13</v>
      </c>
      <c r="L347" s="28" t="s">
        <v>470</v>
      </c>
      <c r="M347" s="28" t="s">
        <v>120</v>
      </c>
      <c r="N347" s="35" t="s">
        <v>52</v>
      </c>
      <c r="O347" s="35" t="s">
        <v>52</v>
      </c>
      <c r="P347" s="35" t="s">
        <v>6</v>
      </c>
      <c r="Q347" s="147">
        <f>175*1.5</f>
        <v>262.5</v>
      </c>
      <c r="R347" s="148" t="s">
        <v>408</v>
      </c>
      <c r="S347" s="33" t="s">
        <v>322</v>
      </c>
      <c r="T347" s="33"/>
      <c r="U347" s="149"/>
      <c r="V347" s="149"/>
      <c r="W347" s="149"/>
      <c r="X347" s="149"/>
      <c r="Y347" s="149"/>
      <c r="Z347" s="149"/>
    </row>
    <row r="348" spans="1:26" s="45" customFormat="1" hidden="1" x14ac:dyDescent="0.25">
      <c r="A348" s="25" t="s">
        <v>552</v>
      </c>
      <c r="B348" s="65">
        <v>22</v>
      </c>
      <c r="C348" s="72">
        <v>8</v>
      </c>
      <c r="D348" s="65">
        <v>2018</v>
      </c>
      <c r="E348" s="61">
        <v>8</v>
      </c>
      <c r="F348" s="65">
        <v>0</v>
      </c>
      <c r="G348" s="61">
        <v>12</v>
      </c>
      <c r="H348" s="65">
        <v>0</v>
      </c>
      <c r="I348" s="25" t="s">
        <v>16</v>
      </c>
      <c r="J348" s="56">
        <v>4</v>
      </c>
      <c r="K348" s="25" t="s">
        <v>13</v>
      </c>
      <c r="L348" s="27" t="s">
        <v>34</v>
      </c>
      <c r="M348" s="27" t="s">
        <v>536</v>
      </c>
      <c r="N348" s="25" t="s">
        <v>52</v>
      </c>
      <c r="O348" s="25"/>
      <c r="P348" s="25" t="s">
        <v>27</v>
      </c>
      <c r="Q348" s="51">
        <v>500</v>
      </c>
      <c r="R348" s="27"/>
      <c r="S348" s="33" t="s">
        <v>322</v>
      </c>
      <c r="T348" s="33"/>
      <c r="U348" s="97">
        <f>Q348/J348*8</f>
        <v>1000</v>
      </c>
      <c r="V348" s="98">
        <v>220</v>
      </c>
      <c r="W348" s="99">
        <f>$W$2*V348/8*J348</f>
        <v>19.25</v>
      </c>
      <c r="X348" s="99">
        <f>$X$2*V348/8*J348</f>
        <v>19.25</v>
      </c>
      <c r="Y348" s="99">
        <f>$Y$2*V348/8*J348</f>
        <v>0</v>
      </c>
      <c r="Z348" s="99">
        <f>V348-W348-X348-Y348</f>
        <v>181.5</v>
      </c>
    </row>
    <row r="349" spans="1:26" s="45" customFormat="1" hidden="1" x14ac:dyDescent="0.25">
      <c r="A349" s="23" t="s">
        <v>79</v>
      </c>
      <c r="B349" s="69" t="s">
        <v>67</v>
      </c>
      <c r="C349" s="69">
        <v>8</v>
      </c>
      <c r="D349" s="69">
        <v>2018</v>
      </c>
      <c r="E349" s="60">
        <v>9</v>
      </c>
      <c r="F349" s="64">
        <v>0</v>
      </c>
      <c r="G349" s="60">
        <v>17</v>
      </c>
      <c r="H349" s="64">
        <v>0</v>
      </c>
      <c r="I349" s="4" t="s">
        <v>7</v>
      </c>
      <c r="J349" s="55">
        <v>8</v>
      </c>
      <c r="K349" s="4" t="s">
        <v>687</v>
      </c>
      <c r="L349" s="28" t="s">
        <v>31</v>
      </c>
      <c r="M349" s="14" t="s">
        <v>118</v>
      </c>
      <c r="N349" s="4" t="s">
        <v>52</v>
      </c>
      <c r="O349" s="4" t="s">
        <v>52</v>
      </c>
      <c r="P349" s="4" t="s">
        <v>6</v>
      </c>
      <c r="Q349" s="50">
        <v>1150</v>
      </c>
      <c r="R349" s="26" t="s">
        <v>409</v>
      </c>
      <c r="S349" s="33" t="s">
        <v>322</v>
      </c>
      <c r="T349" s="33"/>
      <c r="U349" s="97">
        <f>Q349/J349*8</f>
        <v>1150</v>
      </c>
      <c r="V349" s="98">
        <v>250</v>
      </c>
      <c r="W349" s="99">
        <f>$W$2*V349/8*J349</f>
        <v>43.75</v>
      </c>
      <c r="X349" s="99">
        <f>$X$2*V349/8*J349</f>
        <v>43.75</v>
      </c>
      <c r="Y349" s="99">
        <f>$Y$2*V349/8*J349</f>
        <v>0</v>
      </c>
      <c r="Z349" s="99">
        <f>V349-W349-X349-Y349</f>
        <v>162.5</v>
      </c>
    </row>
    <row r="350" spans="1:26" s="45" customFormat="1" hidden="1" x14ac:dyDescent="0.25">
      <c r="A350" s="25" t="s">
        <v>551</v>
      </c>
      <c r="B350" s="65">
        <v>23</v>
      </c>
      <c r="C350" s="72">
        <v>8</v>
      </c>
      <c r="D350" s="65">
        <v>2018</v>
      </c>
      <c r="E350" s="61">
        <v>8</v>
      </c>
      <c r="F350" s="65">
        <v>0</v>
      </c>
      <c r="G350" s="61">
        <v>12</v>
      </c>
      <c r="H350" s="65">
        <v>0</v>
      </c>
      <c r="I350" s="25" t="s">
        <v>7</v>
      </c>
      <c r="J350" s="56">
        <v>4</v>
      </c>
      <c r="K350" s="25" t="s">
        <v>12</v>
      </c>
      <c r="L350" s="27" t="s">
        <v>34</v>
      </c>
      <c r="M350" s="27" t="s">
        <v>536</v>
      </c>
      <c r="N350" s="25" t="s">
        <v>52</v>
      </c>
      <c r="O350" s="25"/>
      <c r="P350" s="25" t="s">
        <v>27</v>
      </c>
      <c r="Q350" s="51">
        <v>650</v>
      </c>
      <c r="R350" s="27"/>
      <c r="S350" s="33" t="s">
        <v>322</v>
      </c>
      <c r="T350" s="33"/>
      <c r="U350" s="97">
        <f>Q350/J350*8</f>
        <v>1300</v>
      </c>
      <c r="V350" s="98">
        <v>250</v>
      </c>
      <c r="W350" s="99">
        <f>$W$2*V350/8*J350</f>
        <v>21.875</v>
      </c>
      <c r="X350" s="99">
        <f>$X$2*V350/8*J350</f>
        <v>21.875</v>
      </c>
      <c r="Y350" s="99">
        <f>$Y$2*V350/8*J350</f>
        <v>0</v>
      </c>
      <c r="Z350" s="99">
        <f>V350-W350-X350-Y350</f>
        <v>206.25</v>
      </c>
    </row>
    <row r="351" spans="1:26" s="45" customFormat="1" hidden="1" x14ac:dyDescent="0.25">
      <c r="A351" s="25" t="s">
        <v>551</v>
      </c>
      <c r="B351" s="65">
        <v>23</v>
      </c>
      <c r="C351" s="72">
        <v>8</v>
      </c>
      <c r="D351" s="65">
        <v>2018</v>
      </c>
      <c r="E351" s="61">
        <v>8</v>
      </c>
      <c r="F351" s="65">
        <v>0</v>
      </c>
      <c r="G351" s="61">
        <v>11</v>
      </c>
      <c r="H351" s="65">
        <v>0</v>
      </c>
      <c r="I351" s="25" t="s">
        <v>7</v>
      </c>
      <c r="J351" s="56">
        <v>3</v>
      </c>
      <c r="K351" s="25" t="s">
        <v>13</v>
      </c>
      <c r="L351" s="27" t="s">
        <v>400</v>
      </c>
      <c r="M351" s="27" t="s">
        <v>562</v>
      </c>
      <c r="N351" s="25" t="s">
        <v>52</v>
      </c>
      <c r="O351" s="25"/>
      <c r="P351" s="25" t="s">
        <v>27</v>
      </c>
      <c r="Q351" s="51">
        <v>525</v>
      </c>
      <c r="R351" s="27"/>
      <c r="S351" s="33" t="s">
        <v>322</v>
      </c>
      <c r="T351" s="33"/>
      <c r="U351" s="97">
        <f>Q351/J351*8</f>
        <v>1400</v>
      </c>
      <c r="V351" s="98">
        <v>250</v>
      </c>
      <c r="W351" s="99">
        <f>$W$2*V351/8*J351</f>
        <v>16.40625</v>
      </c>
      <c r="X351" s="99">
        <f>$X$2*V351/8*J351</f>
        <v>16.40625</v>
      </c>
      <c r="Y351" s="99">
        <f>$Y$2*V351/8*J351</f>
        <v>0</v>
      </c>
      <c r="Z351" s="99">
        <f>V351-W351-X351-Y351</f>
        <v>217.1875</v>
      </c>
    </row>
    <row r="352" spans="1:26" s="45" customFormat="1" hidden="1" x14ac:dyDescent="0.25">
      <c r="A352" s="23" t="s">
        <v>80</v>
      </c>
      <c r="B352" s="69" t="s">
        <v>68</v>
      </c>
      <c r="C352" s="69">
        <v>8</v>
      </c>
      <c r="D352" s="69">
        <v>2018</v>
      </c>
      <c r="E352" s="60">
        <v>9</v>
      </c>
      <c r="F352" s="64">
        <v>0</v>
      </c>
      <c r="G352" s="60">
        <v>12</v>
      </c>
      <c r="H352" s="64">
        <v>30</v>
      </c>
      <c r="I352" s="4" t="s">
        <v>7</v>
      </c>
      <c r="J352" s="55">
        <v>4</v>
      </c>
      <c r="K352" s="4" t="s">
        <v>12</v>
      </c>
      <c r="L352" s="28" t="s">
        <v>34</v>
      </c>
      <c r="M352" s="27" t="s">
        <v>536</v>
      </c>
      <c r="N352" s="4" t="s">
        <v>52</v>
      </c>
      <c r="O352" s="4" t="s">
        <v>52</v>
      </c>
      <c r="P352" s="4" t="s">
        <v>6</v>
      </c>
      <c r="Q352" s="50">
        <v>650</v>
      </c>
      <c r="R352" s="26" t="s">
        <v>410</v>
      </c>
      <c r="S352" s="33" t="s">
        <v>322</v>
      </c>
      <c r="T352" s="33"/>
      <c r="U352" s="97">
        <f>Q352/J352*8</f>
        <v>1300</v>
      </c>
      <c r="V352" s="98">
        <v>250</v>
      </c>
      <c r="W352" s="99">
        <f>$W$2*V352/8*J352</f>
        <v>21.875</v>
      </c>
      <c r="X352" s="99">
        <f>$X$2*V352/8*J352</f>
        <v>21.875</v>
      </c>
      <c r="Y352" s="99">
        <f>$Y$2*V352/8*J352</f>
        <v>0</v>
      </c>
      <c r="Z352" s="99">
        <f>V352-W352-X352-Y352</f>
        <v>206.25</v>
      </c>
    </row>
    <row r="353" spans="1:26" s="45" customFormat="1" hidden="1" x14ac:dyDescent="0.25">
      <c r="A353" s="44" t="s">
        <v>551</v>
      </c>
      <c r="B353" s="72">
        <v>23</v>
      </c>
      <c r="C353" s="72">
        <v>8</v>
      </c>
      <c r="D353" s="72">
        <v>2018</v>
      </c>
      <c r="E353" s="61">
        <v>14</v>
      </c>
      <c r="F353" s="65">
        <v>30</v>
      </c>
      <c r="G353" s="61">
        <v>17</v>
      </c>
      <c r="H353" s="65">
        <v>30</v>
      </c>
      <c r="I353" s="25" t="s">
        <v>7</v>
      </c>
      <c r="J353" s="56">
        <v>3</v>
      </c>
      <c r="K353" s="25" t="s">
        <v>13</v>
      </c>
      <c r="L353" s="27" t="s">
        <v>400</v>
      </c>
      <c r="M353" s="27" t="s">
        <v>562</v>
      </c>
      <c r="N353" s="25" t="s">
        <v>52</v>
      </c>
      <c r="O353" s="25" t="s">
        <v>52</v>
      </c>
      <c r="P353" s="25" t="s">
        <v>6</v>
      </c>
      <c r="Q353" s="51">
        <v>525</v>
      </c>
      <c r="R353" s="26" t="s">
        <v>411</v>
      </c>
      <c r="S353" s="33" t="s">
        <v>322</v>
      </c>
      <c r="T353" s="33"/>
      <c r="U353" s="97">
        <f>Q353/J353*8</f>
        <v>1400</v>
      </c>
      <c r="V353" s="98">
        <v>250</v>
      </c>
      <c r="W353" s="99">
        <f>$W$2*V353/8*J353</f>
        <v>16.40625</v>
      </c>
      <c r="X353" s="99">
        <f>$X$2*V353/8*J353</f>
        <v>16.40625</v>
      </c>
      <c r="Y353" s="99">
        <f>$Y$2*V353/8*J353</f>
        <v>0</v>
      </c>
      <c r="Z353" s="99">
        <f>V353-W353-X353-Y353</f>
        <v>217.1875</v>
      </c>
    </row>
    <row r="354" spans="1:26" s="45" customFormat="1" hidden="1" x14ac:dyDescent="0.25">
      <c r="A354" s="44" t="s">
        <v>570</v>
      </c>
      <c r="B354" s="72">
        <v>27</v>
      </c>
      <c r="C354" s="72">
        <v>8</v>
      </c>
      <c r="D354" s="72">
        <v>2018</v>
      </c>
      <c r="E354" s="61">
        <v>14</v>
      </c>
      <c r="F354" s="65">
        <v>0</v>
      </c>
      <c r="G354" s="61">
        <v>16</v>
      </c>
      <c r="H354" s="65">
        <v>0</v>
      </c>
      <c r="I354" s="25" t="s">
        <v>16</v>
      </c>
      <c r="J354" s="56">
        <v>2</v>
      </c>
      <c r="K354" s="25" t="s">
        <v>13</v>
      </c>
      <c r="L354" s="27" t="s">
        <v>473</v>
      </c>
      <c r="M354" s="27" t="s">
        <v>575</v>
      </c>
      <c r="N354" s="25" t="s">
        <v>52</v>
      </c>
      <c r="O354" s="25" t="s">
        <v>577</v>
      </c>
      <c r="P354" s="25" t="s">
        <v>21</v>
      </c>
      <c r="Q354" s="51">
        <v>250</v>
      </c>
      <c r="R354" s="27" t="s">
        <v>588</v>
      </c>
      <c r="S354" s="27" t="s">
        <v>54</v>
      </c>
      <c r="T354" s="27"/>
      <c r="U354" s="97">
        <f>Q354/J354*8</f>
        <v>1000</v>
      </c>
      <c r="V354" s="98">
        <v>250</v>
      </c>
      <c r="W354" s="99">
        <f>$W$2*V354/8*J354</f>
        <v>10.9375</v>
      </c>
      <c r="X354" s="99">
        <f>$X$2*V354/8*J354</f>
        <v>10.9375</v>
      </c>
      <c r="Y354" s="99">
        <f>$Y$2*V354/8*J354</f>
        <v>0</v>
      </c>
      <c r="Z354" s="99">
        <f>V354-W354-X354-Y354</f>
        <v>228.125</v>
      </c>
    </row>
    <row r="355" spans="1:26" s="45" customFormat="1" hidden="1" x14ac:dyDescent="0.25">
      <c r="A355" s="23" t="s">
        <v>80</v>
      </c>
      <c r="B355" s="69" t="s">
        <v>68</v>
      </c>
      <c r="C355" s="69">
        <v>8</v>
      </c>
      <c r="D355" s="69">
        <v>2018</v>
      </c>
      <c r="E355" s="60">
        <v>19</v>
      </c>
      <c r="F355" s="64">
        <v>30</v>
      </c>
      <c r="G355" s="60">
        <v>22</v>
      </c>
      <c r="H355" s="64">
        <v>30</v>
      </c>
      <c r="I355" s="4" t="s">
        <v>7</v>
      </c>
      <c r="J355" s="55">
        <v>3</v>
      </c>
      <c r="K355" s="4" t="s">
        <v>13</v>
      </c>
      <c r="L355" s="27" t="s">
        <v>103</v>
      </c>
      <c r="M355" s="27" t="s">
        <v>122</v>
      </c>
      <c r="N355" s="25" t="s">
        <v>52</v>
      </c>
      <c r="O355" s="25" t="s">
        <v>52</v>
      </c>
      <c r="P355" s="25" t="s">
        <v>6</v>
      </c>
      <c r="Q355" s="51">
        <v>555</v>
      </c>
      <c r="R355" s="26" t="s">
        <v>412</v>
      </c>
      <c r="S355" s="33" t="s">
        <v>322</v>
      </c>
      <c r="T355" s="33"/>
      <c r="U355" s="97">
        <f>Q355/J355*8</f>
        <v>1480</v>
      </c>
      <c r="V355" s="98">
        <v>250</v>
      </c>
      <c r="W355" s="99">
        <f>$W$2*V355/8*J355</f>
        <v>16.40625</v>
      </c>
      <c r="X355" s="99">
        <f>$X$2*V355/8*J355</f>
        <v>16.40625</v>
      </c>
      <c r="Y355" s="99">
        <f>$Y$2*V355/8*J355</f>
        <v>0</v>
      </c>
      <c r="Z355" s="99">
        <f>V355-W355-X355-Y355</f>
        <v>217.1875</v>
      </c>
    </row>
    <row r="356" spans="1:26" s="45" customFormat="1" x14ac:dyDescent="0.25">
      <c r="A356" s="23" t="s">
        <v>49</v>
      </c>
      <c r="B356" s="69" t="s">
        <v>62</v>
      </c>
      <c r="C356" s="69">
        <v>8</v>
      </c>
      <c r="D356" s="69">
        <v>2018</v>
      </c>
      <c r="E356" s="60">
        <v>8</v>
      </c>
      <c r="F356" s="64">
        <v>30</v>
      </c>
      <c r="G356" s="60">
        <v>12</v>
      </c>
      <c r="H356" s="64">
        <v>30</v>
      </c>
      <c r="I356" s="4" t="s">
        <v>7</v>
      </c>
      <c r="J356" s="55">
        <v>4</v>
      </c>
      <c r="K356" s="4" t="s">
        <v>12</v>
      </c>
      <c r="L356" s="28" t="s">
        <v>50</v>
      </c>
      <c r="M356" s="14" t="s">
        <v>51</v>
      </c>
      <c r="N356" s="4" t="s">
        <v>52</v>
      </c>
      <c r="O356" s="4" t="s">
        <v>53</v>
      </c>
      <c r="P356" s="4" t="s">
        <v>6</v>
      </c>
      <c r="Q356" s="50">
        <v>575</v>
      </c>
      <c r="R356" s="14" t="s">
        <v>318</v>
      </c>
      <c r="S356" s="33" t="s">
        <v>322</v>
      </c>
      <c r="T356" s="33"/>
      <c r="U356" s="20"/>
      <c r="V356" s="20"/>
      <c r="W356" s="20"/>
      <c r="X356" s="20"/>
      <c r="Y356" s="20"/>
      <c r="Z356" s="20"/>
    </row>
    <row r="357" spans="1:26" s="45" customFormat="1" hidden="1" x14ac:dyDescent="0.25">
      <c r="A357" s="23" t="s">
        <v>49</v>
      </c>
      <c r="B357" s="69">
        <v>24</v>
      </c>
      <c r="C357" s="69">
        <v>8</v>
      </c>
      <c r="D357" s="69">
        <v>2018</v>
      </c>
      <c r="E357" s="60">
        <v>13</v>
      </c>
      <c r="F357" s="64">
        <v>30</v>
      </c>
      <c r="G357" s="60">
        <v>17</v>
      </c>
      <c r="H357" s="64">
        <v>0</v>
      </c>
      <c r="I357" s="4" t="s">
        <v>7</v>
      </c>
      <c r="J357" s="55">
        <v>4</v>
      </c>
      <c r="K357" s="4" t="s">
        <v>12</v>
      </c>
      <c r="L357" s="14" t="s">
        <v>33</v>
      </c>
      <c r="M357" s="14" t="s">
        <v>121</v>
      </c>
      <c r="N357" s="4" t="s">
        <v>52</v>
      </c>
      <c r="O357" s="4" t="s">
        <v>52</v>
      </c>
      <c r="P357" s="4" t="s">
        <v>6</v>
      </c>
      <c r="Q357" s="50">
        <v>650</v>
      </c>
      <c r="R357" s="14" t="s">
        <v>615</v>
      </c>
      <c r="S357" s="14" t="s">
        <v>417</v>
      </c>
      <c r="T357" s="14"/>
      <c r="U357" s="97">
        <f>Q357/J357*8</f>
        <v>1300</v>
      </c>
      <c r="V357" s="98">
        <v>250</v>
      </c>
      <c r="W357" s="99">
        <f>$W$2*V357/8*J357</f>
        <v>21.875</v>
      </c>
      <c r="X357" s="99">
        <f>$X$2*V357/8*J357</f>
        <v>21.875</v>
      </c>
      <c r="Y357" s="99">
        <f>$Y$2*V357/8*J357</f>
        <v>0</v>
      </c>
      <c r="Z357" s="99">
        <f>V357-W357-X357-Y357</f>
        <v>206.25</v>
      </c>
    </row>
    <row r="358" spans="1:26" s="45" customFormat="1" hidden="1" x14ac:dyDescent="0.25">
      <c r="A358" s="23" t="s">
        <v>77</v>
      </c>
      <c r="B358" s="69">
        <v>27</v>
      </c>
      <c r="C358" s="69">
        <v>8</v>
      </c>
      <c r="D358" s="69">
        <v>2018</v>
      </c>
      <c r="E358" s="60">
        <v>8</v>
      </c>
      <c r="F358" s="64">
        <v>0</v>
      </c>
      <c r="G358" s="60">
        <v>17</v>
      </c>
      <c r="H358" s="64">
        <v>0</v>
      </c>
      <c r="I358" s="4" t="s">
        <v>7</v>
      </c>
      <c r="J358" s="55">
        <v>8</v>
      </c>
      <c r="K358" s="4" t="s">
        <v>687</v>
      </c>
      <c r="L358" s="27" t="s">
        <v>103</v>
      </c>
      <c r="M358" s="27" t="s">
        <v>122</v>
      </c>
      <c r="N358" s="25" t="s">
        <v>52</v>
      </c>
      <c r="O358" s="25" t="s">
        <v>52</v>
      </c>
      <c r="P358" s="25" t="s">
        <v>6</v>
      </c>
      <c r="Q358" s="51">
        <v>1250</v>
      </c>
      <c r="R358" s="26" t="s">
        <v>413</v>
      </c>
      <c r="S358" s="33" t="s">
        <v>322</v>
      </c>
      <c r="T358" s="33"/>
      <c r="U358" s="97">
        <f>Q358/J358*8</f>
        <v>1250</v>
      </c>
      <c r="V358" s="98">
        <v>250</v>
      </c>
      <c r="W358" s="99">
        <f>$W$2*V358/8*J358</f>
        <v>43.75</v>
      </c>
      <c r="X358" s="99">
        <f>$X$2*V358/8*J358</f>
        <v>43.75</v>
      </c>
      <c r="Y358" s="99">
        <f>$Y$2*V358/8*J358</f>
        <v>0</v>
      </c>
      <c r="Z358" s="99">
        <f>V358-W358-X358-Y358</f>
        <v>162.5</v>
      </c>
    </row>
    <row r="359" spans="1:26" s="45" customFormat="1" hidden="1" x14ac:dyDescent="0.25">
      <c r="A359" s="25" t="s">
        <v>551</v>
      </c>
      <c r="B359" s="65">
        <v>28</v>
      </c>
      <c r="C359" s="89">
        <v>6</v>
      </c>
      <c r="D359" s="65">
        <v>2018</v>
      </c>
      <c r="E359" s="61">
        <v>8</v>
      </c>
      <c r="F359" s="65">
        <v>0</v>
      </c>
      <c r="G359" s="61">
        <v>16</v>
      </c>
      <c r="H359" s="65">
        <v>0</v>
      </c>
      <c r="I359" s="25" t="s">
        <v>7</v>
      </c>
      <c r="J359" s="56">
        <v>8</v>
      </c>
      <c r="K359" s="25" t="s">
        <v>687</v>
      </c>
      <c r="L359" s="27" t="s">
        <v>473</v>
      </c>
      <c r="M359" s="27" t="s">
        <v>575</v>
      </c>
      <c r="N359" s="25" t="s">
        <v>52</v>
      </c>
      <c r="O359" s="25"/>
      <c r="P359" s="25" t="s">
        <v>21</v>
      </c>
      <c r="Q359" s="51">
        <v>1150</v>
      </c>
      <c r="R359" s="27"/>
      <c r="S359" s="27" t="s">
        <v>54</v>
      </c>
      <c r="T359" s="27"/>
      <c r="U359" s="97">
        <f>Q359/J359*8</f>
        <v>1150</v>
      </c>
      <c r="V359" s="98">
        <v>250</v>
      </c>
      <c r="W359" s="99">
        <f>$W$2*V359/8*J359</f>
        <v>43.75</v>
      </c>
      <c r="X359" s="99">
        <f>$X$2*V359/8*J359</f>
        <v>43.75</v>
      </c>
      <c r="Y359" s="99">
        <f>$Y$2*V359/8*J359</f>
        <v>0</v>
      </c>
      <c r="Z359" s="99">
        <f>V359-W359-X359-Y359</f>
        <v>162.5</v>
      </c>
    </row>
    <row r="360" spans="1:26" hidden="1" x14ac:dyDescent="0.25">
      <c r="A360" s="25" t="s">
        <v>557</v>
      </c>
      <c r="B360" s="65">
        <v>28</v>
      </c>
      <c r="C360" s="72">
        <v>8</v>
      </c>
      <c r="D360" s="65">
        <v>2018</v>
      </c>
      <c r="E360" s="61">
        <v>8</v>
      </c>
      <c r="F360" s="65">
        <v>0</v>
      </c>
      <c r="G360" s="61">
        <v>14</v>
      </c>
      <c r="H360" s="65">
        <v>0</v>
      </c>
      <c r="I360" s="25" t="s">
        <v>16</v>
      </c>
      <c r="J360" s="56">
        <v>6</v>
      </c>
      <c r="K360" s="25" t="s">
        <v>13</v>
      </c>
      <c r="L360" s="27" t="s">
        <v>470</v>
      </c>
      <c r="M360" s="27" t="s">
        <v>120</v>
      </c>
      <c r="N360" s="25" t="s">
        <v>52</v>
      </c>
      <c r="O360" s="25"/>
      <c r="P360" s="25" t="s">
        <v>27</v>
      </c>
      <c r="Q360" s="51">
        <v>750</v>
      </c>
      <c r="R360" s="27" t="s">
        <v>573</v>
      </c>
      <c r="S360" s="33" t="s">
        <v>322</v>
      </c>
      <c r="T360" s="33"/>
      <c r="U360" s="45"/>
      <c r="V360" s="45"/>
      <c r="W360" s="45"/>
      <c r="X360" s="45"/>
      <c r="Y360" s="45"/>
      <c r="Z360" s="45"/>
    </row>
    <row r="361" spans="1:26" hidden="1" x14ac:dyDescent="0.25">
      <c r="A361" s="23" t="s">
        <v>78</v>
      </c>
      <c r="B361" s="69">
        <v>28</v>
      </c>
      <c r="C361" s="69">
        <v>8</v>
      </c>
      <c r="D361" s="69">
        <v>2018</v>
      </c>
      <c r="E361" s="60">
        <v>9</v>
      </c>
      <c r="F361" s="64">
        <v>0</v>
      </c>
      <c r="G361" s="60">
        <v>13</v>
      </c>
      <c r="H361" s="64">
        <v>0</v>
      </c>
      <c r="I361" s="4" t="s">
        <v>7</v>
      </c>
      <c r="J361" s="55">
        <v>4</v>
      </c>
      <c r="K361" s="4" t="s">
        <v>12</v>
      </c>
      <c r="L361" s="29" t="s">
        <v>31</v>
      </c>
      <c r="M361" s="29" t="s">
        <v>118</v>
      </c>
      <c r="N361" s="140" t="s">
        <v>52</v>
      </c>
      <c r="O361" s="140" t="s">
        <v>52</v>
      </c>
      <c r="P361" s="140" t="s">
        <v>6</v>
      </c>
      <c r="Q361" s="52">
        <v>650</v>
      </c>
      <c r="R361" s="30" t="s">
        <v>414</v>
      </c>
      <c r="S361" s="33" t="s">
        <v>322</v>
      </c>
      <c r="T361" s="33"/>
      <c r="U361" s="97">
        <f>Q361/J361*8</f>
        <v>1300</v>
      </c>
      <c r="V361" s="98">
        <v>250</v>
      </c>
      <c r="W361" s="99">
        <f>$W$2*V361/8*J361</f>
        <v>21.875</v>
      </c>
      <c r="X361" s="99">
        <f>$X$2*V361/8*J361</f>
        <v>21.875</v>
      </c>
      <c r="Y361" s="99">
        <f>$Y$2*V361/8*J361</f>
        <v>0</v>
      </c>
      <c r="Z361" s="99">
        <f>V361-W361-X361-Y361</f>
        <v>206.25</v>
      </c>
    </row>
    <row r="362" spans="1:26" x14ac:dyDescent="0.25">
      <c r="A362" s="23" t="s">
        <v>78</v>
      </c>
      <c r="B362" s="69" t="s">
        <v>66</v>
      </c>
      <c r="C362" s="69">
        <v>8</v>
      </c>
      <c r="D362" s="69">
        <v>2018</v>
      </c>
      <c r="E362" s="60">
        <v>8</v>
      </c>
      <c r="F362" s="64">
        <v>30</v>
      </c>
      <c r="G362" s="60">
        <v>12</v>
      </c>
      <c r="H362" s="64">
        <v>30</v>
      </c>
      <c r="I362" s="4" t="s">
        <v>7</v>
      </c>
      <c r="J362" s="55">
        <v>4</v>
      </c>
      <c r="K362" s="4" t="s">
        <v>12</v>
      </c>
      <c r="L362" s="14" t="s">
        <v>50</v>
      </c>
      <c r="M362" s="14" t="s">
        <v>51</v>
      </c>
      <c r="N362" s="4" t="s">
        <v>52</v>
      </c>
      <c r="O362" s="4" t="s">
        <v>433</v>
      </c>
      <c r="P362" s="4" t="s">
        <v>6</v>
      </c>
      <c r="Q362" s="50">
        <v>575</v>
      </c>
      <c r="R362" s="14" t="s">
        <v>319</v>
      </c>
      <c r="S362" s="33" t="s">
        <v>322</v>
      </c>
      <c r="T362" s="33"/>
    </row>
    <row r="363" spans="1:26" hidden="1" x14ac:dyDescent="0.25">
      <c r="A363" s="44" t="s">
        <v>552</v>
      </c>
      <c r="B363" s="72">
        <v>29</v>
      </c>
      <c r="C363" s="72">
        <v>8</v>
      </c>
      <c r="D363" s="72">
        <v>2018</v>
      </c>
      <c r="E363" s="61">
        <v>9</v>
      </c>
      <c r="F363" s="65">
        <v>0</v>
      </c>
      <c r="G363" s="61">
        <v>17</v>
      </c>
      <c r="H363" s="65">
        <v>0</v>
      </c>
      <c r="I363" s="25" t="s">
        <v>7</v>
      </c>
      <c r="J363" s="56">
        <v>8</v>
      </c>
      <c r="K363" s="25" t="s">
        <v>687</v>
      </c>
      <c r="L363" s="27" t="s">
        <v>474</v>
      </c>
      <c r="M363" s="27" t="s">
        <v>613</v>
      </c>
      <c r="N363" s="25" t="s">
        <v>52</v>
      </c>
      <c r="O363" s="25" t="s">
        <v>52</v>
      </c>
      <c r="P363" s="25" t="s">
        <v>6</v>
      </c>
      <c r="Q363" s="53">
        <v>1150</v>
      </c>
      <c r="R363" s="26" t="s">
        <v>618</v>
      </c>
      <c r="S363" s="27" t="s">
        <v>54</v>
      </c>
      <c r="T363" s="27"/>
      <c r="U363" s="141">
        <f>Q363/J363*8</f>
        <v>1150</v>
      </c>
      <c r="V363" s="142">
        <v>250</v>
      </c>
      <c r="W363" s="143">
        <f>$W$2*V363/8*J363</f>
        <v>43.75</v>
      </c>
      <c r="X363" s="143">
        <f>$X$2*V363/8*J363</f>
        <v>43.75</v>
      </c>
      <c r="Y363" s="143">
        <f>$Y$2*V363/8*J363</f>
        <v>0</v>
      </c>
      <c r="Z363" s="143">
        <f>V363-W363-X363-Y363</f>
        <v>162.5</v>
      </c>
    </row>
    <row r="364" spans="1:26" hidden="1" x14ac:dyDescent="0.25">
      <c r="A364" s="25" t="s">
        <v>551</v>
      </c>
      <c r="B364" s="65">
        <v>30</v>
      </c>
      <c r="C364" s="72">
        <v>8</v>
      </c>
      <c r="D364" s="65">
        <v>2018</v>
      </c>
      <c r="E364" s="61">
        <v>8</v>
      </c>
      <c r="F364" s="65">
        <v>0</v>
      </c>
      <c r="G364" s="61">
        <v>16</v>
      </c>
      <c r="H364" s="65">
        <v>0</v>
      </c>
      <c r="I364" s="25" t="s">
        <v>7</v>
      </c>
      <c r="J364" s="56">
        <v>8</v>
      </c>
      <c r="K364" s="25" t="s">
        <v>687</v>
      </c>
      <c r="L364" s="27" t="s">
        <v>470</v>
      </c>
      <c r="M364" s="27" t="s">
        <v>120</v>
      </c>
      <c r="N364" s="25" t="s">
        <v>52</v>
      </c>
      <c r="O364" s="25"/>
      <c r="P364" s="25" t="s">
        <v>27</v>
      </c>
      <c r="Q364" s="51">
        <v>1150</v>
      </c>
      <c r="R364" s="27" t="s">
        <v>574</v>
      </c>
      <c r="S364" s="33" t="s">
        <v>322</v>
      </c>
      <c r="T364" s="33"/>
      <c r="U364" s="45"/>
      <c r="V364" s="45"/>
      <c r="W364" s="45"/>
      <c r="X364" s="45"/>
      <c r="Y364" s="45"/>
      <c r="Z364" s="45"/>
    </row>
    <row r="365" spans="1:26" hidden="1" x14ac:dyDescent="0.25">
      <c r="A365" s="92" t="s">
        <v>551</v>
      </c>
      <c r="B365" s="72">
        <v>30</v>
      </c>
      <c r="C365" s="72">
        <v>8</v>
      </c>
      <c r="D365" s="72">
        <v>2018</v>
      </c>
      <c r="E365" s="61">
        <v>8</v>
      </c>
      <c r="F365" s="65">
        <v>0</v>
      </c>
      <c r="G365" s="61">
        <v>16</v>
      </c>
      <c r="H365" s="65">
        <v>0</v>
      </c>
      <c r="I365" s="25" t="s">
        <v>7</v>
      </c>
      <c r="J365" s="56">
        <v>8</v>
      </c>
      <c r="K365" s="25" t="s">
        <v>687</v>
      </c>
      <c r="L365" s="27" t="s">
        <v>473</v>
      </c>
      <c r="M365" s="27" t="s">
        <v>575</v>
      </c>
      <c r="N365" s="25" t="s">
        <v>52</v>
      </c>
      <c r="O365" s="25" t="s">
        <v>577</v>
      </c>
      <c r="P365" s="25" t="s">
        <v>21</v>
      </c>
      <c r="Q365" s="51">
        <v>1150</v>
      </c>
      <c r="R365" s="27" t="s">
        <v>589</v>
      </c>
      <c r="S365" s="27" t="s">
        <v>54</v>
      </c>
      <c r="T365" s="27"/>
      <c r="U365" s="97">
        <f>Q365/J365*8</f>
        <v>1150</v>
      </c>
      <c r="V365" s="98">
        <v>250</v>
      </c>
      <c r="W365" s="99">
        <f>$W$2*V365/8*J365</f>
        <v>43.75</v>
      </c>
      <c r="X365" s="99">
        <f>$X$2*V365/8*J365</f>
        <v>43.75</v>
      </c>
      <c r="Y365" s="99">
        <f>$Y$2*V365/8*J365</f>
        <v>0</v>
      </c>
      <c r="Z365" s="99">
        <f>V365-W365-X365-Y365</f>
        <v>162.5</v>
      </c>
    </row>
    <row r="366" spans="1:26" hidden="1" x14ac:dyDescent="0.25">
      <c r="A366" s="44" t="s">
        <v>551</v>
      </c>
      <c r="B366" s="65">
        <v>30</v>
      </c>
      <c r="C366" s="72">
        <v>8</v>
      </c>
      <c r="D366" s="72">
        <v>2018</v>
      </c>
      <c r="E366" s="61">
        <v>9</v>
      </c>
      <c r="F366" s="65">
        <v>0</v>
      </c>
      <c r="G366" s="61">
        <v>17</v>
      </c>
      <c r="H366" s="65">
        <v>0</v>
      </c>
      <c r="I366" s="25" t="s">
        <v>7</v>
      </c>
      <c r="J366" s="56">
        <v>8</v>
      </c>
      <c r="K366" s="25" t="s">
        <v>687</v>
      </c>
      <c r="L366" s="28" t="s">
        <v>470</v>
      </c>
      <c r="M366" s="27" t="s">
        <v>120</v>
      </c>
      <c r="N366" s="25" t="s">
        <v>52</v>
      </c>
      <c r="O366" s="25" t="s">
        <v>52</v>
      </c>
      <c r="P366" s="25" t="s">
        <v>6</v>
      </c>
      <c r="Q366" s="51">
        <v>1150</v>
      </c>
      <c r="R366" s="26" t="s">
        <v>416</v>
      </c>
      <c r="S366" s="33" t="s">
        <v>322</v>
      </c>
      <c r="T366" s="33"/>
      <c r="U366" s="45"/>
      <c r="V366" s="45"/>
      <c r="W366" s="45"/>
      <c r="X366" s="45"/>
      <c r="Y366" s="45"/>
      <c r="Z366" s="45"/>
    </row>
    <row r="367" spans="1:26" hidden="1" x14ac:dyDescent="0.25">
      <c r="A367" s="25" t="s">
        <v>552</v>
      </c>
      <c r="B367" s="65">
        <v>5</v>
      </c>
      <c r="C367" s="72">
        <v>9</v>
      </c>
      <c r="D367" s="65">
        <v>2018</v>
      </c>
      <c r="E367" s="61">
        <v>8</v>
      </c>
      <c r="F367" s="65">
        <v>0</v>
      </c>
      <c r="G367" s="61">
        <v>16</v>
      </c>
      <c r="H367" s="155">
        <v>0</v>
      </c>
      <c r="I367" s="25" t="s">
        <v>7</v>
      </c>
      <c r="J367" s="56">
        <v>8</v>
      </c>
      <c r="K367" s="25" t="s">
        <v>687</v>
      </c>
      <c r="L367" s="27" t="s">
        <v>31</v>
      </c>
      <c r="M367" s="27" t="s">
        <v>553</v>
      </c>
      <c r="N367" s="25" t="s">
        <v>52</v>
      </c>
      <c r="O367" s="25"/>
      <c r="P367" s="25" t="s">
        <v>6</v>
      </c>
      <c r="Q367" s="51">
        <v>1150</v>
      </c>
      <c r="R367" s="27" t="s">
        <v>554</v>
      </c>
      <c r="S367" s="27" t="s">
        <v>54</v>
      </c>
      <c r="T367" s="27"/>
      <c r="U367" s="141">
        <f>Q367/J367*8</f>
        <v>1150</v>
      </c>
      <c r="V367" s="142">
        <v>220</v>
      </c>
      <c r="W367" s="143">
        <f>$W$2*V367/8*J367</f>
        <v>38.5</v>
      </c>
      <c r="X367" s="143">
        <f>$X$2*V367/8*J367</f>
        <v>38.5</v>
      </c>
      <c r="Y367" s="143">
        <f>$Y$2*V367/8*J367</f>
        <v>0</v>
      </c>
      <c r="Z367" s="143">
        <f>V367-W367-X367-Y367</f>
        <v>143</v>
      </c>
    </row>
    <row r="368" spans="1:26" s="45" customFormat="1" x14ac:dyDescent="0.25">
      <c r="A368" s="25" t="s">
        <v>555</v>
      </c>
      <c r="B368" s="65">
        <v>7</v>
      </c>
      <c r="C368" s="72">
        <v>9</v>
      </c>
      <c r="D368" s="65">
        <v>2018</v>
      </c>
      <c r="E368" s="61">
        <v>10</v>
      </c>
      <c r="F368" s="65">
        <v>0</v>
      </c>
      <c r="G368" s="61">
        <v>15</v>
      </c>
      <c r="H368" s="65">
        <v>0</v>
      </c>
      <c r="I368" s="25" t="s">
        <v>16</v>
      </c>
      <c r="J368" s="56">
        <v>5</v>
      </c>
      <c r="K368" s="25" t="s">
        <v>13</v>
      </c>
      <c r="L368" s="27" t="s">
        <v>28</v>
      </c>
      <c r="M368" s="27" t="s">
        <v>51</v>
      </c>
      <c r="N368" s="25" t="s">
        <v>52</v>
      </c>
      <c r="O368" s="25"/>
      <c r="P368" s="25" t="s">
        <v>6</v>
      </c>
      <c r="Q368" s="51">
        <v>593.75</v>
      </c>
      <c r="R368" s="27" t="s">
        <v>556</v>
      </c>
      <c r="S368" s="27" t="s">
        <v>54</v>
      </c>
      <c r="T368" s="33"/>
      <c r="U368" s="20"/>
      <c r="V368" s="20"/>
      <c r="W368" s="20"/>
      <c r="X368" s="20"/>
      <c r="Y368" s="20"/>
      <c r="Z368" s="20"/>
    </row>
    <row r="369" spans="1:26" x14ac:dyDescent="0.25">
      <c r="A369" s="25" t="s">
        <v>555</v>
      </c>
      <c r="B369" s="65">
        <v>7</v>
      </c>
      <c r="C369" s="89">
        <v>9</v>
      </c>
      <c r="D369" s="65">
        <v>2018</v>
      </c>
      <c r="E369" s="61">
        <v>18</v>
      </c>
      <c r="F369" s="65">
        <v>0</v>
      </c>
      <c r="G369" s="61">
        <v>21</v>
      </c>
      <c r="H369" s="65">
        <v>0</v>
      </c>
      <c r="I369" s="25" t="s">
        <v>16</v>
      </c>
      <c r="J369" s="56">
        <v>3</v>
      </c>
      <c r="K369" s="25" t="s">
        <v>13</v>
      </c>
      <c r="L369" s="27" t="s">
        <v>28</v>
      </c>
      <c r="M369" s="27" t="s">
        <v>51</v>
      </c>
      <c r="N369" s="25" t="s">
        <v>52</v>
      </c>
      <c r="O369" s="25"/>
      <c r="P369" s="25" t="s">
        <v>6</v>
      </c>
      <c r="Q369" s="51">
        <v>356.25</v>
      </c>
      <c r="R369" s="27" t="s">
        <v>619</v>
      </c>
      <c r="S369" s="27" t="s">
        <v>54</v>
      </c>
      <c r="T369" s="33"/>
    </row>
    <row r="370" spans="1:26" s="45" customFormat="1" x14ac:dyDescent="0.25">
      <c r="A370" s="25" t="s">
        <v>620</v>
      </c>
      <c r="B370" s="65">
        <v>8</v>
      </c>
      <c r="C370" s="89">
        <v>9</v>
      </c>
      <c r="D370" s="65">
        <v>2018</v>
      </c>
      <c r="E370" s="61">
        <v>8</v>
      </c>
      <c r="F370" s="65">
        <v>0</v>
      </c>
      <c r="G370" s="61">
        <v>10</v>
      </c>
      <c r="H370" s="65">
        <v>0</v>
      </c>
      <c r="I370" s="25" t="s">
        <v>16</v>
      </c>
      <c r="J370" s="56">
        <v>2</v>
      </c>
      <c r="K370" s="25" t="s">
        <v>13</v>
      </c>
      <c r="L370" s="27" t="s">
        <v>28</v>
      </c>
      <c r="M370" s="27" t="s">
        <v>51</v>
      </c>
      <c r="N370" s="25" t="s">
        <v>52</v>
      </c>
      <c r="O370" s="25"/>
      <c r="P370" s="25" t="s">
        <v>6</v>
      </c>
      <c r="Q370" s="51">
        <v>237.5</v>
      </c>
      <c r="R370" s="27" t="s">
        <v>621</v>
      </c>
      <c r="S370" s="27" t="s">
        <v>54</v>
      </c>
      <c r="T370" s="33"/>
      <c r="U370" s="20"/>
      <c r="V370" s="20"/>
      <c r="W370" s="20"/>
      <c r="X370" s="20"/>
      <c r="Y370" s="20"/>
      <c r="Z370" s="20"/>
    </row>
    <row r="371" spans="1:26" hidden="1" x14ac:dyDescent="0.25">
      <c r="A371" s="25" t="s">
        <v>570</v>
      </c>
      <c r="B371" s="65">
        <v>10</v>
      </c>
      <c r="C371" s="89">
        <v>9</v>
      </c>
      <c r="D371" s="65">
        <v>2018</v>
      </c>
      <c r="E371" s="61">
        <v>9</v>
      </c>
      <c r="F371" s="65">
        <v>0</v>
      </c>
      <c r="G371" s="61">
        <v>10</v>
      </c>
      <c r="H371" s="65">
        <v>0</v>
      </c>
      <c r="I371" s="25" t="s">
        <v>16</v>
      </c>
      <c r="J371" s="56">
        <v>1</v>
      </c>
      <c r="K371" s="25" t="s">
        <v>13</v>
      </c>
      <c r="L371" s="27" t="s">
        <v>99</v>
      </c>
      <c r="M371" s="27" t="s">
        <v>624</v>
      </c>
      <c r="N371" s="25" t="s">
        <v>52</v>
      </c>
      <c r="O371" s="25"/>
      <c r="P371" s="25" t="s">
        <v>6</v>
      </c>
      <c r="Q371" s="51">
        <v>0</v>
      </c>
      <c r="R371" s="27" t="s">
        <v>627</v>
      </c>
      <c r="S371" s="27" t="s">
        <v>54</v>
      </c>
      <c r="T371" s="27"/>
      <c r="U371" s="45"/>
      <c r="V371" s="45"/>
      <c r="W371" s="45"/>
      <c r="X371" s="45"/>
      <c r="Y371" s="45"/>
      <c r="Z371" s="45"/>
    </row>
    <row r="372" spans="1:26" s="45" customFormat="1" hidden="1" x14ac:dyDescent="0.25">
      <c r="A372" s="25" t="s">
        <v>570</v>
      </c>
      <c r="B372" s="65">
        <v>10</v>
      </c>
      <c r="C372" s="89">
        <v>9</v>
      </c>
      <c r="D372" s="65">
        <v>2018</v>
      </c>
      <c r="E372" s="61">
        <v>11</v>
      </c>
      <c r="F372" s="65">
        <v>0</v>
      </c>
      <c r="G372" s="61">
        <v>13</v>
      </c>
      <c r="H372" s="65">
        <v>0</v>
      </c>
      <c r="I372" s="25" t="s">
        <v>16</v>
      </c>
      <c r="J372" s="56">
        <v>2</v>
      </c>
      <c r="K372" s="25" t="s">
        <v>13</v>
      </c>
      <c r="L372" s="27" t="s">
        <v>99</v>
      </c>
      <c r="M372" s="27" t="s">
        <v>624</v>
      </c>
      <c r="N372" s="25" t="s">
        <v>52</v>
      </c>
      <c r="O372" s="25"/>
      <c r="P372" s="25" t="s">
        <v>6</v>
      </c>
      <c r="Q372" s="51">
        <v>0</v>
      </c>
      <c r="R372" s="27" t="s">
        <v>625</v>
      </c>
      <c r="S372" s="27" t="s">
        <v>54</v>
      </c>
      <c r="T372" s="27"/>
    </row>
    <row r="373" spans="1:26" s="45" customFormat="1" hidden="1" x14ac:dyDescent="0.25">
      <c r="A373" s="25" t="s">
        <v>570</v>
      </c>
      <c r="B373" s="65">
        <v>10</v>
      </c>
      <c r="C373" s="89">
        <v>9</v>
      </c>
      <c r="D373" s="65">
        <v>2018</v>
      </c>
      <c r="E373" s="61">
        <v>14</v>
      </c>
      <c r="F373" s="65">
        <v>0</v>
      </c>
      <c r="G373" s="61">
        <v>18</v>
      </c>
      <c r="H373" s="65">
        <v>0</v>
      </c>
      <c r="I373" s="25" t="s">
        <v>16</v>
      </c>
      <c r="J373" s="56">
        <v>4</v>
      </c>
      <c r="K373" s="25" t="s">
        <v>13</v>
      </c>
      <c r="L373" s="27" t="s">
        <v>99</v>
      </c>
      <c r="M373" s="27" t="s">
        <v>624</v>
      </c>
      <c r="N373" s="25" t="s">
        <v>52</v>
      </c>
      <c r="O373" s="25"/>
      <c r="P373" s="25" t="s">
        <v>6</v>
      </c>
      <c r="Q373" s="51">
        <v>0</v>
      </c>
      <c r="R373" s="27" t="s">
        <v>626</v>
      </c>
      <c r="S373" s="27" t="s">
        <v>54</v>
      </c>
      <c r="T373" s="27"/>
    </row>
    <row r="374" spans="1:26" s="45" customFormat="1" hidden="1" x14ac:dyDescent="0.25">
      <c r="A374" s="25" t="s">
        <v>557</v>
      </c>
      <c r="B374" s="65">
        <v>11</v>
      </c>
      <c r="C374" s="72">
        <v>9</v>
      </c>
      <c r="D374" s="65">
        <v>2018</v>
      </c>
      <c r="E374" s="61">
        <v>9</v>
      </c>
      <c r="F374" s="65">
        <v>0</v>
      </c>
      <c r="G374" s="61">
        <v>13</v>
      </c>
      <c r="H374" s="65">
        <v>0</v>
      </c>
      <c r="I374" s="25" t="s">
        <v>7</v>
      </c>
      <c r="J374" s="56">
        <v>4</v>
      </c>
      <c r="K374" s="25" t="s">
        <v>12</v>
      </c>
      <c r="L374" s="27" t="s">
        <v>31</v>
      </c>
      <c r="M374" s="27" t="s">
        <v>553</v>
      </c>
      <c r="N374" s="25" t="s">
        <v>52</v>
      </c>
      <c r="O374" s="25"/>
      <c r="P374" s="25" t="s">
        <v>6</v>
      </c>
      <c r="Q374" s="51">
        <v>650</v>
      </c>
      <c r="R374" s="27" t="s">
        <v>558</v>
      </c>
      <c r="S374" s="27" t="s">
        <v>54</v>
      </c>
      <c r="T374" s="31"/>
      <c r="U374" s="97">
        <f>Q374/J374*8</f>
        <v>1300</v>
      </c>
      <c r="V374" s="98">
        <v>250</v>
      </c>
      <c r="W374" s="99">
        <f>$W$2*V374/8*J374</f>
        <v>21.875</v>
      </c>
      <c r="X374" s="99">
        <f>$X$2*V374/8*J374</f>
        <v>21.875</v>
      </c>
      <c r="Y374" s="99">
        <f>$Y$2*V374/8*J374</f>
        <v>0</v>
      </c>
      <c r="Z374" s="99">
        <f>V374-W374-X374-Y374</f>
        <v>206.25</v>
      </c>
    </row>
    <row r="375" spans="1:26" s="45" customFormat="1" hidden="1" x14ac:dyDescent="0.25">
      <c r="A375" s="25" t="s">
        <v>557</v>
      </c>
      <c r="B375" s="65">
        <v>11</v>
      </c>
      <c r="C375" s="89">
        <v>9</v>
      </c>
      <c r="D375" s="65">
        <v>2018</v>
      </c>
      <c r="E375" s="61">
        <v>14</v>
      </c>
      <c r="F375" s="65">
        <v>0</v>
      </c>
      <c r="G375" s="61">
        <v>16</v>
      </c>
      <c r="H375" s="65">
        <v>30</v>
      </c>
      <c r="I375" s="25" t="s">
        <v>16</v>
      </c>
      <c r="J375" s="56">
        <v>2.5</v>
      </c>
      <c r="K375" s="25" t="s">
        <v>13</v>
      </c>
      <c r="L375" s="27" t="s">
        <v>99</v>
      </c>
      <c r="M375" s="27" t="s">
        <v>624</v>
      </c>
      <c r="N375" s="25" t="s">
        <v>52</v>
      </c>
      <c r="O375" s="25"/>
      <c r="P375" s="25" t="s">
        <v>6</v>
      </c>
      <c r="Q375" s="51">
        <v>0</v>
      </c>
      <c r="R375" s="27" t="s">
        <v>629</v>
      </c>
      <c r="S375" s="27" t="s">
        <v>54</v>
      </c>
      <c r="T375" s="27"/>
    </row>
    <row r="376" spans="1:26" s="45" customFormat="1" x14ac:dyDescent="0.25">
      <c r="A376" s="25" t="s">
        <v>557</v>
      </c>
      <c r="B376" s="65">
        <v>11</v>
      </c>
      <c r="C376" s="89">
        <v>9</v>
      </c>
      <c r="D376" s="65">
        <v>2018</v>
      </c>
      <c r="E376" s="61">
        <v>17</v>
      </c>
      <c r="F376" s="65">
        <v>0</v>
      </c>
      <c r="G376" s="61">
        <v>19</v>
      </c>
      <c r="H376" s="65">
        <v>0</v>
      </c>
      <c r="I376" s="25" t="s">
        <v>16</v>
      </c>
      <c r="J376" s="56">
        <v>2</v>
      </c>
      <c r="K376" s="25" t="s">
        <v>13</v>
      </c>
      <c r="L376" s="27" t="s">
        <v>28</v>
      </c>
      <c r="M376" s="27" t="s">
        <v>51</v>
      </c>
      <c r="N376" s="25" t="s">
        <v>132</v>
      </c>
      <c r="O376" s="25"/>
      <c r="P376" s="25" t="s">
        <v>6</v>
      </c>
      <c r="Q376" s="51">
        <f>J376*118.75</f>
        <v>237.5</v>
      </c>
      <c r="R376" s="27" t="s">
        <v>628</v>
      </c>
      <c r="S376" s="27" t="s">
        <v>54</v>
      </c>
      <c r="T376" s="33"/>
      <c r="U376" s="20"/>
      <c r="V376" s="20"/>
      <c r="W376" s="20"/>
      <c r="X376" s="20"/>
      <c r="Y376" s="20"/>
      <c r="Z376" s="20"/>
    </row>
    <row r="377" spans="1:26" s="45" customFormat="1" hidden="1" x14ac:dyDescent="0.25">
      <c r="A377" s="25" t="s">
        <v>552</v>
      </c>
      <c r="B377" s="65">
        <v>12</v>
      </c>
      <c r="C377" s="72">
        <v>9</v>
      </c>
      <c r="D377" s="65">
        <v>2018</v>
      </c>
      <c r="E377" s="61">
        <v>8</v>
      </c>
      <c r="F377" s="65">
        <v>30</v>
      </c>
      <c r="G377" s="61">
        <v>12</v>
      </c>
      <c r="H377" s="65">
        <v>30</v>
      </c>
      <c r="I377" s="25" t="s">
        <v>7</v>
      </c>
      <c r="J377" s="56">
        <v>4</v>
      </c>
      <c r="K377" s="25" t="s">
        <v>12</v>
      </c>
      <c r="L377" s="27" t="s">
        <v>470</v>
      </c>
      <c r="M377" s="27" t="s">
        <v>120</v>
      </c>
      <c r="N377" s="25" t="s">
        <v>52</v>
      </c>
      <c r="O377" s="25"/>
      <c r="P377" s="25" t="s">
        <v>6</v>
      </c>
      <c r="Q377" s="51">
        <v>650</v>
      </c>
      <c r="R377" s="27" t="s">
        <v>630</v>
      </c>
      <c r="S377" s="27" t="s">
        <v>54</v>
      </c>
      <c r="T377" s="27"/>
    </row>
    <row r="378" spans="1:26" s="45" customFormat="1" x14ac:dyDescent="0.25">
      <c r="A378" s="25" t="s">
        <v>552</v>
      </c>
      <c r="B378" s="65">
        <v>12</v>
      </c>
      <c r="C378" s="89">
        <v>9</v>
      </c>
      <c r="D378" s="65">
        <v>2018</v>
      </c>
      <c r="E378" s="61">
        <v>14</v>
      </c>
      <c r="F378" s="65">
        <v>0</v>
      </c>
      <c r="G378" s="61">
        <v>17</v>
      </c>
      <c r="H378" s="65">
        <v>0</v>
      </c>
      <c r="I378" s="25" t="s">
        <v>16</v>
      </c>
      <c r="J378" s="56">
        <v>3</v>
      </c>
      <c r="K378" s="25" t="s">
        <v>13</v>
      </c>
      <c r="L378" s="27" t="s">
        <v>28</v>
      </c>
      <c r="M378" s="27" t="s">
        <v>51</v>
      </c>
      <c r="N378" s="25" t="s">
        <v>52</v>
      </c>
      <c r="O378" s="25"/>
      <c r="P378" s="25" t="s">
        <v>6</v>
      </c>
      <c r="Q378" s="51">
        <v>356.25</v>
      </c>
      <c r="R378" s="27" t="s">
        <v>631</v>
      </c>
      <c r="S378" s="27" t="s">
        <v>54</v>
      </c>
      <c r="T378" s="33"/>
      <c r="U378" s="20"/>
      <c r="V378" s="20"/>
      <c r="W378" s="20"/>
      <c r="X378" s="20"/>
      <c r="Y378" s="20"/>
      <c r="Z378" s="20"/>
    </row>
    <row r="379" spans="1:26" s="45" customFormat="1" hidden="1" x14ac:dyDescent="0.25">
      <c r="A379" s="25" t="s">
        <v>552</v>
      </c>
      <c r="B379" s="65">
        <v>12</v>
      </c>
      <c r="C379" s="89">
        <v>9</v>
      </c>
      <c r="D379" s="65">
        <v>2018</v>
      </c>
      <c r="E379" s="61">
        <v>19</v>
      </c>
      <c r="F379" s="65">
        <v>0</v>
      </c>
      <c r="G379" s="61">
        <v>20</v>
      </c>
      <c r="H379" s="65">
        <v>0</v>
      </c>
      <c r="I379" s="25" t="s">
        <v>16</v>
      </c>
      <c r="J379" s="56">
        <v>1</v>
      </c>
      <c r="K379" s="25" t="s">
        <v>13</v>
      </c>
      <c r="L379" s="27" t="s">
        <v>99</v>
      </c>
      <c r="M379" s="27" t="s">
        <v>624</v>
      </c>
      <c r="N379" s="25" t="s">
        <v>52</v>
      </c>
      <c r="O379" s="25"/>
      <c r="P379" s="25" t="s">
        <v>6</v>
      </c>
      <c r="Q379" s="51">
        <v>0</v>
      </c>
      <c r="R379" s="27" t="s">
        <v>633</v>
      </c>
      <c r="S379" s="27" t="s">
        <v>54</v>
      </c>
      <c r="T379" s="27"/>
    </row>
    <row r="380" spans="1:26" s="45" customFormat="1" x14ac:dyDescent="0.25">
      <c r="A380" s="25" t="s">
        <v>552</v>
      </c>
      <c r="B380" s="65">
        <v>12</v>
      </c>
      <c r="C380" s="89">
        <v>9</v>
      </c>
      <c r="D380" s="65">
        <v>2018</v>
      </c>
      <c r="E380" s="61">
        <v>17</v>
      </c>
      <c r="F380" s="65">
        <v>0</v>
      </c>
      <c r="G380" s="61">
        <v>18</v>
      </c>
      <c r="H380" s="65">
        <v>0</v>
      </c>
      <c r="I380" s="25" t="s">
        <v>16</v>
      </c>
      <c r="J380" s="158">
        <v>1</v>
      </c>
      <c r="K380" s="25" t="s">
        <v>13</v>
      </c>
      <c r="L380" s="27" t="s">
        <v>28</v>
      </c>
      <c r="M380" s="27" t="s">
        <v>51</v>
      </c>
      <c r="N380" s="25" t="s">
        <v>132</v>
      </c>
      <c r="O380" s="25"/>
      <c r="P380" s="25" t="s">
        <v>6</v>
      </c>
      <c r="Q380" s="51">
        <v>118.75</v>
      </c>
      <c r="R380" s="27" t="s">
        <v>652</v>
      </c>
      <c r="S380" s="27" t="s">
        <v>54</v>
      </c>
      <c r="T380" s="33"/>
      <c r="U380" s="20"/>
      <c r="V380" s="20"/>
      <c r="W380" s="20"/>
      <c r="X380" s="20"/>
      <c r="Y380" s="20"/>
      <c r="Z380" s="20"/>
    </row>
    <row r="381" spans="1:26" s="45" customFormat="1" hidden="1" x14ac:dyDescent="0.25">
      <c r="A381" s="25" t="s">
        <v>551</v>
      </c>
      <c r="B381" s="65">
        <v>13</v>
      </c>
      <c r="C381" s="89">
        <v>9</v>
      </c>
      <c r="D381" s="65">
        <v>2018</v>
      </c>
      <c r="E381" s="61">
        <v>16</v>
      </c>
      <c r="F381" s="65">
        <v>30</v>
      </c>
      <c r="G381" s="61">
        <v>20</v>
      </c>
      <c r="H381" s="65">
        <v>0</v>
      </c>
      <c r="I381" s="25" t="s">
        <v>7</v>
      </c>
      <c r="J381" s="56" t="s">
        <v>656</v>
      </c>
      <c r="K381" s="25" t="s">
        <v>13</v>
      </c>
      <c r="L381" s="27" t="s">
        <v>99</v>
      </c>
      <c r="M381" s="27" t="s">
        <v>624</v>
      </c>
      <c r="N381" s="25" t="s">
        <v>52</v>
      </c>
      <c r="O381" s="25"/>
      <c r="P381" s="25" t="s">
        <v>6</v>
      </c>
      <c r="Q381" s="51">
        <v>0</v>
      </c>
      <c r="R381" s="27" t="s">
        <v>632</v>
      </c>
      <c r="S381" s="27" t="s">
        <v>54</v>
      </c>
      <c r="T381" s="27"/>
    </row>
    <row r="382" spans="1:26" s="87" customFormat="1" hidden="1" x14ac:dyDescent="0.25">
      <c r="A382" s="25" t="s">
        <v>551</v>
      </c>
      <c r="B382" s="65">
        <v>13</v>
      </c>
      <c r="C382" s="89">
        <v>9</v>
      </c>
      <c r="D382" s="65">
        <v>2018</v>
      </c>
      <c r="E382" s="61">
        <v>8</v>
      </c>
      <c r="F382" s="65">
        <v>30</v>
      </c>
      <c r="G382" s="61">
        <v>10</v>
      </c>
      <c r="H382" s="65">
        <v>0</v>
      </c>
      <c r="I382" s="25" t="s">
        <v>16</v>
      </c>
      <c r="J382" s="158">
        <v>1.5</v>
      </c>
      <c r="K382" s="25" t="s">
        <v>13</v>
      </c>
      <c r="L382" s="27" t="s">
        <v>31</v>
      </c>
      <c r="M382" s="27" t="s">
        <v>553</v>
      </c>
      <c r="N382" s="25" t="s">
        <v>52</v>
      </c>
      <c r="O382" s="25"/>
      <c r="P382" s="25" t="s">
        <v>6</v>
      </c>
      <c r="Q382" s="88">
        <f>J382*125</f>
        <v>187.5</v>
      </c>
      <c r="R382" s="27" t="s">
        <v>653</v>
      </c>
      <c r="S382" s="27" t="s">
        <v>54</v>
      </c>
      <c r="T382" s="27"/>
      <c r="U382" s="45"/>
      <c r="V382" s="45"/>
      <c r="W382" s="45"/>
      <c r="X382" s="45"/>
      <c r="Y382" s="45"/>
      <c r="Z382" s="45"/>
    </row>
    <row r="383" spans="1:26" s="87" customFormat="1" hidden="1" x14ac:dyDescent="0.25">
      <c r="A383" s="25" t="s">
        <v>551</v>
      </c>
      <c r="B383" s="65">
        <v>13</v>
      </c>
      <c r="C383" s="89">
        <v>9</v>
      </c>
      <c r="D383" s="65">
        <v>2018</v>
      </c>
      <c r="E383" s="61">
        <v>10</v>
      </c>
      <c r="F383" s="65">
        <v>0</v>
      </c>
      <c r="G383" s="61">
        <v>11</v>
      </c>
      <c r="H383" s="65">
        <v>30</v>
      </c>
      <c r="I383" s="25" t="s">
        <v>16</v>
      </c>
      <c r="J383" s="158">
        <v>1.5</v>
      </c>
      <c r="K383" s="25" t="s">
        <v>13</v>
      </c>
      <c r="L383" s="27" t="s">
        <v>31</v>
      </c>
      <c r="M383" s="27" t="s">
        <v>553</v>
      </c>
      <c r="N383" s="25" t="s">
        <v>52</v>
      </c>
      <c r="O383" s="25"/>
      <c r="P383" s="25" t="s">
        <v>6</v>
      </c>
      <c r="Q383" s="88">
        <f>J383*125</f>
        <v>187.5</v>
      </c>
      <c r="R383" s="27" t="s">
        <v>654</v>
      </c>
      <c r="S383" s="27" t="s">
        <v>54</v>
      </c>
      <c r="T383" s="27"/>
      <c r="U383" s="45"/>
      <c r="V383" s="45"/>
      <c r="W383" s="45"/>
      <c r="X383" s="45"/>
      <c r="Y383" s="45"/>
      <c r="Z383" s="45"/>
    </row>
    <row r="384" spans="1:26" s="87" customFormat="1" hidden="1" x14ac:dyDescent="0.25">
      <c r="A384" s="25" t="s">
        <v>551</v>
      </c>
      <c r="B384" s="65">
        <v>13</v>
      </c>
      <c r="C384" s="89">
        <v>9</v>
      </c>
      <c r="D384" s="65">
        <v>2018</v>
      </c>
      <c r="E384" s="61">
        <v>11</v>
      </c>
      <c r="F384" s="65">
        <v>30</v>
      </c>
      <c r="G384" s="61">
        <v>12</v>
      </c>
      <c r="H384" s="65">
        <v>30</v>
      </c>
      <c r="I384" s="25" t="s">
        <v>16</v>
      </c>
      <c r="J384" s="56">
        <v>1</v>
      </c>
      <c r="K384" s="25" t="s">
        <v>13</v>
      </c>
      <c r="L384" s="27" t="s">
        <v>31</v>
      </c>
      <c r="M384" s="27" t="s">
        <v>553</v>
      </c>
      <c r="N384" s="25" t="s">
        <v>52</v>
      </c>
      <c r="O384" s="25"/>
      <c r="P384" s="25" t="s">
        <v>6</v>
      </c>
      <c r="Q384" s="51">
        <v>125</v>
      </c>
      <c r="R384" s="27" t="s">
        <v>655</v>
      </c>
      <c r="S384" s="27" t="s">
        <v>54</v>
      </c>
      <c r="T384" s="27"/>
      <c r="U384" s="45"/>
      <c r="V384" s="45"/>
      <c r="W384" s="45"/>
      <c r="X384" s="45"/>
      <c r="Y384" s="45"/>
      <c r="Z384" s="45"/>
    </row>
    <row r="385" spans="1:26" s="87" customFormat="1" x14ac:dyDescent="0.25">
      <c r="A385" s="32" t="s">
        <v>570</v>
      </c>
      <c r="B385" s="66">
        <v>17</v>
      </c>
      <c r="C385" s="157">
        <v>9</v>
      </c>
      <c r="D385" s="66">
        <v>2018</v>
      </c>
      <c r="E385" s="62">
        <v>13</v>
      </c>
      <c r="F385" s="66">
        <v>0</v>
      </c>
      <c r="G385" s="62">
        <v>15</v>
      </c>
      <c r="H385" s="66">
        <v>0</v>
      </c>
      <c r="I385" s="32" t="s">
        <v>16</v>
      </c>
      <c r="J385" s="57">
        <v>2</v>
      </c>
      <c r="K385" s="32" t="s">
        <v>13</v>
      </c>
      <c r="L385" s="31" t="s">
        <v>28</v>
      </c>
      <c r="M385" s="31" t="s">
        <v>51</v>
      </c>
      <c r="N385" s="32" t="s">
        <v>52</v>
      </c>
      <c r="O385" s="32"/>
      <c r="P385" s="32" t="s">
        <v>6</v>
      </c>
      <c r="Q385" s="54">
        <f>J385*118.75</f>
        <v>237.5</v>
      </c>
      <c r="R385" s="31" t="s">
        <v>634</v>
      </c>
      <c r="S385" s="31" t="s">
        <v>321</v>
      </c>
      <c r="T385" s="33"/>
      <c r="U385" s="20"/>
      <c r="V385" s="20"/>
      <c r="W385" s="20"/>
      <c r="X385" s="20"/>
      <c r="Y385" s="20"/>
      <c r="Z385" s="20"/>
    </row>
    <row r="386" spans="1:26" s="87" customFormat="1" x14ac:dyDescent="0.25">
      <c r="A386" s="25" t="s">
        <v>570</v>
      </c>
      <c r="B386" s="65">
        <v>17</v>
      </c>
      <c r="C386" s="89">
        <v>9</v>
      </c>
      <c r="D386" s="65">
        <v>2018</v>
      </c>
      <c r="E386" s="61">
        <v>9</v>
      </c>
      <c r="F386" s="65">
        <v>0</v>
      </c>
      <c r="G386" s="61">
        <v>10</v>
      </c>
      <c r="H386" s="65">
        <v>30</v>
      </c>
      <c r="I386" s="25" t="s">
        <v>16</v>
      </c>
      <c r="J386" s="158">
        <v>1.5</v>
      </c>
      <c r="K386" s="25" t="s">
        <v>13</v>
      </c>
      <c r="L386" s="27" t="s">
        <v>28</v>
      </c>
      <c r="M386" s="27" t="s">
        <v>51</v>
      </c>
      <c r="N386" s="25" t="s">
        <v>52</v>
      </c>
      <c r="O386" s="25"/>
      <c r="P386" s="25" t="s">
        <v>6</v>
      </c>
      <c r="Q386" s="51">
        <v>178.125</v>
      </c>
      <c r="R386" s="27" t="s">
        <v>657</v>
      </c>
      <c r="S386" s="27" t="s">
        <v>54</v>
      </c>
      <c r="T386" s="33"/>
      <c r="U386" s="20"/>
      <c r="V386" s="20"/>
      <c r="W386" s="20"/>
      <c r="X386" s="20"/>
      <c r="Y386" s="20"/>
      <c r="Z386" s="20"/>
    </row>
    <row r="387" spans="1:26" s="87" customFormat="1" hidden="1" x14ac:dyDescent="0.25">
      <c r="A387" s="32" t="s">
        <v>552</v>
      </c>
      <c r="B387" s="66">
        <v>19</v>
      </c>
      <c r="C387" s="157">
        <v>9</v>
      </c>
      <c r="D387" s="66">
        <v>2018</v>
      </c>
      <c r="E387" s="62">
        <v>7</v>
      </c>
      <c r="F387" s="66">
        <v>30</v>
      </c>
      <c r="G387" s="62">
        <v>11</v>
      </c>
      <c r="H387" s="66">
        <v>30</v>
      </c>
      <c r="I387" s="32" t="s">
        <v>7</v>
      </c>
      <c r="J387" s="57">
        <v>4</v>
      </c>
      <c r="K387" s="32" t="s">
        <v>12</v>
      </c>
      <c r="L387" s="31" t="s">
        <v>635</v>
      </c>
      <c r="M387" s="31" t="s">
        <v>644</v>
      </c>
      <c r="N387" s="32" t="s">
        <v>52</v>
      </c>
      <c r="O387" s="32"/>
      <c r="P387" s="32" t="s">
        <v>6</v>
      </c>
      <c r="Q387" s="54">
        <v>650</v>
      </c>
      <c r="R387" s="31" t="s">
        <v>645</v>
      </c>
      <c r="S387" s="31" t="s">
        <v>321</v>
      </c>
      <c r="T387" s="31"/>
    </row>
    <row r="388" spans="1:26" s="87" customFormat="1" x14ac:dyDescent="0.25">
      <c r="A388" s="32" t="s">
        <v>552</v>
      </c>
      <c r="B388" s="66">
        <v>19</v>
      </c>
      <c r="C388" s="157">
        <v>9</v>
      </c>
      <c r="D388" s="66">
        <v>2018</v>
      </c>
      <c r="E388" s="62">
        <v>16</v>
      </c>
      <c r="F388" s="66">
        <v>0</v>
      </c>
      <c r="G388" s="62">
        <v>18</v>
      </c>
      <c r="H388" s="66">
        <v>0</v>
      </c>
      <c r="I388" s="32" t="s">
        <v>16</v>
      </c>
      <c r="J388" s="57">
        <v>2</v>
      </c>
      <c r="K388" s="32" t="s">
        <v>13</v>
      </c>
      <c r="L388" s="31" t="s">
        <v>28</v>
      </c>
      <c r="M388" s="31" t="s">
        <v>51</v>
      </c>
      <c r="N388" s="32" t="s">
        <v>52</v>
      </c>
      <c r="O388" s="32"/>
      <c r="P388" s="32" t="s">
        <v>6</v>
      </c>
      <c r="Q388" s="54">
        <f>J388*118.75</f>
        <v>237.5</v>
      </c>
      <c r="R388" s="31" t="s">
        <v>646</v>
      </c>
      <c r="S388" s="31" t="s">
        <v>321</v>
      </c>
      <c r="T388" s="33"/>
      <c r="U388" s="20"/>
      <c r="V388" s="20"/>
      <c r="W388" s="20"/>
      <c r="X388" s="20"/>
      <c r="Y388" s="20"/>
      <c r="Z388" s="20"/>
    </row>
    <row r="389" spans="1:26" s="45" customFormat="1" hidden="1" x14ac:dyDescent="0.25">
      <c r="A389" s="32" t="s">
        <v>552</v>
      </c>
      <c r="B389" s="66">
        <v>26</v>
      </c>
      <c r="C389" s="157">
        <v>9</v>
      </c>
      <c r="D389" s="66">
        <v>2018</v>
      </c>
      <c r="E389" s="62">
        <v>8</v>
      </c>
      <c r="F389" s="66">
        <v>30</v>
      </c>
      <c r="G389" s="62">
        <v>12</v>
      </c>
      <c r="H389" s="66">
        <v>30</v>
      </c>
      <c r="I389" s="32" t="s">
        <v>7</v>
      </c>
      <c r="J389" s="57">
        <v>4</v>
      </c>
      <c r="K389" s="32" t="s">
        <v>12</v>
      </c>
      <c r="L389" s="31" t="s">
        <v>470</v>
      </c>
      <c r="M389" s="31" t="s">
        <v>120</v>
      </c>
      <c r="N389" s="32" t="s">
        <v>52</v>
      </c>
      <c r="O389" s="32"/>
      <c r="P389" s="32" t="s">
        <v>6</v>
      </c>
      <c r="Q389" s="54">
        <v>650</v>
      </c>
      <c r="R389" s="31" t="s">
        <v>647</v>
      </c>
      <c r="S389" s="31" t="s">
        <v>321</v>
      </c>
      <c r="T389" s="31"/>
      <c r="U389" s="87"/>
      <c r="V389" s="87"/>
      <c r="W389" s="87"/>
      <c r="X389" s="87"/>
      <c r="Y389" s="87"/>
      <c r="Z389" s="87"/>
    </row>
    <row r="390" spans="1:26" s="45" customFormat="1" x14ac:dyDescent="0.25">
      <c r="A390" s="32" t="s">
        <v>551</v>
      </c>
      <c r="B390" s="66">
        <v>27</v>
      </c>
      <c r="C390" s="73">
        <v>9</v>
      </c>
      <c r="D390" s="66">
        <v>2018</v>
      </c>
      <c r="E390" s="62">
        <v>8</v>
      </c>
      <c r="F390" s="66">
        <v>30</v>
      </c>
      <c r="G390" s="62">
        <v>12</v>
      </c>
      <c r="H390" s="66">
        <v>30</v>
      </c>
      <c r="I390" s="32" t="s">
        <v>7</v>
      </c>
      <c r="J390" s="57">
        <v>4</v>
      </c>
      <c r="K390" s="32" t="s">
        <v>12</v>
      </c>
      <c r="L390" s="31" t="s">
        <v>28</v>
      </c>
      <c r="M390" s="31" t="s">
        <v>51</v>
      </c>
      <c r="N390" s="32" t="s">
        <v>52</v>
      </c>
      <c r="O390" s="32"/>
      <c r="P390" s="32" t="s">
        <v>6</v>
      </c>
      <c r="Q390" s="54">
        <v>575</v>
      </c>
      <c r="R390" s="31" t="s">
        <v>559</v>
      </c>
      <c r="S390" s="31" t="s">
        <v>321</v>
      </c>
      <c r="T390" s="33"/>
      <c r="U390" s="20"/>
      <c r="V390" s="20"/>
      <c r="W390" s="20"/>
      <c r="X390" s="20"/>
      <c r="Y390" s="20"/>
      <c r="Z390" s="20"/>
    </row>
    <row r="391" spans="1:26" s="45" customFormat="1" x14ac:dyDescent="0.25">
      <c r="A391" s="32" t="s">
        <v>551</v>
      </c>
      <c r="B391" s="66">
        <v>27</v>
      </c>
      <c r="C391" s="157">
        <v>9</v>
      </c>
      <c r="D391" s="66">
        <v>2018</v>
      </c>
      <c r="E391" s="62">
        <v>8</v>
      </c>
      <c r="F391" s="66">
        <v>30</v>
      </c>
      <c r="G391" s="62">
        <v>12</v>
      </c>
      <c r="H391" s="66">
        <v>30</v>
      </c>
      <c r="I391" s="32" t="s">
        <v>7</v>
      </c>
      <c r="J391" s="57">
        <v>4</v>
      </c>
      <c r="K391" s="32" t="s">
        <v>12</v>
      </c>
      <c r="L391" s="31" t="s">
        <v>28</v>
      </c>
      <c r="M391" s="31" t="s">
        <v>51</v>
      </c>
      <c r="N391" s="32" t="s">
        <v>52</v>
      </c>
      <c r="O391" s="32"/>
      <c r="P391" s="32" t="s">
        <v>6</v>
      </c>
      <c r="Q391" s="54">
        <v>575</v>
      </c>
      <c r="R391" s="31" t="s">
        <v>648</v>
      </c>
      <c r="S391" s="31" t="s">
        <v>321</v>
      </c>
      <c r="T391" s="33"/>
      <c r="U391" s="20"/>
      <c r="V391" s="20"/>
      <c r="W391" s="20"/>
      <c r="X391" s="20"/>
      <c r="Y391" s="20"/>
      <c r="Z391" s="20"/>
    </row>
    <row r="392" spans="1:26" s="45" customFormat="1" hidden="1" x14ac:dyDescent="0.25">
      <c r="A392" s="32" t="s">
        <v>551</v>
      </c>
      <c r="B392" s="66">
        <v>27</v>
      </c>
      <c r="C392" s="157">
        <v>9</v>
      </c>
      <c r="D392" s="66">
        <v>2018</v>
      </c>
      <c r="E392" s="62">
        <v>13</v>
      </c>
      <c r="F392" s="66">
        <v>0</v>
      </c>
      <c r="G392" s="62">
        <v>17</v>
      </c>
      <c r="H392" s="66">
        <v>0</v>
      </c>
      <c r="I392" s="32" t="s">
        <v>7</v>
      </c>
      <c r="J392" s="57">
        <v>4</v>
      </c>
      <c r="K392" s="32" t="s">
        <v>12</v>
      </c>
      <c r="L392" s="31" t="s">
        <v>34</v>
      </c>
      <c r="M392" s="31" t="s">
        <v>649</v>
      </c>
      <c r="N392" s="32" t="s">
        <v>52</v>
      </c>
      <c r="O392" s="32"/>
      <c r="P392" s="32" t="s">
        <v>6</v>
      </c>
      <c r="Q392" s="54">
        <v>650</v>
      </c>
      <c r="R392" s="31" t="s">
        <v>650</v>
      </c>
      <c r="S392" s="31" t="s">
        <v>321</v>
      </c>
      <c r="T392" s="31"/>
      <c r="U392" s="87"/>
      <c r="V392" s="87"/>
      <c r="W392" s="87"/>
      <c r="X392" s="87"/>
      <c r="Y392" s="87"/>
      <c r="Z392" s="87"/>
    </row>
    <row r="393" spans="1:26" s="45" customFormat="1" hidden="1" x14ac:dyDescent="0.25">
      <c r="A393" s="32" t="s">
        <v>551</v>
      </c>
      <c r="B393" s="66">
        <v>27</v>
      </c>
      <c r="C393" s="157">
        <v>9</v>
      </c>
      <c r="D393" s="66">
        <v>2018</v>
      </c>
      <c r="E393" s="62">
        <v>18</v>
      </c>
      <c r="F393" s="66">
        <v>0</v>
      </c>
      <c r="G393" s="62">
        <v>22</v>
      </c>
      <c r="H393" s="66">
        <v>0</v>
      </c>
      <c r="I393" s="32" t="s">
        <v>7</v>
      </c>
      <c r="J393" s="57">
        <v>4</v>
      </c>
      <c r="K393" s="32" t="s">
        <v>12</v>
      </c>
      <c r="L393" s="31" t="s">
        <v>30</v>
      </c>
      <c r="M393" s="31" t="s">
        <v>107</v>
      </c>
      <c r="N393" s="32" t="s">
        <v>52</v>
      </c>
      <c r="O393" s="32"/>
      <c r="P393" s="32" t="s">
        <v>6</v>
      </c>
      <c r="Q393" s="54">
        <v>450</v>
      </c>
      <c r="R393" s="31" t="s">
        <v>651</v>
      </c>
      <c r="S393" s="31" t="s">
        <v>321</v>
      </c>
      <c r="T393" s="31"/>
      <c r="U393" s="87"/>
      <c r="V393" s="87"/>
      <c r="W393" s="87"/>
      <c r="X393" s="87"/>
      <c r="Y393" s="87"/>
      <c r="Z393" s="87"/>
    </row>
    <row r="394" spans="1:26" s="45" customFormat="1" hidden="1" x14ac:dyDescent="0.25">
      <c r="A394" s="25" t="s">
        <v>667</v>
      </c>
      <c r="B394" s="65">
        <v>26</v>
      </c>
      <c r="C394" s="89">
        <v>9</v>
      </c>
      <c r="D394" s="65">
        <v>2018</v>
      </c>
      <c r="E394" s="61">
        <v>8</v>
      </c>
      <c r="F394" s="65">
        <v>0</v>
      </c>
      <c r="G394" s="61">
        <v>9</v>
      </c>
      <c r="H394" s="65">
        <v>0</v>
      </c>
      <c r="I394" s="25" t="s">
        <v>16</v>
      </c>
      <c r="J394" s="56">
        <v>1</v>
      </c>
      <c r="K394" s="25" t="s">
        <v>13</v>
      </c>
      <c r="L394" s="27" t="s">
        <v>102</v>
      </c>
      <c r="M394" s="27" t="s">
        <v>668</v>
      </c>
      <c r="N394" s="25" t="s">
        <v>52</v>
      </c>
      <c r="O394" s="25"/>
      <c r="P394" s="25" t="s">
        <v>6</v>
      </c>
      <c r="Q394" s="51">
        <v>6.25</v>
      </c>
      <c r="R394" s="27"/>
      <c r="S394" s="27" t="s">
        <v>54</v>
      </c>
      <c r="T394" s="27"/>
    </row>
    <row r="395" spans="1:26" s="45" customFormat="1" hidden="1" x14ac:dyDescent="0.25">
      <c r="A395" s="25" t="s">
        <v>669</v>
      </c>
      <c r="B395" s="65">
        <v>26</v>
      </c>
      <c r="C395" s="89">
        <v>9</v>
      </c>
      <c r="D395" s="65">
        <v>2018</v>
      </c>
      <c r="E395" s="61">
        <v>8</v>
      </c>
      <c r="F395" s="65">
        <v>0</v>
      </c>
      <c r="G395" s="61">
        <v>9</v>
      </c>
      <c r="H395" s="65">
        <v>0</v>
      </c>
      <c r="I395" s="25" t="s">
        <v>16</v>
      </c>
      <c r="J395" s="56">
        <v>1</v>
      </c>
      <c r="K395" s="25" t="s">
        <v>13</v>
      </c>
      <c r="L395" s="27" t="s">
        <v>400</v>
      </c>
      <c r="M395" s="27" t="s">
        <v>562</v>
      </c>
      <c r="N395" s="25" t="s">
        <v>52</v>
      </c>
      <c r="O395" s="25"/>
      <c r="P395" s="25" t="s">
        <v>6</v>
      </c>
      <c r="Q395" s="51">
        <v>125</v>
      </c>
      <c r="R395" s="27"/>
      <c r="S395" s="27" t="s">
        <v>54</v>
      </c>
      <c r="T395" s="27"/>
    </row>
    <row r="396" spans="1:26" s="45" customFormat="1" hidden="1" x14ac:dyDescent="0.25">
      <c r="A396" s="25"/>
      <c r="B396" s="65"/>
      <c r="C396" s="89"/>
      <c r="D396" s="65"/>
      <c r="E396" s="61"/>
      <c r="F396" s="65"/>
      <c r="G396" s="61"/>
      <c r="H396" s="65"/>
      <c r="I396" s="25"/>
      <c r="J396" s="56"/>
      <c r="K396" s="25"/>
      <c r="L396" s="27"/>
      <c r="M396" s="27"/>
      <c r="N396" s="25"/>
      <c r="O396" s="25"/>
      <c r="P396" s="25"/>
      <c r="Q396" s="51"/>
      <c r="R396" s="27"/>
      <c r="S396" s="27"/>
      <c r="T396" s="27"/>
    </row>
    <row r="397" spans="1:26" s="45" customFormat="1" hidden="1" x14ac:dyDescent="0.25">
      <c r="A397" s="25"/>
      <c r="B397" s="65"/>
      <c r="C397" s="89"/>
      <c r="D397" s="65"/>
      <c r="E397" s="61"/>
      <c r="F397" s="65"/>
      <c r="G397" s="61"/>
      <c r="H397" s="65"/>
      <c r="I397" s="25"/>
      <c r="J397" s="56"/>
      <c r="K397" s="25"/>
      <c r="L397" s="27"/>
      <c r="M397" s="27"/>
      <c r="N397" s="25"/>
      <c r="O397" s="25"/>
      <c r="P397" s="25"/>
      <c r="Q397" s="51"/>
      <c r="R397" s="27"/>
      <c r="S397" s="27"/>
      <c r="T397" s="27"/>
    </row>
    <row r="398" spans="1:26" x14ac:dyDescent="0.25">
      <c r="C398" s="74"/>
    </row>
    <row r="399" spans="1:26" x14ac:dyDescent="0.25">
      <c r="C399" s="74"/>
    </row>
  </sheetData>
  <autoFilter ref="A3:S397" xr:uid="{852E7C78-79CD-4688-9144-94267D7C4A24}">
    <filterColumn colId="11">
      <filters>
        <filter val="Erie Water Treatment"/>
      </filters>
    </filterColumn>
    <sortState xmlns:xlrd2="http://schemas.microsoft.com/office/spreadsheetml/2017/richdata2" ref="A9:S391">
      <sortCondition ref="I3:I397"/>
    </sortState>
  </autoFilter>
  <sortState xmlns:xlrd2="http://schemas.microsoft.com/office/spreadsheetml/2017/richdata2" ref="A9:Z15000">
    <sortCondition ref="D4:D15000"/>
    <sortCondition ref="C4:C15000"/>
    <sortCondition ref="B4:B15000"/>
  </sortState>
  <mergeCells count="4">
    <mergeCell ref="V1:Z1"/>
    <mergeCell ref="B2:D2"/>
    <mergeCell ref="E2:F2"/>
    <mergeCell ref="G2:H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6</xdr:col>
                <xdr:colOff>9525</xdr:colOff>
                <xdr:row>0</xdr:row>
                <xdr:rowOff>0</xdr:rowOff>
              </from>
              <to>
                <xdr:col>9</xdr:col>
                <xdr:colOff>19050</xdr:colOff>
                <xdr:row>1</xdr:row>
                <xdr:rowOff>9525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1031" r:id="rId6" name="CommandButton2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9</xdr:col>
                <xdr:colOff>19050</xdr:colOff>
                <xdr:row>0</xdr:row>
                <xdr:rowOff>9525</xdr:rowOff>
              </from>
              <to>
                <xdr:col>12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Sorteren">
            <anchor moveWithCells="1" siz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1438275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FactuurVersturen">
            <anchor moveWithCells="1" sizeWithCells="1">
              <from>
                <xdr:col>13</xdr:col>
                <xdr:colOff>19050</xdr:colOff>
                <xdr:row>0</xdr:row>
                <xdr:rowOff>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ClearFilter">
            <anchor moveWithCells="1" sizeWithCells="1">
              <from>
                <xdr:col>17</xdr:col>
                <xdr:colOff>1447800</xdr:colOff>
                <xdr:row>0</xdr:row>
                <xdr:rowOff>0</xdr:rowOff>
              </from>
              <to>
                <xdr:col>17</xdr:col>
                <xdr:colOff>3343275</xdr:colOff>
                <xdr:row>0</xdr:row>
                <xdr:rowOff>638175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7B91-B0FA-4900-BF38-3876B46C1941}">
  <sheetPr codeName="FactuurTemp">
    <pageSetUpPr fitToPage="1"/>
  </sheetPr>
  <dimension ref="A1:I63"/>
  <sheetViews>
    <sheetView showGridLines="0" topLeftCell="A10" zoomScale="98" zoomScaleNormal="98" workbookViewId="0">
      <selection activeCell="D10" sqref="D10"/>
    </sheetView>
  </sheetViews>
  <sheetFormatPr defaultRowHeight="12.75" x14ac:dyDescent="0.2"/>
  <cols>
    <col min="1" max="1" width="1.5703125" style="181" customWidth="1"/>
    <col min="2" max="2" width="13.85546875" style="181" customWidth="1"/>
    <col min="3" max="3" width="58.140625" style="181" customWidth="1"/>
    <col min="4" max="4" width="18.140625" style="185" customWidth="1"/>
    <col min="5" max="5" width="16.5703125" style="181" customWidth="1"/>
    <col min="6" max="6" width="14" style="181" customWidth="1"/>
    <col min="7" max="7" width="2.85546875" style="181" customWidth="1"/>
    <col min="8" max="8" width="9.140625" style="181"/>
    <col min="9" max="9" width="10.42578125" style="181" bestFit="1" customWidth="1"/>
    <col min="10" max="16384" width="9.140625" style="181"/>
  </cols>
  <sheetData>
    <row r="1" spans="1:7" ht="39" customHeight="1" x14ac:dyDescent="0.2">
      <c r="A1" s="179"/>
      <c r="B1" s="179"/>
      <c r="C1" s="179"/>
      <c r="D1" s="180"/>
      <c r="E1" s="179"/>
      <c r="F1" s="179"/>
      <c r="G1" s="179"/>
    </row>
    <row r="2" spans="1:7" ht="16.5" customHeight="1" x14ac:dyDescent="0.2">
      <c r="A2" s="179"/>
      <c r="B2" s="182"/>
      <c r="C2" s="182"/>
      <c r="D2" s="180"/>
      <c r="E2" s="183"/>
      <c r="F2" s="184"/>
      <c r="G2" s="179"/>
    </row>
    <row r="3" spans="1:7" ht="16.5" customHeight="1" x14ac:dyDescent="0.2">
      <c r="A3" s="179"/>
      <c r="B3" s="182"/>
      <c r="C3" s="182"/>
      <c r="D3" s="180"/>
      <c r="E3" s="184"/>
      <c r="F3" s="184"/>
      <c r="G3" s="179"/>
    </row>
    <row r="4" spans="1:7" ht="33.75" x14ac:dyDescent="0.2">
      <c r="A4" s="179"/>
      <c r="B4" s="183"/>
      <c r="C4" s="182"/>
      <c r="E4" s="184"/>
      <c r="F4" s="184"/>
      <c r="G4" s="179"/>
    </row>
    <row r="5" spans="1:7" ht="16.5" customHeight="1" x14ac:dyDescent="0.2">
      <c r="A5" s="179"/>
      <c r="E5" s="184"/>
      <c r="F5" s="184"/>
      <c r="G5" s="179"/>
    </row>
    <row r="6" spans="1:7" ht="17.25" customHeight="1" x14ac:dyDescent="0.2">
      <c r="A6" s="179"/>
      <c r="E6" s="184"/>
      <c r="F6" s="184"/>
      <c r="G6" s="179"/>
    </row>
    <row r="7" spans="1:7" ht="16.5" customHeight="1" x14ac:dyDescent="0.2">
      <c r="A7" s="179"/>
      <c r="E7" s="184"/>
      <c r="F7" s="184"/>
      <c r="G7" s="179"/>
    </row>
    <row r="8" spans="1:7" ht="16.5" customHeight="1" x14ac:dyDescent="0.2">
      <c r="A8" s="179"/>
      <c r="E8" s="184"/>
      <c r="F8" s="184"/>
      <c r="G8" s="179"/>
    </row>
    <row r="9" spans="1:7" ht="18" customHeight="1" x14ac:dyDescent="0.2">
      <c r="A9" s="179"/>
      <c r="B9" s="182"/>
      <c r="C9" s="182"/>
      <c r="D9" s="186" t="s">
        <v>42</v>
      </c>
      <c r="E9" s="184"/>
      <c r="F9" s="184"/>
      <c r="G9" s="179"/>
    </row>
    <row r="10" spans="1:7" ht="18" customHeight="1" x14ac:dyDescent="0.2">
      <c r="A10" s="179"/>
      <c r="C10" s="187"/>
      <c r="D10" s="186" t="s">
        <v>716</v>
      </c>
      <c r="E10" s="187"/>
      <c r="F10" s="187"/>
      <c r="G10" s="179"/>
    </row>
    <row r="11" spans="1:7" ht="18" customHeight="1" x14ac:dyDescent="0.2">
      <c r="A11" s="179"/>
      <c r="C11" s="187"/>
      <c r="D11" s="186" t="s">
        <v>717</v>
      </c>
      <c r="E11" s="183"/>
      <c r="F11" s="183"/>
      <c r="G11" s="179"/>
    </row>
    <row r="12" spans="1:7" ht="15" customHeight="1" x14ac:dyDescent="0.2">
      <c r="A12" s="179"/>
      <c r="E12" s="183"/>
      <c r="F12" s="183"/>
      <c r="G12" s="179"/>
    </row>
    <row r="13" spans="1:7" s="189" customFormat="1" ht="15" customHeight="1" x14ac:dyDescent="0.25">
      <c r="A13" s="188"/>
      <c r="D13" s="186" t="s">
        <v>718</v>
      </c>
      <c r="E13" s="190"/>
      <c r="F13" s="190"/>
      <c r="G13" s="188"/>
    </row>
    <row r="14" spans="1:7" s="189" customFormat="1" ht="15" customHeight="1" x14ac:dyDescent="0.25">
      <c r="A14" s="188"/>
      <c r="B14" s="276" t="s">
        <v>691</v>
      </c>
      <c r="C14" s="277"/>
      <c r="D14" s="191"/>
      <c r="E14" s="190"/>
      <c r="F14" s="190"/>
      <c r="G14" s="188"/>
    </row>
    <row r="15" spans="1:7" s="189" customFormat="1" ht="15" customHeight="1" x14ac:dyDescent="0.25">
      <c r="A15" s="188"/>
      <c r="B15" s="277"/>
      <c r="C15" s="277"/>
      <c r="D15" s="191"/>
      <c r="E15" s="190"/>
      <c r="F15" s="190"/>
      <c r="G15" s="188"/>
    </row>
    <row r="16" spans="1:7" s="189" customFormat="1" ht="15" customHeight="1" x14ac:dyDescent="0.25">
      <c r="A16" s="188"/>
      <c r="B16" s="192"/>
      <c r="C16" s="192"/>
      <c r="D16" s="191"/>
      <c r="E16" s="190"/>
      <c r="F16" s="190"/>
      <c r="G16" s="188"/>
    </row>
    <row r="17" spans="1:9" ht="14.25" customHeight="1" x14ac:dyDescent="0.25">
      <c r="A17" s="179"/>
      <c r="C17" s="193"/>
      <c r="D17" s="194"/>
      <c r="E17" s="183"/>
      <c r="F17" s="183"/>
      <c r="G17" s="179"/>
    </row>
    <row r="18" spans="1:9" ht="12" customHeight="1" x14ac:dyDescent="0.2">
      <c r="A18" s="179"/>
      <c r="C18" s="195"/>
      <c r="D18" s="196"/>
      <c r="E18" s="195"/>
      <c r="F18" s="197"/>
      <c r="G18" s="179"/>
    </row>
    <row r="19" spans="1:9" ht="15.75" customHeight="1" x14ac:dyDescent="0.2">
      <c r="A19" s="179"/>
      <c r="C19" s="195"/>
      <c r="D19" s="196"/>
      <c r="E19" s="195"/>
      <c r="F19" s="197"/>
      <c r="G19" s="179"/>
    </row>
    <row r="20" spans="1:9" s="201" customFormat="1" ht="15.75" customHeight="1" x14ac:dyDescent="0.25">
      <c r="A20" s="198"/>
      <c r="B20" s="199" t="s">
        <v>609</v>
      </c>
      <c r="C20" s="200"/>
      <c r="D20" s="200"/>
      <c r="E20" s="200"/>
      <c r="F20" s="200"/>
      <c r="G20" s="198"/>
    </row>
    <row r="21" spans="1:9" ht="18" x14ac:dyDescent="0.25">
      <c r="A21" s="179"/>
      <c r="B21" s="199" t="s">
        <v>692</v>
      </c>
      <c r="C21" s="202"/>
      <c r="D21" s="203" t="s">
        <v>693</v>
      </c>
      <c r="F21" s="204">
        <v>43404</v>
      </c>
      <c r="G21" s="179"/>
    </row>
    <row r="22" spans="1:9" ht="18" x14ac:dyDescent="0.25">
      <c r="A22" s="179"/>
      <c r="B22" s="199" t="s">
        <v>694</v>
      </c>
      <c r="C22" s="202"/>
      <c r="D22" s="203" t="s">
        <v>695</v>
      </c>
      <c r="F22" s="204" t="s">
        <v>719</v>
      </c>
      <c r="G22" s="179"/>
    </row>
    <row r="23" spans="1:9" ht="18" x14ac:dyDescent="0.25">
      <c r="A23" s="179"/>
      <c r="B23" s="205" t="s">
        <v>697</v>
      </c>
      <c r="C23" s="202"/>
      <c r="D23" s="206" t="s">
        <v>698</v>
      </c>
      <c r="F23" s="204">
        <v>43419</v>
      </c>
      <c r="G23" s="179"/>
    </row>
    <row r="24" spans="1:9" ht="18" x14ac:dyDescent="0.25">
      <c r="A24" s="179"/>
      <c r="B24" s="199" t="s">
        <v>699</v>
      </c>
      <c r="C24" s="202"/>
      <c r="D24" s="206" t="s">
        <v>700</v>
      </c>
      <c r="F24" s="207" t="s">
        <v>701</v>
      </c>
      <c r="G24" s="179"/>
    </row>
    <row r="25" spans="1:9" ht="15.75" x14ac:dyDescent="0.25">
      <c r="A25" s="179"/>
      <c r="C25" s="202"/>
      <c r="D25" s="202"/>
      <c r="E25" s="202"/>
      <c r="F25" s="202"/>
      <c r="G25" s="179"/>
    </row>
    <row r="26" spans="1:9" ht="15.75" x14ac:dyDescent="0.25">
      <c r="A26" s="179"/>
      <c r="B26" s="202"/>
      <c r="C26" s="202"/>
      <c r="D26" s="202"/>
      <c r="E26" s="202"/>
      <c r="F26" s="202"/>
      <c r="G26" s="179"/>
      <c r="I26" s="208"/>
    </row>
    <row r="27" spans="1:9" x14ac:dyDescent="0.2">
      <c r="A27" s="179"/>
      <c r="B27" s="195"/>
      <c r="C27" s="195"/>
      <c r="D27" s="196"/>
      <c r="E27" s="195"/>
      <c r="F27" s="179"/>
      <c r="G27" s="179"/>
      <c r="I27" s="208"/>
    </row>
    <row r="28" spans="1:9" s="212" customFormat="1" ht="26.25" customHeight="1" x14ac:dyDescent="0.25">
      <c r="A28" s="209"/>
      <c r="B28" s="210" t="s">
        <v>702</v>
      </c>
      <c r="C28" s="210" t="s">
        <v>703</v>
      </c>
      <c r="D28" s="210" t="s">
        <v>704</v>
      </c>
      <c r="E28" s="210" t="s">
        <v>47</v>
      </c>
      <c r="F28" s="211"/>
      <c r="G28" s="209"/>
    </row>
    <row r="29" spans="1:9" s="212" customFormat="1" ht="20.100000000000001" customHeight="1" x14ac:dyDescent="0.25">
      <c r="A29" s="209"/>
      <c r="B29" s="213"/>
      <c r="C29" s="214" t="s">
        <v>720</v>
      </c>
      <c r="D29" s="215"/>
      <c r="E29" s="215">
        <v>1875</v>
      </c>
      <c r="F29" s="216"/>
      <c r="G29" s="209"/>
    </row>
    <row r="30" spans="1:9" s="212" customFormat="1" ht="20.100000000000001" customHeight="1" x14ac:dyDescent="0.25">
      <c r="A30" s="209"/>
      <c r="B30" s="217"/>
      <c r="C30" s="218"/>
      <c r="D30" s="219"/>
      <c r="E30" s="219"/>
      <c r="F30" s="220"/>
      <c r="G30" s="209"/>
    </row>
    <row r="31" spans="1:9" s="212" customFormat="1" ht="20.100000000000001" customHeight="1" x14ac:dyDescent="0.25">
      <c r="A31" s="209"/>
      <c r="B31" s="213"/>
      <c r="C31" s="214"/>
      <c r="D31" s="215"/>
      <c r="E31" s="215"/>
      <c r="F31" s="216"/>
      <c r="G31" s="209"/>
    </row>
    <row r="32" spans="1:9" s="212" customFormat="1" ht="20.100000000000001" customHeight="1" x14ac:dyDescent="0.25">
      <c r="A32" s="209"/>
      <c r="B32" s="221"/>
      <c r="C32" s="218"/>
      <c r="D32" s="222"/>
      <c r="E32" s="222"/>
      <c r="F32" s="223"/>
      <c r="G32" s="209"/>
    </row>
    <row r="33" spans="1:7" s="212" customFormat="1" ht="20.100000000000001" customHeight="1" x14ac:dyDescent="0.25">
      <c r="A33" s="209"/>
      <c r="B33" s="224"/>
      <c r="C33" s="225"/>
      <c r="D33" s="226"/>
      <c r="E33" s="226"/>
      <c r="F33" s="227"/>
      <c r="G33" s="209"/>
    </row>
    <row r="34" spans="1:7" s="212" customFormat="1" ht="20.100000000000001" customHeight="1" x14ac:dyDescent="0.25">
      <c r="A34" s="209"/>
      <c r="B34" s="221"/>
      <c r="C34" s="228"/>
      <c r="D34" s="222"/>
      <c r="E34" s="222"/>
      <c r="F34" s="223"/>
      <c r="G34" s="209"/>
    </row>
    <row r="35" spans="1:7" s="212" customFormat="1" ht="20.100000000000001" customHeight="1" x14ac:dyDescent="0.25">
      <c r="A35" s="209"/>
      <c r="B35" s="224"/>
      <c r="C35" s="225"/>
      <c r="D35" s="226"/>
      <c r="E35" s="226"/>
      <c r="F35" s="227"/>
      <c r="G35" s="209"/>
    </row>
    <row r="36" spans="1:7" s="212" customFormat="1" ht="20.100000000000001" customHeight="1" x14ac:dyDescent="0.25">
      <c r="A36" s="209"/>
      <c r="B36" s="221"/>
      <c r="C36" s="228"/>
      <c r="D36" s="222"/>
      <c r="E36" s="222"/>
      <c r="F36" s="223"/>
      <c r="G36" s="209"/>
    </row>
    <row r="37" spans="1:7" s="212" customFormat="1" ht="20.100000000000001" customHeight="1" x14ac:dyDescent="0.25">
      <c r="A37" s="209"/>
      <c r="B37" s="224"/>
      <c r="C37" s="225"/>
      <c r="D37" s="226"/>
      <c r="E37" s="226"/>
      <c r="F37" s="227"/>
      <c r="G37" s="229"/>
    </row>
    <row r="38" spans="1:7" s="230" customFormat="1" ht="20.100000000000001" customHeight="1" x14ac:dyDescent="0.25">
      <c r="A38" s="229"/>
      <c r="B38" s="221"/>
      <c r="C38" s="228"/>
      <c r="D38" s="222"/>
      <c r="E38" s="222"/>
      <c r="F38" s="223"/>
      <c r="G38" s="229"/>
    </row>
    <row r="39" spans="1:7" s="230" customFormat="1" ht="20.100000000000001" customHeight="1" x14ac:dyDescent="0.25">
      <c r="A39" s="229"/>
      <c r="B39" s="221"/>
      <c r="C39" s="228"/>
      <c r="D39" s="222"/>
      <c r="E39" s="222"/>
      <c r="F39" s="223"/>
      <c r="G39" s="229"/>
    </row>
    <row r="40" spans="1:7" s="230" customFormat="1" ht="20.100000000000001" customHeight="1" x14ac:dyDescent="0.25">
      <c r="A40" s="229"/>
      <c r="B40" s="221"/>
      <c r="C40" s="228"/>
      <c r="D40" s="222"/>
      <c r="E40" s="222"/>
      <c r="F40" s="223"/>
      <c r="G40" s="229"/>
    </row>
    <row r="41" spans="1:7" s="212" customFormat="1" ht="20.100000000000001" customHeight="1" x14ac:dyDescent="0.25">
      <c r="A41" s="209"/>
      <c r="B41" s="231"/>
      <c r="C41" s="231"/>
      <c r="D41" s="232"/>
      <c r="E41" s="233">
        <f>SUM(E29:E37)</f>
        <v>1875</v>
      </c>
      <c r="F41" s="234"/>
      <c r="G41" s="209"/>
    </row>
    <row r="42" spans="1:7" x14ac:dyDescent="0.2">
      <c r="A42" s="179"/>
      <c r="B42" s="235"/>
      <c r="C42" s="236"/>
      <c r="D42" s="237"/>
      <c r="E42" s="238"/>
      <c r="F42" s="209"/>
      <c r="G42" s="179"/>
    </row>
    <row r="43" spans="1:7" ht="16.5" customHeight="1" x14ac:dyDescent="0.25">
      <c r="A43" s="179"/>
      <c r="B43" s="195"/>
      <c r="C43" s="193"/>
      <c r="D43" s="239" t="s">
        <v>706</v>
      </c>
      <c r="E43" s="240">
        <f>E41</f>
        <v>1875</v>
      </c>
      <c r="F43" s="241"/>
      <c r="G43" s="179"/>
    </row>
    <row r="44" spans="1:7" ht="18" customHeight="1" x14ac:dyDescent="0.25">
      <c r="A44" s="179"/>
      <c r="B44" s="195"/>
      <c r="C44" s="193"/>
      <c r="D44" s="239" t="s">
        <v>707</v>
      </c>
      <c r="E44" s="240">
        <f>E43*0.21</f>
        <v>393.75</v>
      </c>
      <c r="F44" s="241"/>
      <c r="G44" s="179"/>
    </row>
    <row r="45" spans="1:7" ht="20.25" customHeight="1" x14ac:dyDescent="0.25">
      <c r="A45" s="179"/>
      <c r="B45" s="179"/>
      <c r="C45" s="187"/>
      <c r="D45" s="242" t="s">
        <v>708</v>
      </c>
      <c r="E45" s="243">
        <f>SUM(E43:E44)</f>
        <v>2268.75</v>
      </c>
      <c r="F45" s="244"/>
      <c r="G45" s="179"/>
    </row>
    <row r="46" spans="1:7" ht="20.25" customHeight="1" x14ac:dyDescent="0.25">
      <c r="A46" s="179"/>
      <c r="B46" s="179"/>
      <c r="C46" s="187"/>
      <c r="D46" s="242"/>
      <c r="E46" s="245"/>
      <c r="F46" s="241"/>
      <c r="G46" s="179"/>
    </row>
    <row r="47" spans="1:7" ht="20.25" customHeight="1" x14ac:dyDescent="0.25">
      <c r="A47" s="179"/>
      <c r="B47" s="179"/>
      <c r="C47" s="187"/>
      <c r="D47" s="242"/>
      <c r="E47" s="245"/>
      <c r="F47" s="241"/>
      <c r="G47" s="179"/>
    </row>
    <row r="48" spans="1:7" ht="20.25" customHeight="1" x14ac:dyDescent="0.25">
      <c r="A48" s="179"/>
      <c r="B48" s="179"/>
      <c r="C48" s="187"/>
      <c r="D48" s="242"/>
      <c r="E48" s="245"/>
      <c r="F48" s="241"/>
      <c r="G48" s="179"/>
    </row>
    <row r="49" spans="1:7" ht="20.25" customHeight="1" x14ac:dyDescent="0.25">
      <c r="A49" s="179"/>
      <c r="B49" s="179"/>
      <c r="C49" s="187"/>
      <c r="D49" s="242"/>
      <c r="E49" s="245"/>
      <c r="F49" s="241"/>
      <c r="G49" s="179"/>
    </row>
    <row r="50" spans="1:7" ht="20.25" customHeight="1" x14ac:dyDescent="0.25">
      <c r="A50" s="179"/>
      <c r="B50" s="179"/>
      <c r="C50" s="187"/>
      <c r="D50" s="242"/>
      <c r="E50" s="245"/>
      <c r="F50" s="241"/>
      <c r="G50" s="179"/>
    </row>
    <row r="51" spans="1:7" ht="20.25" customHeight="1" x14ac:dyDescent="0.25">
      <c r="A51" s="179"/>
      <c r="B51" s="179"/>
      <c r="C51" s="187"/>
      <c r="D51" s="242"/>
      <c r="E51" s="245"/>
      <c r="F51" s="241"/>
      <c r="G51" s="179"/>
    </row>
    <row r="52" spans="1:7" ht="20.25" customHeight="1" x14ac:dyDescent="0.25">
      <c r="A52" s="179"/>
      <c r="B52" s="179"/>
      <c r="C52" s="187"/>
      <c r="D52" s="242"/>
      <c r="E52" s="245"/>
      <c r="F52" s="241"/>
      <c r="G52" s="179"/>
    </row>
    <row r="53" spans="1:7" ht="20.25" customHeight="1" x14ac:dyDescent="0.25">
      <c r="A53" s="179"/>
      <c r="B53" s="246" t="s">
        <v>709</v>
      </c>
      <c r="C53" s="247"/>
      <c r="D53" s="248"/>
      <c r="E53" s="249"/>
      <c r="F53" s="250"/>
      <c r="G53" s="179"/>
    </row>
    <row r="54" spans="1:7" ht="15.75" customHeight="1" x14ac:dyDescent="0.25">
      <c r="A54" s="179"/>
      <c r="B54" s="251" t="s">
        <v>710</v>
      </c>
      <c r="C54" s="187"/>
      <c r="D54" s="242"/>
      <c r="E54" s="245"/>
      <c r="F54" s="252"/>
      <c r="G54" s="179"/>
    </row>
    <row r="55" spans="1:7" ht="15.75" customHeight="1" x14ac:dyDescent="0.25">
      <c r="A55" s="179"/>
      <c r="B55" s="251" t="s">
        <v>711</v>
      </c>
      <c r="C55" s="187"/>
      <c r="D55" s="242"/>
      <c r="E55" s="245"/>
      <c r="F55" s="252"/>
      <c r="G55" s="179"/>
    </row>
    <row r="56" spans="1:7" ht="15.75" customHeight="1" x14ac:dyDescent="0.25">
      <c r="A56" s="179"/>
      <c r="B56" s="251" t="s">
        <v>712</v>
      </c>
      <c r="C56" s="187"/>
      <c r="D56" s="242"/>
      <c r="E56" s="245"/>
      <c r="F56" s="252"/>
      <c r="G56" s="179"/>
    </row>
    <row r="57" spans="1:7" ht="15.75" customHeight="1" x14ac:dyDescent="0.25">
      <c r="A57" s="179"/>
      <c r="B57" s="253" t="s">
        <v>713</v>
      </c>
      <c r="C57" s="254"/>
      <c r="D57" s="255"/>
      <c r="E57" s="256"/>
      <c r="F57" s="257"/>
      <c r="G57" s="179"/>
    </row>
    <row r="58" spans="1:7" ht="20.25" customHeight="1" x14ac:dyDescent="0.25">
      <c r="A58" s="179"/>
      <c r="B58" s="179"/>
      <c r="C58" s="187"/>
      <c r="D58" s="242"/>
      <c r="E58" s="245"/>
      <c r="F58" s="241"/>
      <c r="G58" s="179"/>
    </row>
    <row r="59" spans="1:7" ht="20.25" customHeight="1" x14ac:dyDescent="0.25">
      <c r="A59" s="179"/>
      <c r="B59" s="179"/>
      <c r="C59" s="187"/>
      <c r="D59" s="242"/>
      <c r="E59" s="245"/>
      <c r="F59" s="241"/>
      <c r="G59" s="179"/>
    </row>
    <row r="60" spans="1:7" ht="13.5" customHeight="1" x14ac:dyDescent="0.2">
      <c r="A60" s="179"/>
      <c r="B60" s="195"/>
      <c r="C60" s="195"/>
      <c r="D60" s="180"/>
      <c r="E60" s="179"/>
      <c r="F60" s="179"/>
      <c r="G60" s="179"/>
    </row>
    <row r="61" spans="1:7" x14ac:dyDescent="0.2">
      <c r="A61" s="179"/>
      <c r="B61" s="258" t="s">
        <v>714</v>
      </c>
      <c r="C61" s="179"/>
      <c r="D61" s="259"/>
      <c r="E61" s="259" t="s">
        <v>715</v>
      </c>
      <c r="F61" s="179"/>
      <c r="G61" s="179"/>
    </row>
    <row r="62" spans="1:7" x14ac:dyDescent="0.2">
      <c r="A62" s="179"/>
      <c r="B62" s="179"/>
      <c r="C62" s="179"/>
      <c r="D62" s="180"/>
      <c r="E62" s="179"/>
      <c r="F62" s="179"/>
      <c r="G62" s="179"/>
    </row>
    <row r="63" spans="1:7" x14ac:dyDescent="0.2">
      <c r="A63" s="179"/>
      <c r="B63" s="179"/>
      <c r="C63" s="179"/>
      <c r="D63" s="180"/>
      <c r="E63" s="179"/>
      <c r="F63" s="179"/>
      <c r="G63" s="179"/>
    </row>
  </sheetData>
  <mergeCells count="1">
    <mergeCell ref="B14:C15"/>
  </mergeCells>
  <pageMargins left="0.9055118110236221" right="0.11811023622047245" top="0.19685039370078741" bottom="0" header="0.31496062992125984" footer="0.31496062992125984"/>
  <pageSetup scale="7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C23E2D1-DBFE-4B9C-B65C-49AD1A89F98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F29:F40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D0F3D-BD44-447C-A6CF-21F4E01B89EE}">
  <sheetPr codeName="FactuurDetailTemp"/>
  <dimension ref="A1:K2"/>
  <sheetViews>
    <sheetView workbookViewId="0">
      <selection activeCell="E6" sqref="E6"/>
    </sheetView>
  </sheetViews>
  <sheetFormatPr defaultRowHeight="15" x14ac:dyDescent="0.25"/>
  <cols>
    <col min="1" max="3" width="15" customWidth="1"/>
    <col min="4" max="4" width="15" style="4" customWidth="1"/>
    <col min="5" max="11" width="15" customWidth="1"/>
  </cols>
  <sheetData>
    <row r="1" spans="1:11" ht="34.5" customHeight="1" x14ac:dyDescent="0.5">
      <c r="A1" s="278" t="s">
        <v>721</v>
      </c>
      <c r="B1" s="279"/>
      <c r="C1" s="279"/>
      <c r="D1" s="279"/>
      <c r="E1" s="279"/>
      <c r="F1" s="279"/>
      <c r="G1" s="279"/>
      <c r="H1" s="279"/>
      <c r="I1" s="279"/>
      <c r="J1" s="279"/>
      <c r="K1" s="280"/>
    </row>
    <row r="2" spans="1:11" s="260" customFormat="1" ht="31.5" customHeight="1" thickBot="1" x14ac:dyDescent="0.3">
      <c r="A2" s="261" t="s">
        <v>8</v>
      </c>
      <c r="B2" s="262" t="s">
        <v>37</v>
      </c>
      <c r="C2" s="262" t="s">
        <v>431</v>
      </c>
      <c r="D2" s="263" t="s">
        <v>41</v>
      </c>
      <c r="E2" s="263" t="s">
        <v>20</v>
      </c>
      <c r="F2" s="264" t="s">
        <v>42</v>
      </c>
      <c r="G2" s="263" t="s">
        <v>44</v>
      </c>
      <c r="H2" s="263" t="s">
        <v>46</v>
      </c>
      <c r="I2" s="265" t="s">
        <v>4</v>
      </c>
      <c r="J2" s="266" t="s">
        <v>432</v>
      </c>
      <c r="K2" s="267" t="s">
        <v>48</v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345-D215-4D78-979F-E6CF69FF0403}">
  <sheetPr codeName="Sheet6">
    <pageSetUpPr fitToPage="1"/>
  </sheetPr>
  <dimension ref="A1:I63"/>
  <sheetViews>
    <sheetView showGridLines="0" topLeftCell="A13" zoomScale="98" zoomScaleNormal="98" workbookViewId="0">
      <selection activeCell="D9" sqref="D9"/>
    </sheetView>
  </sheetViews>
  <sheetFormatPr defaultRowHeight="12.75" x14ac:dyDescent="0.2"/>
  <cols>
    <col min="1" max="1" width="1.5703125" style="181" customWidth="1"/>
    <col min="2" max="2" width="13.85546875" style="181" customWidth="1"/>
    <col min="3" max="3" width="58.140625" style="181" customWidth="1"/>
    <col min="4" max="4" width="18.140625" style="185" customWidth="1"/>
    <col min="5" max="5" width="16.5703125" style="181" customWidth="1"/>
    <col min="6" max="6" width="14" style="181" customWidth="1"/>
    <col min="7" max="7" width="2.85546875" style="181" customWidth="1"/>
    <col min="8" max="8" width="9.140625" style="181"/>
    <col min="9" max="9" width="10.42578125" style="181" bestFit="1" customWidth="1"/>
    <col min="10" max="16384" width="9.140625" style="181"/>
  </cols>
  <sheetData>
    <row r="1" spans="1:7" ht="39" customHeight="1" x14ac:dyDescent="0.2">
      <c r="A1" s="179"/>
      <c r="B1" s="179"/>
      <c r="C1" s="179"/>
      <c r="D1" s="180"/>
      <c r="E1" s="179"/>
      <c r="F1" s="179"/>
      <c r="G1" s="179"/>
    </row>
    <row r="2" spans="1:7" ht="16.5" customHeight="1" x14ac:dyDescent="0.2">
      <c r="A2" s="179"/>
      <c r="B2" s="182"/>
      <c r="C2" s="182"/>
      <c r="D2" s="180"/>
      <c r="E2" s="183"/>
      <c r="F2" s="184"/>
      <c r="G2" s="179"/>
    </row>
    <row r="3" spans="1:7" ht="16.5" customHeight="1" x14ac:dyDescent="0.2">
      <c r="A3" s="179"/>
      <c r="B3" s="182"/>
      <c r="C3" s="182"/>
      <c r="D3" s="180"/>
      <c r="E3" s="184"/>
      <c r="F3" s="184"/>
      <c r="G3" s="179"/>
    </row>
    <row r="4" spans="1:7" ht="33.75" x14ac:dyDescent="0.2">
      <c r="A4" s="179"/>
      <c r="B4" s="183"/>
      <c r="C4" s="182"/>
      <c r="E4" s="184"/>
      <c r="F4" s="184"/>
      <c r="G4" s="179"/>
    </row>
    <row r="5" spans="1:7" ht="16.5" customHeight="1" x14ac:dyDescent="0.2">
      <c r="A5" s="179"/>
      <c r="E5" s="184"/>
      <c r="F5" s="184"/>
      <c r="G5" s="179"/>
    </row>
    <row r="6" spans="1:7" ht="17.25" customHeight="1" x14ac:dyDescent="0.2">
      <c r="A6" s="179"/>
      <c r="E6" s="184"/>
      <c r="F6" s="184"/>
      <c r="G6" s="179"/>
    </row>
    <row r="7" spans="1:7" ht="16.5" customHeight="1" x14ac:dyDescent="0.2">
      <c r="A7" s="179"/>
      <c r="E7" s="184"/>
      <c r="F7" s="184"/>
      <c r="G7" s="179"/>
    </row>
    <row r="8" spans="1:7" ht="16.5" customHeight="1" x14ac:dyDescent="0.2">
      <c r="A8" s="179"/>
      <c r="E8" s="184"/>
      <c r="F8" s="184"/>
      <c r="G8" s="179"/>
    </row>
    <row r="9" spans="1:7" ht="18" customHeight="1" x14ac:dyDescent="0.2">
      <c r="A9" s="179"/>
      <c r="B9" s="182"/>
      <c r="C9" s="182"/>
      <c r="D9" s="186" t="s">
        <v>368</v>
      </c>
      <c r="E9" s="184"/>
      <c r="F9" s="184"/>
      <c r="G9" s="179"/>
    </row>
    <row r="10" spans="1:7" ht="16.5" customHeight="1" x14ac:dyDescent="0.2">
      <c r="A10" s="179"/>
      <c r="C10" s="187"/>
      <c r="D10" s="186" t="s">
        <v>688</v>
      </c>
      <c r="E10" s="187"/>
      <c r="F10" s="187"/>
      <c r="G10" s="179"/>
    </row>
    <row r="11" spans="1:7" ht="15" customHeight="1" x14ac:dyDescent="0.2">
      <c r="A11" s="179"/>
      <c r="C11" s="187"/>
      <c r="D11" s="186" t="s">
        <v>689</v>
      </c>
      <c r="E11" s="183"/>
      <c r="F11" s="183"/>
      <c r="G11" s="179"/>
    </row>
    <row r="12" spans="1:7" ht="15" customHeight="1" x14ac:dyDescent="0.2">
      <c r="A12" s="179"/>
      <c r="E12" s="183"/>
      <c r="F12" s="183"/>
      <c r="G12" s="179"/>
    </row>
    <row r="13" spans="1:7" s="189" customFormat="1" ht="15" customHeight="1" x14ac:dyDescent="0.25">
      <c r="A13" s="188"/>
      <c r="D13" s="186" t="s">
        <v>690</v>
      </c>
      <c r="E13" s="190"/>
      <c r="F13" s="190"/>
      <c r="G13" s="188"/>
    </row>
    <row r="14" spans="1:7" s="189" customFormat="1" ht="15" customHeight="1" x14ac:dyDescent="0.25">
      <c r="A14" s="188"/>
      <c r="B14" s="276" t="s">
        <v>691</v>
      </c>
      <c r="C14" s="277"/>
      <c r="D14" s="191"/>
      <c r="E14" s="190"/>
      <c r="F14" s="190"/>
      <c r="G14" s="188"/>
    </row>
    <row r="15" spans="1:7" s="189" customFormat="1" ht="15" customHeight="1" x14ac:dyDescent="0.25">
      <c r="A15" s="188"/>
      <c r="B15" s="277"/>
      <c r="C15" s="277"/>
      <c r="D15" s="191"/>
      <c r="E15" s="190"/>
      <c r="F15" s="190"/>
      <c r="G15" s="188"/>
    </row>
    <row r="16" spans="1:7" s="189" customFormat="1" ht="15" customHeight="1" x14ac:dyDescent="0.25">
      <c r="A16" s="188"/>
      <c r="B16" s="192"/>
      <c r="C16" s="192"/>
      <c r="D16" s="191"/>
      <c r="E16" s="190"/>
      <c r="F16" s="190"/>
      <c r="G16" s="188"/>
    </row>
    <row r="17" spans="1:9" ht="14.25" customHeight="1" x14ac:dyDescent="0.25">
      <c r="A17" s="179"/>
      <c r="C17" s="193"/>
      <c r="D17" s="194"/>
      <c r="E17" s="183"/>
      <c r="F17" s="183"/>
      <c r="G17" s="179"/>
    </row>
    <row r="18" spans="1:9" ht="12" customHeight="1" x14ac:dyDescent="0.2">
      <c r="A18" s="179"/>
      <c r="C18" s="195"/>
      <c r="D18" s="196"/>
      <c r="E18" s="195"/>
      <c r="F18" s="197"/>
      <c r="G18" s="179"/>
    </row>
    <row r="19" spans="1:9" ht="15.75" customHeight="1" x14ac:dyDescent="0.2">
      <c r="A19" s="179"/>
      <c r="C19" s="195"/>
      <c r="D19" s="196"/>
      <c r="E19" s="195"/>
      <c r="F19" s="197"/>
      <c r="G19" s="179"/>
    </row>
    <row r="20" spans="1:9" s="201" customFormat="1" ht="15.75" customHeight="1" x14ac:dyDescent="0.25">
      <c r="A20" s="198"/>
      <c r="B20" s="199" t="s">
        <v>609</v>
      </c>
      <c r="C20" s="200"/>
      <c r="D20" s="200"/>
      <c r="E20" s="200"/>
      <c r="F20" s="200"/>
      <c r="G20" s="198"/>
    </row>
    <row r="21" spans="1:9" ht="18" x14ac:dyDescent="0.25">
      <c r="A21" s="179"/>
      <c r="B21" s="199" t="s">
        <v>692</v>
      </c>
      <c r="C21" s="202"/>
      <c r="D21" s="203" t="s">
        <v>693</v>
      </c>
      <c r="F21" s="204">
        <v>43404</v>
      </c>
      <c r="G21" s="179"/>
    </row>
    <row r="22" spans="1:9" ht="18" x14ac:dyDescent="0.25">
      <c r="A22" s="179"/>
      <c r="B22" s="199" t="s">
        <v>694</v>
      </c>
      <c r="C22" s="202"/>
      <c r="D22" s="203" t="s">
        <v>695</v>
      </c>
      <c r="F22" s="204" t="s">
        <v>696</v>
      </c>
      <c r="G22" s="179"/>
    </row>
    <row r="23" spans="1:9" ht="18" x14ac:dyDescent="0.25">
      <c r="A23" s="179"/>
      <c r="B23" s="205" t="s">
        <v>697</v>
      </c>
      <c r="C23" s="202"/>
      <c r="D23" s="206" t="s">
        <v>698</v>
      </c>
      <c r="F23" s="204">
        <v>43419</v>
      </c>
      <c r="G23" s="179"/>
    </row>
    <row r="24" spans="1:9" ht="18" x14ac:dyDescent="0.25">
      <c r="A24" s="179"/>
      <c r="B24" s="199" t="s">
        <v>699</v>
      </c>
      <c r="C24" s="202"/>
      <c r="D24" s="206" t="s">
        <v>700</v>
      </c>
      <c r="F24" s="207" t="s">
        <v>701</v>
      </c>
      <c r="G24" s="179"/>
    </row>
    <row r="25" spans="1:9" ht="15.75" x14ac:dyDescent="0.25">
      <c r="A25" s="179"/>
      <c r="C25" s="202"/>
      <c r="D25" s="202"/>
      <c r="E25" s="202"/>
      <c r="F25" s="202"/>
      <c r="G25" s="179"/>
    </row>
    <row r="26" spans="1:9" ht="15.75" x14ac:dyDescent="0.25">
      <c r="A26" s="179"/>
      <c r="B26" s="202"/>
      <c r="C26" s="202"/>
      <c r="D26" s="202"/>
      <c r="E26" s="202"/>
      <c r="F26" s="202"/>
      <c r="G26" s="179"/>
      <c r="I26" s="208"/>
    </row>
    <row r="27" spans="1:9" x14ac:dyDescent="0.2">
      <c r="A27" s="179"/>
      <c r="B27" s="195"/>
      <c r="C27" s="195"/>
      <c r="D27" s="196"/>
      <c r="E27" s="195"/>
      <c r="F27" s="179"/>
      <c r="G27" s="179"/>
      <c r="I27" s="208"/>
    </row>
    <row r="28" spans="1:9" s="212" customFormat="1" ht="26.25" customHeight="1" x14ac:dyDescent="0.25">
      <c r="A28" s="209"/>
      <c r="B28" s="210" t="s">
        <v>702</v>
      </c>
      <c r="C28" s="210" t="s">
        <v>703</v>
      </c>
      <c r="D28" s="210" t="s">
        <v>704</v>
      </c>
      <c r="E28" s="210" t="s">
        <v>47</v>
      </c>
      <c r="F28" s="211"/>
      <c r="G28" s="209"/>
    </row>
    <row r="29" spans="1:9" s="212" customFormat="1" ht="20.100000000000001" customHeight="1" x14ac:dyDescent="0.25">
      <c r="A29" s="209"/>
      <c r="B29" s="213"/>
      <c r="C29" s="214" t="s">
        <v>705</v>
      </c>
      <c r="D29" s="215"/>
      <c r="E29" s="215">
        <v>1875</v>
      </c>
      <c r="F29" s="216"/>
      <c r="G29" s="209"/>
    </row>
    <row r="30" spans="1:9" s="212" customFormat="1" ht="20.100000000000001" customHeight="1" x14ac:dyDescent="0.25">
      <c r="A30" s="209"/>
      <c r="B30" s="217"/>
      <c r="C30" s="218"/>
      <c r="D30" s="219"/>
      <c r="E30" s="219"/>
      <c r="F30" s="220"/>
      <c r="G30" s="209"/>
    </row>
    <row r="31" spans="1:9" s="212" customFormat="1" ht="20.100000000000001" customHeight="1" x14ac:dyDescent="0.25">
      <c r="A31" s="209"/>
      <c r="B31" s="213"/>
      <c r="C31" s="214"/>
      <c r="D31" s="215"/>
      <c r="E31" s="215"/>
      <c r="F31" s="216"/>
      <c r="G31" s="209"/>
    </row>
    <row r="32" spans="1:9" s="212" customFormat="1" ht="20.100000000000001" customHeight="1" x14ac:dyDescent="0.25">
      <c r="A32" s="209"/>
      <c r="B32" s="221"/>
      <c r="C32" s="218"/>
      <c r="D32" s="222"/>
      <c r="E32" s="222"/>
      <c r="F32" s="223"/>
      <c r="G32" s="209"/>
    </row>
    <row r="33" spans="1:7" s="212" customFormat="1" ht="20.100000000000001" customHeight="1" x14ac:dyDescent="0.25">
      <c r="A33" s="209"/>
      <c r="B33" s="224"/>
      <c r="C33" s="225"/>
      <c r="D33" s="226"/>
      <c r="E33" s="226"/>
      <c r="F33" s="227"/>
      <c r="G33" s="209"/>
    </row>
    <row r="34" spans="1:7" s="212" customFormat="1" ht="20.100000000000001" customHeight="1" x14ac:dyDescent="0.25">
      <c r="A34" s="209"/>
      <c r="B34" s="221"/>
      <c r="C34" s="228"/>
      <c r="D34" s="222"/>
      <c r="E34" s="222"/>
      <c r="F34" s="223"/>
      <c r="G34" s="209"/>
    </row>
    <row r="35" spans="1:7" s="212" customFormat="1" ht="20.100000000000001" customHeight="1" x14ac:dyDescent="0.25">
      <c r="A35" s="209"/>
      <c r="B35" s="224"/>
      <c r="C35" s="225"/>
      <c r="D35" s="226"/>
      <c r="E35" s="226"/>
      <c r="F35" s="227"/>
      <c r="G35" s="209"/>
    </row>
    <row r="36" spans="1:7" s="212" customFormat="1" ht="20.100000000000001" customHeight="1" x14ac:dyDescent="0.25">
      <c r="A36" s="209"/>
      <c r="B36" s="221"/>
      <c r="C36" s="228"/>
      <c r="D36" s="222"/>
      <c r="E36" s="222"/>
      <c r="F36" s="223"/>
      <c r="G36" s="209"/>
    </row>
    <row r="37" spans="1:7" s="212" customFormat="1" ht="20.100000000000001" customHeight="1" x14ac:dyDescent="0.25">
      <c r="A37" s="209"/>
      <c r="B37" s="224"/>
      <c r="C37" s="225"/>
      <c r="D37" s="226"/>
      <c r="E37" s="226"/>
      <c r="F37" s="227"/>
      <c r="G37" s="229"/>
    </row>
    <row r="38" spans="1:7" s="230" customFormat="1" ht="20.100000000000001" customHeight="1" x14ac:dyDescent="0.25">
      <c r="A38" s="229"/>
      <c r="B38" s="221"/>
      <c r="C38" s="228"/>
      <c r="D38" s="222"/>
      <c r="E38" s="222"/>
      <c r="F38" s="223"/>
      <c r="G38" s="229"/>
    </row>
    <row r="39" spans="1:7" s="230" customFormat="1" ht="20.100000000000001" customHeight="1" x14ac:dyDescent="0.25">
      <c r="A39" s="229"/>
      <c r="B39" s="221"/>
      <c r="C39" s="228"/>
      <c r="D39" s="222"/>
      <c r="E39" s="222"/>
      <c r="F39" s="223"/>
      <c r="G39" s="229"/>
    </row>
    <row r="40" spans="1:7" s="230" customFormat="1" ht="20.100000000000001" customHeight="1" x14ac:dyDescent="0.25">
      <c r="A40" s="229"/>
      <c r="B40" s="221"/>
      <c r="C40" s="228"/>
      <c r="D40" s="222"/>
      <c r="E40" s="222"/>
      <c r="F40" s="223"/>
      <c r="G40" s="229"/>
    </row>
    <row r="41" spans="1:7" s="212" customFormat="1" ht="20.100000000000001" customHeight="1" x14ac:dyDescent="0.25">
      <c r="A41" s="209"/>
      <c r="B41" s="231"/>
      <c r="C41" s="231"/>
      <c r="D41" s="232"/>
      <c r="E41" s="233">
        <f>SUM(E29:E37)</f>
        <v>1875</v>
      </c>
      <c r="F41" s="234"/>
      <c r="G41" s="209"/>
    </row>
    <row r="42" spans="1:7" x14ac:dyDescent="0.2">
      <c r="A42" s="179"/>
      <c r="B42" s="235"/>
      <c r="C42" s="236"/>
      <c r="D42" s="237"/>
      <c r="E42" s="238"/>
      <c r="F42" s="209"/>
      <c r="G42" s="179"/>
    </row>
    <row r="43" spans="1:7" ht="16.5" customHeight="1" x14ac:dyDescent="0.25">
      <c r="A43" s="179"/>
      <c r="B43" s="195"/>
      <c r="C43" s="193"/>
      <c r="D43" s="239" t="s">
        <v>706</v>
      </c>
      <c r="E43" s="240">
        <f>E41</f>
        <v>1875</v>
      </c>
      <c r="F43" s="241"/>
      <c r="G43" s="179"/>
    </row>
    <row r="44" spans="1:7" ht="18" customHeight="1" x14ac:dyDescent="0.25">
      <c r="A44" s="179"/>
      <c r="B44" s="195"/>
      <c r="C44" s="193"/>
      <c r="D44" s="239" t="s">
        <v>707</v>
      </c>
      <c r="E44" s="240">
        <f>E43*0.21</f>
        <v>393.75</v>
      </c>
      <c r="F44" s="241"/>
      <c r="G44" s="179"/>
    </row>
    <row r="45" spans="1:7" ht="20.25" customHeight="1" x14ac:dyDescent="0.25">
      <c r="A45" s="179"/>
      <c r="B45" s="179"/>
      <c r="C45" s="187"/>
      <c r="D45" s="242" t="s">
        <v>708</v>
      </c>
      <c r="E45" s="243">
        <f>SUM(E43:E44)</f>
        <v>2268.75</v>
      </c>
      <c r="F45" s="244"/>
      <c r="G45" s="179"/>
    </row>
    <row r="46" spans="1:7" ht="20.25" customHeight="1" x14ac:dyDescent="0.25">
      <c r="A46" s="179"/>
      <c r="B46" s="179"/>
      <c r="C46" s="187"/>
      <c r="D46" s="242"/>
      <c r="E46" s="245"/>
      <c r="F46" s="241"/>
      <c r="G46" s="179"/>
    </row>
    <row r="47" spans="1:7" ht="20.25" customHeight="1" x14ac:dyDescent="0.25">
      <c r="A47" s="179"/>
      <c r="B47" s="179"/>
      <c r="C47" s="187"/>
      <c r="D47" s="242"/>
      <c r="E47" s="245"/>
      <c r="F47" s="241"/>
      <c r="G47" s="179"/>
    </row>
    <row r="48" spans="1:7" ht="20.25" customHeight="1" x14ac:dyDescent="0.25">
      <c r="A48" s="179"/>
      <c r="B48" s="179"/>
      <c r="C48" s="187"/>
      <c r="D48" s="242"/>
      <c r="E48" s="245"/>
      <c r="F48" s="241"/>
      <c r="G48" s="179"/>
    </row>
    <row r="49" spans="1:7" ht="20.25" customHeight="1" x14ac:dyDescent="0.25">
      <c r="A49" s="179"/>
      <c r="B49" s="179"/>
      <c r="C49" s="187"/>
      <c r="D49" s="242"/>
      <c r="E49" s="245"/>
      <c r="F49" s="241"/>
      <c r="G49" s="179"/>
    </row>
    <row r="50" spans="1:7" ht="20.25" customHeight="1" x14ac:dyDescent="0.25">
      <c r="A50" s="179"/>
      <c r="B50" s="179"/>
      <c r="C50" s="187"/>
      <c r="D50" s="242"/>
      <c r="E50" s="245"/>
      <c r="F50" s="241"/>
      <c r="G50" s="179"/>
    </row>
    <row r="51" spans="1:7" ht="20.25" customHeight="1" x14ac:dyDescent="0.25">
      <c r="A51" s="179"/>
      <c r="B51" s="179"/>
      <c r="C51" s="187"/>
      <c r="D51" s="242"/>
      <c r="E51" s="245"/>
      <c r="F51" s="241"/>
      <c r="G51" s="179"/>
    </row>
    <row r="52" spans="1:7" ht="20.25" customHeight="1" x14ac:dyDescent="0.25">
      <c r="A52" s="179"/>
      <c r="B52" s="179"/>
      <c r="C52" s="187"/>
      <c r="D52" s="242"/>
      <c r="E52" s="245"/>
      <c r="F52" s="241"/>
      <c r="G52" s="179"/>
    </row>
    <row r="53" spans="1:7" ht="20.25" customHeight="1" x14ac:dyDescent="0.25">
      <c r="A53" s="179"/>
      <c r="B53" s="246" t="s">
        <v>709</v>
      </c>
      <c r="C53" s="247"/>
      <c r="D53" s="248"/>
      <c r="E53" s="249"/>
      <c r="F53" s="250"/>
      <c r="G53" s="179"/>
    </row>
    <row r="54" spans="1:7" ht="15.75" customHeight="1" x14ac:dyDescent="0.25">
      <c r="A54" s="179"/>
      <c r="B54" s="251" t="s">
        <v>710</v>
      </c>
      <c r="C54" s="187"/>
      <c r="D54" s="242"/>
      <c r="E54" s="245"/>
      <c r="F54" s="252"/>
      <c r="G54" s="179"/>
    </row>
    <row r="55" spans="1:7" ht="15.75" customHeight="1" x14ac:dyDescent="0.25">
      <c r="A55" s="179"/>
      <c r="B55" s="251" t="s">
        <v>711</v>
      </c>
      <c r="C55" s="187"/>
      <c r="D55" s="242"/>
      <c r="E55" s="245"/>
      <c r="F55" s="252"/>
      <c r="G55" s="179"/>
    </row>
    <row r="56" spans="1:7" ht="15.75" customHeight="1" x14ac:dyDescent="0.25">
      <c r="A56" s="179"/>
      <c r="B56" s="251" t="s">
        <v>712</v>
      </c>
      <c r="C56" s="187"/>
      <c r="D56" s="242"/>
      <c r="E56" s="245"/>
      <c r="F56" s="252"/>
      <c r="G56" s="179"/>
    </row>
    <row r="57" spans="1:7" ht="15.75" customHeight="1" x14ac:dyDescent="0.25">
      <c r="A57" s="179"/>
      <c r="B57" s="253" t="s">
        <v>713</v>
      </c>
      <c r="C57" s="254"/>
      <c r="D57" s="255"/>
      <c r="E57" s="256"/>
      <c r="F57" s="257"/>
      <c r="G57" s="179"/>
    </row>
    <row r="58" spans="1:7" ht="20.25" customHeight="1" x14ac:dyDescent="0.25">
      <c r="A58" s="179"/>
      <c r="B58" s="179"/>
      <c r="C58" s="187"/>
      <c r="D58" s="242"/>
      <c r="E58" s="245"/>
      <c r="F58" s="241"/>
      <c r="G58" s="179"/>
    </row>
    <row r="59" spans="1:7" ht="20.25" customHeight="1" x14ac:dyDescent="0.25">
      <c r="A59" s="179"/>
      <c r="B59" s="179"/>
      <c r="C59" s="187"/>
      <c r="D59" s="242"/>
      <c r="E59" s="245"/>
      <c r="F59" s="241"/>
      <c r="G59" s="179"/>
    </row>
    <row r="60" spans="1:7" ht="13.5" customHeight="1" x14ac:dyDescent="0.2">
      <c r="A60" s="179"/>
      <c r="B60" s="195"/>
      <c r="C60" s="195"/>
      <c r="D60" s="180"/>
      <c r="E60" s="179"/>
      <c r="F60" s="179"/>
      <c r="G60" s="179"/>
    </row>
    <row r="61" spans="1:7" x14ac:dyDescent="0.2">
      <c r="A61" s="179"/>
      <c r="B61" s="258" t="s">
        <v>714</v>
      </c>
      <c r="C61" s="179"/>
      <c r="D61" s="259"/>
      <c r="E61" s="259" t="s">
        <v>715</v>
      </c>
      <c r="F61" s="179"/>
      <c r="G61" s="179"/>
    </row>
    <row r="62" spans="1:7" x14ac:dyDescent="0.2">
      <c r="A62" s="179"/>
      <c r="B62" s="179"/>
      <c r="C62" s="179"/>
      <c r="D62" s="180"/>
      <c r="E62" s="179"/>
      <c r="F62" s="179"/>
      <c r="G62" s="179"/>
    </row>
    <row r="63" spans="1:7" x14ac:dyDescent="0.2">
      <c r="A63" s="179"/>
      <c r="B63" s="179"/>
      <c r="C63" s="179"/>
      <c r="D63" s="180"/>
      <c r="E63" s="179"/>
      <c r="F63" s="179"/>
      <c r="G63" s="179"/>
    </row>
  </sheetData>
  <mergeCells count="1">
    <mergeCell ref="B14:C15"/>
  </mergeCells>
  <pageMargins left="0.9055118110236221" right="0.11811023622047245" top="0.19685039370078741" bottom="0" header="0.31496062992125984" footer="0.31496062992125984"/>
  <pageSetup scale="7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55B81E85-08BC-4959-91FB-F08BADE127EB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F29:F40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F2C1-868D-4313-8304-15C4CBDEFCB0}">
  <sheetPr codeName="Sheet3"/>
  <dimension ref="A69:N83"/>
  <sheetViews>
    <sheetView showGridLines="0" showRowColHeaders="0" zoomScale="82" workbookViewId="0">
      <selection activeCell="D75" sqref="D75"/>
    </sheetView>
  </sheetViews>
  <sheetFormatPr defaultRowHeight="15" x14ac:dyDescent="0.25"/>
  <cols>
    <col min="1" max="1" width="11.28515625" bestFit="1" customWidth="1"/>
    <col min="2" max="2" width="10.5703125" bestFit="1" customWidth="1"/>
    <col min="3" max="3" width="10.5703125" customWidth="1"/>
    <col min="4" max="4" width="11.42578125" bestFit="1" customWidth="1"/>
    <col min="5" max="5" width="10.5703125" bestFit="1" customWidth="1"/>
    <col min="6" max="6" width="10.5703125" customWidth="1"/>
    <col min="7" max="7" width="12.5703125" bestFit="1" customWidth="1"/>
    <col min="8" max="8" width="10.5703125" bestFit="1" customWidth="1"/>
    <col min="9" max="9" width="9" bestFit="1" customWidth="1"/>
    <col min="10" max="10" width="22.28515625" bestFit="1" customWidth="1"/>
    <col min="11" max="11" width="14.5703125" bestFit="1" customWidth="1"/>
    <col min="12" max="12" width="9" bestFit="1" customWidth="1"/>
    <col min="13" max="13" width="13.7109375" bestFit="1" customWidth="1"/>
    <col min="14" max="14" width="25" bestFit="1" customWidth="1"/>
    <col min="15" max="18" width="2" bestFit="1" customWidth="1"/>
    <col min="19" max="19" width="20.7109375" bestFit="1" customWidth="1"/>
    <col min="20" max="20" width="14.28515625" bestFit="1" customWidth="1"/>
    <col min="21" max="23" width="20.85546875" bestFit="1" customWidth="1"/>
    <col min="24" max="24" width="22.28515625" bestFit="1" customWidth="1"/>
    <col min="25" max="25" width="14.5703125" bestFit="1" customWidth="1"/>
    <col min="26" max="46" width="20.85546875" bestFit="1" customWidth="1"/>
    <col min="47" max="47" width="11.28515625" bestFit="1" customWidth="1"/>
    <col min="48" max="48" width="4" bestFit="1" customWidth="1"/>
    <col min="49" max="49" width="10.28515625" bestFit="1" customWidth="1"/>
    <col min="50" max="50" width="15" bestFit="1" customWidth="1"/>
    <col min="51" max="51" width="18.140625" bestFit="1" customWidth="1"/>
    <col min="52" max="52" width="22.28515625" bestFit="1" customWidth="1"/>
    <col min="53" max="53" width="25.5703125" bestFit="1" customWidth="1"/>
    <col min="54" max="54" width="22.7109375" bestFit="1" customWidth="1"/>
    <col min="55" max="56" width="7" bestFit="1" customWidth="1"/>
    <col min="57" max="57" width="9" bestFit="1" customWidth="1"/>
    <col min="58" max="58" width="8" bestFit="1" customWidth="1"/>
    <col min="59" max="59" width="7" bestFit="1" customWidth="1"/>
    <col min="60" max="60" width="5" bestFit="1" customWidth="1"/>
    <col min="61" max="61" width="9" bestFit="1" customWidth="1"/>
    <col min="62" max="62" width="26" bestFit="1" customWidth="1"/>
    <col min="63" max="63" width="14" bestFit="1" customWidth="1"/>
    <col min="64" max="64" width="17.28515625" bestFit="1" customWidth="1"/>
    <col min="65" max="65" width="14.42578125" bestFit="1" customWidth="1"/>
    <col min="66" max="66" width="5" bestFit="1" customWidth="1"/>
    <col min="67" max="67" width="7" bestFit="1" customWidth="1"/>
    <col min="68" max="68" width="5" bestFit="1" customWidth="1"/>
    <col min="69" max="69" width="4" bestFit="1" customWidth="1"/>
    <col min="70" max="70" width="7" bestFit="1" customWidth="1"/>
    <col min="71" max="71" width="17.7109375" bestFit="1" customWidth="1"/>
    <col min="72" max="72" width="12.5703125" bestFit="1" customWidth="1"/>
    <col min="73" max="73" width="15.7109375" bestFit="1" customWidth="1"/>
    <col min="74" max="74" width="13" bestFit="1" customWidth="1"/>
    <col min="75" max="75" width="16.140625" bestFit="1" customWidth="1"/>
    <col min="76" max="76" width="11" bestFit="1" customWidth="1"/>
    <col min="77" max="77" width="14.140625" bestFit="1" customWidth="1"/>
    <col min="78" max="78" width="6.5703125" bestFit="1" customWidth="1"/>
    <col min="79" max="80" width="4" bestFit="1" customWidth="1"/>
    <col min="81" max="81" width="5" bestFit="1" customWidth="1"/>
    <col min="82" max="82" width="9.5703125" bestFit="1" customWidth="1"/>
    <col min="83" max="83" width="8.140625" bestFit="1" customWidth="1"/>
    <col min="84" max="84" width="11.140625" bestFit="1" customWidth="1"/>
    <col min="85" max="85" width="8.5703125" bestFit="1" customWidth="1"/>
    <col min="86" max="86" width="11.5703125" bestFit="1" customWidth="1"/>
    <col min="87" max="87" width="16.85546875" bestFit="1" customWidth="1"/>
    <col min="88" max="88" width="4" bestFit="1" customWidth="1"/>
    <col min="89" max="89" width="20" bestFit="1" customWidth="1"/>
    <col min="90" max="90" width="12.28515625" bestFit="1" customWidth="1"/>
    <col min="91" max="91" width="15.42578125" bestFit="1" customWidth="1"/>
    <col min="92" max="92" width="10.42578125" bestFit="1" customWidth="1"/>
    <col min="93" max="93" width="8" bestFit="1" customWidth="1"/>
    <col min="94" max="94" width="6" bestFit="1" customWidth="1"/>
    <col min="95" max="96" width="8" bestFit="1" customWidth="1"/>
    <col min="97" max="97" width="9" bestFit="1" customWidth="1"/>
    <col min="98" max="98" width="5" bestFit="1" customWidth="1"/>
    <col min="99" max="99" width="13.5703125" bestFit="1" customWidth="1"/>
    <col min="100" max="100" width="7.28515625" bestFit="1" customWidth="1"/>
    <col min="101" max="101" width="10.28515625" bestFit="1" customWidth="1"/>
    <col min="102" max="102" width="8" bestFit="1" customWidth="1"/>
    <col min="103" max="103" width="9" bestFit="1" customWidth="1"/>
    <col min="105" max="105" width="12.140625" bestFit="1" customWidth="1"/>
    <col min="106" max="106" width="11.28515625" bestFit="1" customWidth="1"/>
  </cols>
  <sheetData>
    <row r="69" spans="1:14" ht="18.75" x14ac:dyDescent="0.3">
      <c r="A69" s="178" t="s">
        <v>682</v>
      </c>
      <c r="B69" s="178"/>
      <c r="D69" s="281" t="s">
        <v>683</v>
      </c>
      <c r="E69" s="281"/>
      <c r="G69" s="281" t="s">
        <v>684</v>
      </c>
      <c r="H69" s="281"/>
      <c r="J69" s="281" t="s">
        <v>685</v>
      </c>
      <c r="K69" s="281"/>
      <c r="M69" s="281" t="s">
        <v>686</v>
      </c>
      <c r="N69" s="281"/>
    </row>
    <row r="70" spans="1:14" x14ac:dyDescent="0.25">
      <c r="A70" s="176" t="s">
        <v>674</v>
      </c>
      <c r="B70" s="14">
        <v>2018</v>
      </c>
      <c r="C70" s="14"/>
      <c r="D70" s="176" t="s">
        <v>46</v>
      </c>
      <c r="E70" t="s">
        <v>671</v>
      </c>
      <c r="G70" s="176" t="s">
        <v>11</v>
      </c>
      <c r="H70" s="14">
        <v>2018</v>
      </c>
      <c r="J70" s="176" t="s">
        <v>11</v>
      </c>
      <c r="K70" s="177">
        <v>2018</v>
      </c>
      <c r="M70" s="176" t="s">
        <v>42</v>
      </c>
      <c r="N70" t="s">
        <v>50</v>
      </c>
    </row>
    <row r="71" spans="1:14" x14ac:dyDescent="0.25">
      <c r="D71" s="176" t="s">
        <v>674</v>
      </c>
      <c r="E71" s="14">
        <v>2018</v>
      </c>
      <c r="F71" s="14"/>
      <c r="G71" s="176" t="s">
        <v>10</v>
      </c>
      <c r="H71" s="14">
        <v>8</v>
      </c>
      <c r="J71" s="176" t="s">
        <v>10</v>
      </c>
      <c r="K71" s="177">
        <v>3</v>
      </c>
    </row>
    <row r="72" spans="1:14" x14ac:dyDescent="0.25">
      <c r="A72" s="176" t="s">
        <v>681</v>
      </c>
      <c r="B72" t="s">
        <v>679</v>
      </c>
      <c r="M72" s="176" t="s">
        <v>672</v>
      </c>
      <c r="N72" t="s">
        <v>670</v>
      </c>
    </row>
    <row r="73" spans="1:14" x14ac:dyDescent="0.25">
      <c r="A73" s="14">
        <v>1</v>
      </c>
      <c r="B73" s="175">
        <v>36464.855000000003</v>
      </c>
      <c r="C73" s="175"/>
      <c r="D73" s="176" t="s">
        <v>681</v>
      </c>
      <c r="E73" t="s">
        <v>679</v>
      </c>
      <c r="G73" s="176" t="s">
        <v>680</v>
      </c>
      <c r="H73" t="s">
        <v>679</v>
      </c>
      <c r="J73" s="176" t="s">
        <v>672</v>
      </c>
      <c r="K73" t="s">
        <v>670</v>
      </c>
      <c r="M73" s="177">
        <v>1</v>
      </c>
      <c r="N73" s="175">
        <v>2893.75</v>
      </c>
    </row>
    <row r="74" spans="1:14" x14ac:dyDescent="0.25">
      <c r="A74" s="14">
        <v>2</v>
      </c>
      <c r="B74" s="175">
        <v>26516</v>
      </c>
      <c r="C74" s="175"/>
      <c r="D74" s="14">
        <v>1</v>
      </c>
      <c r="E74" s="175">
        <v>36464.855000000003</v>
      </c>
      <c r="F74" s="175"/>
      <c r="G74" s="14" t="s">
        <v>27</v>
      </c>
      <c r="H74" s="175">
        <v>8900</v>
      </c>
      <c r="J74" s="14" t="s">
        <v>99</v>
      </c>
      <c r="K74" s="175"/>
      <c r="M74" s="177">
        <v>2</v>
      </c>
      <c r="N74" s="175">
        <v>2418.5</v>
      </c>
    </row>
    <row r="75" spans="1:14" x14ac:dyDescent="0.25">
      <c r="A75" s="14">
        <v>3</v>
      </c>
      <c r="B75" s="175">
        <v>30700</v>
      </c>
      <c r="C75" s="175"/>
      <c r="D75" s="14">
        <v>2</v>
      </c>
      <c r="E75" s="175">
        <v>26516</v>
      </c>
      <c r="F75" s="175"/>
      <c r="G75" s="14" t="s">
        <v>6</v>
      </c>
      <c r="H75" s="175">
        <v>17715.625</v>
      </c>
      <c r="J75" s="14" t="s">
        <v>50</v>
      </c>
      <c r="K75" s="175">
        <v>4062.5</v>
      </c>
      <c r="M75" s="177">
        <v>3</v>
      </c>
      <c r="N75" s="175">
        <v>4062.5</v>
      </c>
    </row>
    <row r="76" spans="1:14" x14ac:dyDescent="0.25">
      <c r="A76" s="14">
        <v>4</v>
      </c>
      <c r="B76" s="175">
        <v>27559.375</v>
      </c>
      <c r="C76" s="175"/>
      <c r="D76" s="14">
        <v>3</v>
      </c>
      <c r="E76" s="175">
        <v>30700</v>
      </c>
      <c r="F76" s="175"/>
      <c r="G76" s="14" t="s">
        <v>21</v>
      </c>
      <c r="H76" s="175">
        <v>4943.75</v>
      </c>
      <c r="J76" s="14" t="s">
        <v>24</v>
      </c>
      <c r="K76" s="175">
        <v>5512.5</v>
      </c>
      <c r="M76" s="177">
        <v>4</v>
      </c>
      <c r="N76" s="175">
        <v>9496.875</v>
      </c>
    </row>
    <row r="77" spans="1:14" x14ac:dyDescent="0.25">
      <c r="A77" s="14">
        <v>5</v>
      </c>
      <c r="B77" s="175">
        <v>27359.38</v>
      </c>
      <c r="C77" s="175"/>
      <c r="D77" s="14">
        <v>4</v>
      </c>
      <c r="E77" s="175">
        <v>27559.375</v>
      </c>
      <c r="F77" s="175"/>
      <c r="G77" s="14" t="s">
        <v>135</v>
      </c>
      <c r="H77" s="175">
        <v>906.25</v>
      </c>
      <c r="J77" s="14" t="s">
        <v>94</v>
      </c>
      <c r="K77" s="175">
        <v>850</v>
      </c>
      <c r="M77" s="177">
        <v>5</v>
      </c>
      <c r="N77" s="175">
        <v>2793.75</v>
      </c>
    </row>
    <row r="78" spans="1:14" x14ac:dyDescent="0.25">
      <c r="A78" s="14">
        <v>6</v>
      </c>
      <c r="B78" s="175">
        <v>31706.25</v>
      </c>
      <c r="C78" s="175"/>
      <c r="D78" s="14">
        <v>5</v>
      </c>
      <c r="E78" s="175">
        <v>27359.38</v>
      </c>
      <c r="F78" s="175"/>
      <c r="G78" s="14" t="s">
        <v>673</v>
      </c>
      <c r="H78" s="175">
        <v>32465.625</v>
      </c>
      <c r="J78" s="14" t="s">
        <v>5</v>
      </c>
      <c r="K78" s="175">
        <v>20275</v>
      </c>
      <c r="M78" s="177">
        <v>6</v>
      </c>
      <c r="N78" s="175">
        <v>1762.5</v>
      </c>
    </row>
    <row r="79" spans="1:14" x14ac:dyDescent="0.25">
      <c r="A79" s="14">
        <v>7</v>
      </c>
      <c r="B79" s="175">
        <v>8527.5</v>
      </c>
      <c r="C79" s="175"/>
      <c r="D79" s="14">
        <v>6</v>
      </c>
      <c r="E79" s="175">
        <v>31706.25</v>
      </c>
      <c r="F79" s="175"/>
      <c r="J79" s="14" t="s">
        <v>673</v>
      </c>
      <c r="K79" s="175">
        <v>30700</v>
      </c>
      <c r="M79" s="177">
        <v>7</v>
      </c>
      <c r="N79" s="175">
        <v>1050</v>
      </c>
    </row>
    <row r="80" spans="1:14" x14ac:dyDescent="0.25">
      <c r="A80" s="14">
        <v>8</v>
      </c>
      <c r="B80" s="175">
        <v>32465.625</v>
      </c>
      <c r="C80" s="175"/>
      <c r="D80" s="14">
        <v>7</v>
      </c>
      <c r="E80" s="175">
        <v>8527.5</v>
      </c>
      <c r="F80" s="175"/>
      <c r="M80" s="177">
        <v>8</v>
      </c>
      <c r="N80" s="175">
        <v>2278.125</v>
      </c>
    </row>
    <row r="81" spans="1:14" x14ac:dyDescent="0.25">
      <c r="A81" s="14">
        <v>9</v>
      </c>
      <c r="B81" s="175">
        <v>9184.375</v>
      </c>
      <c r="C81" s="175"/>
      <c r="D81" s="14">
        <v>8</v>
      </c>
      <c r="E81" s="175">
        <v>32465.625</v>
      </c>
      <c r="F81" s="175"/>
      <c r="M81" s="177" t="s">
        <v>673</v>
      </c>
      <c r="N81" s="175">
        <v>26756</v>
      </c>
    </row>
    <row r="82" spans="1:14" x14ac:dyDescent="0.25">
      <c r="A82" s="14" t="s">
        <v>673</v>
      </c>
      <c r="B82" s="175">
        <v>230483.36000000002</v>
      </c>
      <c r="C82" s="175"/>
      <c r="D82" s="14">
        <v>9</v>
      </c>
      <c r="E82" s="175">
        <v>9184.375</v>
      </c>
      <c r="F82" s="175"/>
    </row>
    <row r="83" spans="1:14" x14ac:dyDescent="0.25">
      <c r="D83" s="14" t="s">
        <v>673</v>
      </c>
      <c r="E83" s="175">
        <v>230483.36000000002</v>
      </c>
      <c r="F83" s="175"/>
    </row>
  </sheetData>
  <mergeCells count="4">
    <mergeCell ref="M69:N69"/>
    <mergeCell ref="D69:E69"/>
    <mergeCell ref="G69:H69"/>
    <mergeCell ref="J69:K69"/>
  </mergeCells>
  <pageMargins left="0.7" right="0.7" top="0.75" bottom="0.75" header="0.3" footer="0.3"/>
  <pageSetup paperSize="9" orientation="portrait" verticalDpi="0" r:id="rId6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AD16-8DB6-4967-B990-C919E9D4BB7D}">
  <sheetPr codeName="Sheet4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675</v>
      </c>
    </row>
    <row r="2" spans="1:1" x14ac:dyDescent="0.25">
      <c r="A2" t="s">
        <v>676</v>
      </c>
    </row>
    <row r="3" spans="1:1" x14ac:dyDescent="0.25">
      <c r="A3" t="s">
        <v>677</v>
      </c>
    </row>
    <row r="4" spans="1:1" x14ac:dyDescent="0.25">
      <c r="A4" t="s">
        <v>678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86BF9-BBA4-4BA0-81C8-31D4014F0E03}">
  <sheetPr codeName="Tarieven"/>
  <dimension ref="A1:P335"/>
  <sheetViews>
    <sheetView zoomScaleNormal="100" workbookViewId="0">
      <pane ySplit="1" topLeftCell="A91" activePane="bottomLeft" state="frozen"/>
      <selection pane="bottomLeft" activeCell="A107" sqref="A107"/>
    </sheetView>
  </sheetViews>
  <sheetFormatPr defaultRowHeight="15" x14ac:dyDescent="0.25"/>
  <cols>
    <col min="1" max="1" width="20.28515625" bestFit="1" customWidth="1"/>
    <col min="2" max="2" width="11" style="4" bestFit="1" customWidth="1"/>
    <col min="3" max="3" width="11" style="4" customWidth="1"/>
    <col min="4" max="4" width="8.85546875" style="4"/>
    <col min="5" max="5" width="12.5703125" style="14" bestFit="1" customWidth="1"/>
    <col min="6" max="7" width="10.140625" style="4" customWidth="1"/>
    <col min="10" max="10" width="12" customWidth="1"/>
    <col min="11" max="11" width="16.42578125" bestFit="1" customWidth="1"/>
    <col min="13" max="13" width="18.5703125" bestFit="1" customWidth="1"/>
  </cols>
  <sheetData>
    <row r="1" spans="1:16" ht="43.5" customHeight="1" x14ac:dyDescent="0.25">
      <c r="A1" s="1" t="s">
        <v>42</v>
      </c>
      <c r="B1" s="2" t="s">
        <v>0</v>
      </c>
      <c r="C1" s="2" t="s">
        <v>1</v>
      </c>
      <c r="D1" s="2" t="s">
        <v>2</v>
      </c>
      <c r="E1" s="3" t="s">
        <v>3</v>
      </c>
      <c r="F1" s="2" t="s">
        <v>4</v>
      </c>
    </row>
    <row r="2" spans="1:16" x14ac:dyDescent="0.25">
      <c r="A2" s="5" t="s">
        <v>5</v>
      </c>
      <c r="B2" s="6" t="s">
        <v>6</v>
      </c>
      <c r="C2" s="6" t="s">
        <v>7</v>
      </c>
      <c r="D2" s="6" t="s">
        <v>687</v>
      </c>
      <c r="E2" s="7" t="s">
        <v>8</v>
      </c>
      <c r="F2" s="6">
        <v>1050</v>
      </c>
    </row>
    <row r="3" spans="1:16" x14ac:dyDescent="0.25">
      <c r="A3" s="5" t="s">
        <v>5</v>
      </c>
      <c r="B3" s="6" t="s">
        <v>6</v>
      </c>
      <c r="C3" s="6" t="s">
        <v>7</v>
      </c>
      <c r="D3" s="6" t="s">
        <v>12</v>
      </c>
      <c r="E3" s="7" t="s">
        <v>36</v>
      </c>
      <c r="F3" s="6">
        <v>575</v>
      </c>
    </row>
    <row r="4" spans="1:16" x14ac:dyDescent="0.25">
      <c r="A4" s="5" t="s">
        <v>5</v>
      </c>
      <c r="B4" s="6" t="s">
        <v>6</v>
      </c>
      <c r="C4" s="6" t="s">
        <v>7</v>
      </c>
      <c r="D4" s="6" t="s">
        <v>13</v>
      </c>
      <c r="E4" s="7" t="s">
        <v>14</v>
      </c>
      <c r="F4" s="6" t="s">
        <v>15</v>
      </c>
      <c r="H4" s="6"/>
    </row>
    <row r="5" spans="1:16" x14ac:dyDescent="0.25">
      <c r="A5" s="5" t="s">
        <v>5</v>
      </c>
      <c r="B5" s="6" t="s">
        <v>6</v>
      </c>
      <c r="C5" s="6" t="s">
        <v>16</v>
      </c>
      <c r="D5" s="6" t="s">
        <v>13</v>
      </c>
      <c r="E5" s="7" t="s">
        <v>17</v>
      </c>
      <c r="F5" s="6">
        <v>125</v>
      </c>
      <c r="H5" s="6"/>
      <c r="L5" t="s">
        <v>462</v>
      </c>
    </row>
    <row r="6" spans="1:16" x14ac:dyDescent="0.25">
      <c r="A6" s="5" t="s">
        <v>5</v>
      </c>
      <c r="B6" s="6" t="s">
        <v>6</v>
      </c>
      <c r="C6" s="6" t="s">
        <v>7</v>
      </c>
      <c r="D6" s="6" t="s">
        <v>18</v>
      </c>
      <c r="E6" s="7" t="s">
        <v>19</v>
      </c>
      <c r="F6" s="6" t="s">
        <v>15</v>
      </c>
      <c r="H6" s="6"/>
    </row>
    <row r="7" spans="1:16" x14ac:dyDescent="0.25">
      <c r="A7" s="5" t="s">
        <v>5</v>
      </c>
      <c r="B7" s="6" t="s">
        <v>21</v>
      </c>
      <c r="C7" s="6" t="s">
        <v>7</v>
      </c>
      <c r="D7" s="6" t="s">
        <v>687</v>
      </c>
      <c r="E7" s="7" t="s">
        <v>8</v>
      </c>
      <c r="F7" s="6">
        <v>950</v>
      </c>
    </row>
    <row r="8" spans="1:16" x14ac:dyDescent="0.25">
      <c r="A8" s="5" t="s">
        <v>5</v>
      </c>
      <c r="B8" s="6" t="s">
        <v>21</v>
      </c>
      <c r="C8" s="6" t="s">
        <v>7</v>
      </c>
      <c r="D8" s="6" t="s">
        <v>12</v>
      </c>
      <c r="E8" s="7" t="s">
        <v>36</v>
      </c>
      <c r="F8" s="6">
        <v>525</v>
      </c>
      <c r="P8" s="8"/>
    </row>
    <row r="9" spans="1:16" x14ac:dyDescent="0.25">
      <c r="A9" s="5" t="s">
        <v>5</v>
      </c>
      <c r="B9" s="6" t="s">
        <v>21</v>
      </c>
      <c r="C9" s="6" t="s">
        <v>7</v>
      </c>
      <c r="D9" s="6" t="s">
        <v>13</v>
      </c>
      <c r="E9" s="7" t="s">
        <v>14</v>
      </c>
      <c r="F9" s="9" t="s">
        <v>23</v>
      </c>
    </row>
    <row r="10" spans="1:16" x14ac:dyDescent="0.25">
      <c r="A10" s="5" t="s">
        <v>5</v>
      </c>
      <c r="B10" s="6" t="s">
        <v>21</v>
      </c>
      <c r="C10" s="6" t="s">
        <v>16</v>
      </c>
      <c r="D10" s="6" t="s">
        <v>13</v>
      </c>
      <c r="E10" s="7" t="s">
        <v>17</v>
      </c>
      <c r="F10" s="6">
        <v>115</v>
      </c>
    </row>
    <row r="11" spans="1:16" x14ac:dyDescent="0.25">
      <c r="A11" s="5" t="s">
        <v>5</v>
      </c>
      <c r="B11" s="6" t="s">
        <v>21</v>
      </c>
      <c r="C11" s="6" t="s">
        <v>7</v>
      </c>
      <c r="D11" s="6" t="s">
        <v>18</v>
      </c>
      <c r="E11" s="7" t="s">
        <v>19</v>
      </c>
      <c r="F11" s="6"/>
    </row>
    <row r="12" spans="1:16" x14ac:dyDescent="0.25">
      <c r="A12" s="10" t="s">
        <v>24</v>
      </c>
      <c r="B12" s="11" t="s">
        <v>6</v>
      </c>
      <c r="C12" s="11" t="s">
        <v>7</v>
      </c>
      <c r="D12" s="11" t="s">
        <v>687</v>
      </c>
      <c r="E12" s="12" t="s">
        <v>8</v>
      </c>
      <c r="F12" s="11">
        <v>1000</v>
      </c>
    </row>
    <row r="13" spans="1:16" x14ac:dyDescent="0.25">
      <c r="A13" s="10" t="s">
        <v>24</v>
      </c>
      <c r="B13" s="11" t="s">
        <v>6</v>
      </c>
      <c r="C13" s="11" t="s">
        <v>7</v>
      </c>
      <c r="D13" s="11" t="s">
        <v>12</v>
      </c>
      <c r="E13" s="12" t="s">
        <v>36</v>
      </c>
      <c r="F13" s="11">
        <v>600</v>
      </c>
    </row>
    <row r="14" spans="1:16" x14ac:dyDescent="0.25">
      <c r="A14" s="10" t="s">
        <v>24</v>
      </c>
      <c r="B14" s="11" t="s">
        <v>6</v>
      </c>
      <c r="C14" s="11" t="s">
        <v>7</v>
      </c>
      <c r="D14" s="11" t="s">
        <v>13</v>
      </c>
      <c r="E14" s="12" t="s">
        <v>14</v>
      </c>
      <c r="F14" s="18">
        <v>200</v>
      </c>
    </row>
    <row r="15" spans="1:16" x14ac:dyDescent="0.25">
      <c r="A15" s="10" t="s">
        <v>24</v>
      </c>
      <c r="B15" s="11" t="s">
        <v>6</v>
      </c>
      <c r="C15" s="11" t="s">
        <v>16</v>
      </c>
      <c r="D15" s="11" t="s">
        <v>13</v>
      </c>
      <c r="E15" s="12" t="s">
        <v>17</v>
      </c>
      <c r="F15" s="11">
        <v>125</v>
      </c>
    </row>
    <row r="16" spans="1:16" x14ac:dyDescent="0.25">
      <c r="A16" s="10" t="s">
        <v>24</v>
      </c>
      <c r="B16" s="11" t="s">
        <v>6</v>
      </c>
      <c r="C16" s="11" t="s">
        <v>7</v>
      </c>
      <c r="D16" s="11" t="s">
        <v>18</v>
      </c>
      <c r="E16" s="12" t="s">
        <v>19</v>
      </c>
      <c r="F16" s="11" t="s">
        <v>15</v>
      </c>
    </row>
    <row r="17" spans="1:6" x14ac:dyDescent="0.25">
      <c r="A17" s="10" t="s">
        <v>24</v>
      </c>
      <c r="B17" s="11" t="s">
        <v>21</v>
      </c>
      <c r="C17" s="11" t="s">
        <v>7</v>
      </c>
      <c r="D17" s="11" t="s">
        <v>687</v>
      </c>
      <c r="E17" s="12" t="s">
        <v>8</v>
      </c>
      <c r="F17" s="11">
        <v>900</v>
      </c>
    </row>
    <row r="18" spans="1:6" x14ac:dyDescent="0.25">
      <c r="A18" s="10" t="s">
        <v>24</v>
      </c>
      <c r="B18" s="11" t="s">
        <v>21</v>
      </c>
      <c r="C18" s="11" t="s">
        <v>7</v>
      </c>
      <c r="D18" s="11" t="s">
        <v>12</v>
      </c>
      <c r="E18" s="12" t="s">
        <v>36</v>
      </c>
      <c r="F18" s="11">
        <v>540</v>
      </c>
    </row>
    <row r="19" spans="1:6" x14ac:dyDescent="0.25">
      <c r="A19" s="10" t="s">
        <v>24</v>
      </c>
      <c r="B19" s="11" t="s">
        <v>21</v>
      </c>
      <c r="C19" s="11" t="s">
        <v>7</v>
      </c>
      <c r="D19" s="11" t="s">
        <v>13</v>
      </c>
      <c r="E19" s="12" t="s">
        <v>14</v>
      </c>
      <c r="F19" s="11">
        <v>180</v>
      </c>
    </row>
    <row r="20" spans="1:6" x14ac:dyDescent="0.25">
      <c r="A20" s="10" t="s">
        <v>24</v>
      </c>
      <c r="B20" s="11" t="s">
        <v>21</v>
      </c>
      <c r="C20" s="11" t="s">
        <v>16</v>
      </c>
      <c r="D20" s="11" t="s">
        <v>13</v>
      </c>
      <c r="E20" s="12" t="s">
        <v>17</v>
      </c>
      <c r="F20" s="11">
        <v>112.5</v>
      </c>
    </row>
    <row r="21" spans="1:6" x14ac:dyDescent="0.25">
      <c r="A21" s="10" t="s">
        <v>24</v>
      </c>
      <c r="B21" s="11" t="s">
        <v>21</v>
      </c>
      <c r="C21" s="11" t="s">
        <v>7</v>
      </c>
      <c r="D21" s="11" t="s">
        <v>18</v>
      </c>
      <c r="E21" s="12" t="s">
        <v>19</v>
      </c>
      <c r="F21" s="11" t="s">
        <v>15</v>
      </c>
    </row>
    <row r="22" spans="1:6" x14ac:dyDescent="0.25">
      <c r="A22" s="5" t="s">
        <v>26</v>
      </c>
      <c r="B22" s="6" t="s">
        <v>6</v>
      </c>
      <c r="C22" s="6" t="s">
        <v>7</v>
      </c>
      <c r="D22" s="6" t="s">
        <v>687</v>
      </c>
      <c r="E22" s="7" t="s">
        <v>8</v>
      </c>
      <c r="F22" s="6">
        <v>950</v>
      </c>
    </row>
    <row r="23" spans="1:6" x14ac:dyDescent="0.25">
      <c r="A23" s="5" t="s">
        <v>26</v>
      </c>
      <c r="B23" s="6" t="s">
        <v>6</v>
      </c>
      <c r="C23" s="6" t="s">
        <v>7</v>
      </c>
      <c r="D23" s="6" t="s">
        <v>12</v>
      </c>
      <c r="E23" s="7" t="s">
        <v>36</v>
      </c>
      <c r="F23" s="6">
        <v>570</v>
      </c>
    </row>
    <row r="24" spans="1:6" x14ac:dyDescent="0.25">
      <c r="A24" s="5" t="s">
        <v>26</v>
      </c>
      <c r="B24" s="6" t="s">
        <v>6</v>
      </c>
      <c r="C24" s="6" t="s">
        <v>7</v>
      </c>
      <c r="D24" s="6" t="s">
        <v>13</v>
      </c>
      <c r="E24" s="7" t="s">
        <v>14</v>
      </c>
      <c r="F24" s="18">
        <v>190</v>
      </c>
    </row>
    <row r="25" spans="1:6" x14ac:dyDescent="0.25">
      <c r="A25" s="5" t="s">
        <v>26</v>
      </c>
      <c r="B25" s="6" t="s">
        <v>6</v>
      </c>
      <c r="C25" s="6" t="s">
        <v>16</v>
      </c>
      <c r="D25" s="6" t="s">
        <v>13</v>
      </c>
      <c r="E25" s="7" t="s">
        <v>17</v>
      </c>
      <c r="F25" s="6">
        <v>118.75</v>
      </c>
    </row>
    <row r="26" spans="1:6" x14ac:dyDescent="0.25">
      <c r="A26" s="5" t="s">
        <v>26</v>
      </c>
      <c r="B26" s="6" t="s">
        <v>6</v>
      </c>
      <c r="C26" s="6" t="s">
        <v>7</v>
      </c>
      <c r="D26" s="6" t="s">
        <v>18</v>
      </c>
      <c r="E26" s="7" t="s">
        <v>19</v>
      </c>
      <c r="F26" s="6" t="s">
        <v>15</v>
      </c>
    </row>
    <row r="27" spans="1:6" x14ac:dyDescent="0.25">
      <c r="A27" s="5" t="s">
        <v>26</v>
      </c>
      <c r="B27" s="6" t="s">
        <v>27</v>
      </c>
      <c r="C27" s="6" t="s">
        <v>7</v>
      </c>
      <c r="D27" s="6" t="s">
        <v>687</v>
      </c>
      <c r="E27" s="7" t="s">
        <v>8</v>
      </c>
      <c r="F27" s="6">
        <v>950</v>
      </c>
    </row>
    <row r="28" spans="1:6" x14ac:dyDescent="0.25">
      <c r="A28" s="5" t="s">
        <v>26</v>
      </c>
      <c r="B28" s="6" t="s">
        <v>27</v>
      </c>
      <c r="C28" s="6" t="s">
        <v>7</v>
      </c>
      <c r="D28" s="6" t="s">
        <v>12</v>
      </c>
      <c r="E28" s="7" t="s">
        <v>36</v>
      </c>
      <c r="F28" s="6">
        <v>570</v>
      </c>
    </row>
    <row r="29" spans="1:6" x14ac:dyDescent="0.25">
      <c r="A29" s="5" t="s">
        <v>26</v>
      </c>
      <c r="B29" s="6" t="s">
        <v>27</v>
      </c>
      <c r="C29" s="6" t="s">
        <v>7</v>
      </c>
      <c r="D29" s="6" t="s">
        <v>13</v>
      </c>
      <c r="E29" s="7" t="s">
        <v>14</v>
      </c>
      <c r="F29" s="6">
        <v>190</v>
      </c>
    </row>
    <row r="30" spans="1:6" x14ac:dyDescent="0.25">
      <c r="A30" s="5" t="s">
        <v>26</v>
      </c>
      <c r="B30" s="6" t="s">
        <v>27</v>
      </c>
      <c r="C30" s="6" t="s">
        <v>16</v>
      </c>
      <c r="D30" s="6" t="s">
        <v>13</v>
      </c>
      <c r="E30" s="7" t="s">
        <v>17</v>
      </c>
      <c r="F30" s="6">
        <v>118.75</v>
      </c>
    </row>
    <row r="31" spans="1:6" x14ac:dyDescent="0.25">
      <c r="A31" s="5" t="s">
        <v>26</v>
      </c>
      <c r="B31" s="6" t="s">
        <v>27</v>
      </c>
      <c r="C31" s="6" t="s">
        <v>7</v>
      </c>
      <c r="D31" s="6" t="s">
        <v>18</v>
      </c>
      <c r="E31" s="7" t="s">
        <v>19</v>
      </c>
      <c r="F31" s="6" t="s">
        <v>15</v>
      </c>
    </row>
    <row r="32" spans="1:6" x14ac:dyDescent="0.25">
      <c r="A32" s="10" t="s">
        <v>28</v>
      </c>
      <c r="B32" s="11" t="s">
        <v>6</v>
      </c>
      <c r="C32" s="11" t="s">
        <v>7</v>
      </c>
      <c r="D32" s="11" t="s">
        <v>687</v>
      </c>
      <c r="E32" s="12" t="s">
        <v>8</v>
      </c>
      <c r="F32" s="11">
        <v>950</v>
      </c>
    </row>
    <row r="33" spans="1:6" x14ac:dyDescent="0.25">
      <c r="A33" s="10" t="s">
        <v>28</v>
      </c>
      <c r="B33" s="11" t="s">
        <v>6</v>
      </c>
      <c r="C33" s="11" t="s">
        <v>7</v>
      </c>
      <c r="D33" s="11" t="s">
        <v>12</v>
      </c>
      <c r="E33" s="12" t="s">
        <v>36</v>
      </c>
      <c r="F33" s="11">
        <v>575</v>
      </c>
    </row>
    <row r="34" spans="1:6" x14ac:dyDescent="0.25">
      <c r="A34" s="10" t="s">
        <v>28</v>
      </c>
      <c r="B34" s="11" t="s">
        <v>6</v>
      </c>
      <c r="C34" s="11" t="s">
        <v>7</v>
      </c>
      <c r="D34" s="11" t="s">
        <v>13</v>
      </c>
      <c r="E34" s="12" t="s">
        <v>14</v>
      </c>
      <c r="F34" s="11" t="s">
        <v>15</v>
      </c>
    </row>
    <row r="35" spans="1:6" x14ac:dyDescent="0.25">
      <c r="A35" s="10" t="s">
        <v>28</v>
      </c>
      <c r="B35" s="11" t="s">
        <v>6</v>
      </c>
      <c r="C35" s="11" t="s">
        <v>16</v>
      </c>
      <c r="D35" s="11" t="s">
        <v>13</v>
      </c>
      <c r="E35" s="12" t="s">
        <v>17</v>
      </c>
      <c r="F35" s="159">
        <v>118.75</v>
      </c>
    </row>
    <row r="36" spans="1:6" x14ac:dyDescent="0.25">
      <c r="A36" s="10" t="s">
        <v>28</v>
      </c>
      <c r="B36" s="11" t="s">
        <v>6</v>
      </c>
      <c r="C36" s="11" t="s">
        <v>7</v>
      </c>
      <c r="D36" s="11" t="s">
        <v>18</v>
      </c>
      <c r="E36" s="12" t="s">
        <v>19</v>
      </c>
      <c r="F36" s="11" t="s">
        <v>15</v>
      </c>
    </row>
    <row r="37" spans="1:6" x14ac:dyDescent="0.25">
      <c r="A37" s="10" t="s">
        <v>28</v>
      </c>
      <c r="B37" s="11" t="s">
        <v>21</v>
      </c>
      <c r="C37" s="11" t="s">
        <v>7</v>
      </c>
      <c r="D37" s="11" t="s">
        <v>687</v>
      </c>
      <c r="E37" s="12" t="s">
        <v>8</v>
      </c>
      <c r="F37" s="11">
        <v>950</v>
      </c>
    </row>
    <row r="38" spans="1:6" x14ac:dyDescent="0.25">
      <c r="A38" s="10" t="s">
        <v>28</v>
      </c>
      <c r="B38" s="11" t="s">
        <v>21</v>
      </c>
      <c r="C38" s="11" t="s">
        <v>7</v>
      </c>
      <c r="D38" s="11" t="s">
        <v>12</v>
      </c>
      <c r="E38" s="12" t="s">
        <v>36</v>
      </c>
      <c r="F38" s="11">
        <v>525</v>
      </c>
    </row>
    <row r="39" spans="1:6" x14ac:dyDescent="0.25">
      <c r="A39" s="10" t="s">
        <v>28</v>
      </c>
      <c r="B39" s="11" t="s">
        <v>21</v>
      </c>
      <c r="C39" s="11" t="s">
        <v>7</v>
      </c>
      <c r="D39" s="11" t="s">
        <v>13</v>
      </c>
      <c r="E39" s="12" t="s">
        <v>14</v>
      </c>
      <c r="F39" s="11" t="s">
        <v>15</v>
      </c>
    </row>
    <row r="40" spans="1:6" x14ac:dyDescent="0.25">
      <c r="A40" s="10" t="s">
        <v>28</v>
      </c>
      <c r="B40" s="11" t="s">
        <v>21</v>
      </c>
      <c r="C40" s="11" t="s">
        <v>16</v>
      </c>
      <c r="D40" s="11" t="s">
        <v>13</v>
      </c>
      <c r="E40" s="12" t="s">
        <v>17</v>
      </c>
      <c r="F40" s="11">
        <v>118.75</v>
      </c>
    </row>
    <row r="41" spans="1:6" x14ac:dyDescent="0.25">
      <c r="A41" s="10" t="s">
        <v>28</v>
      </c>
      <c r="B41" s="11" t="s">
        <v>21</v>
      </c>
      <c r="C41" s="11" t="s">
        <v>7</v>
      </c>
      <c r="D41" s="11" t="s">
        <v>18</v>
      </c>
      <c r="E41" s="12" t="s">
        <v>19</v>
      </c>
      <c r="F41" s="11" t="s">
        <v>15</v>
      </c>
    </row>
    <row r="42" spans="1:6" x14ac:dyDescent="0.25">
      <c r="A42" s="5" t="s">
        <v>29</v>
      </c>
      <c r="B42" s="6" t="s">
        <v>6</v>
      </c>
      <c r="C42" s="6" t="s">
        <v>7</v>
      </c>
      <c r="D42" s="6" t="s">
        <v>687</v>
      </c>
      <c r="E42" s="7" t="s">
        <v>8</v>
      </c>
      <c r="F42" s="6">
        <v>1050</v>
      </c>
    </row>
    <row r="43" spans="1:6" x14ac:dyDescent="0.25">
      <c r="A43" s="5" t="s">
        <v>29</v>
      </c>
      <c r="B43" s="6" t="s">
        <v>6</v>
      </c>
      <c r="C43" s="6" t="s">
        <v>7</v>
      </c>
      <c r="D43" s="6" t="s">
        <v>12</v>
      </c>
      <c r="E43" s="7" t="s">
        <v>36</v>
      </c>
      <c r="F43" s="6">
        <v>630</v>
      </c>
    </row>
    <row r="44" spans="1:6" x14ac:dyDescent="0.25">
      <c r="A44" s="5" t="s">
        <v>29</v>
      </c>
      <c r="B44" s="6" t="s">
        <v>6</v>
      </c>
      <c r="C44" s="6" t="s">
        <v>7</v>
      </c>
      <c r="D44" s="6" t="s">
        <v>13</v>
      </c>
      <c r="E44" s="7" t="s">
        <v>14</v>
      </c>
      <c r="F44" s="6">
        <v>210</v>
      </c>
    </row>
    <row r="45" spans="1:6" x14ac:dyDescent="0.25">
      <c r="A45" s="5" t="s">
        <v>29</v>
      </c>
      <c r="B45" s="6" t="s">
        <v>6</v>
      </c>
      <c r="C45" s="6" t="s">
        <v>16</v>
      </c>
      <c r="D45" s="6" t="s">
        <v>13</v>
      </c>
      <c r="E45" s="7" t="s">
        <v>17</v>
      </c>
      <c r="F45" s="6">
        <v>131.25</v>
      </c>
    </row>
    <row r="46" spans="1:6" x14ac:dyDescent="0.25">
      <c r="A46" s="5" t="s">
        <v>29</v>
      </c>
      <c r="B46" s="6" t="s">
        <v>6</v>
      </c>
      <c r="C46" s="6" t="s">
        <v>7</v>
      </c>
      <c r="D46" s="6" t="s">
        <v>18</v>
      </c>
      <c r="E46" s="7" t="s">
        <v>19</v>
      </c>
      <c r="F46" s="6" t="s">
        <v>15</v>
      </c>
    </row>
    <row r="47" spans="1:6" x14ac:dyDescent="0.25">
      <c r="A47" s="5" t="s">
        <v>29</v>
      </c>
      <c r="B47" s="6" t="s">
        <v>27</v>
      </c>
      <c r="C47" s="6" t="s">
        <v>7</v>
      </c>
      <c r="D47" s="6" t="s">
        <v>687</v>
      </c>
      <c r="E47" s="7" t="s">
        <v>8</v>
      </c>
      <c r="F47" s="6">
        <v>950</v>
      </c>
    </row>
    <row r="48" spans="1:6" x14ac:dyDescent="0.25">
      <c r="A48" s="5" t="s">
        <v>29</v>
      </c>
      <c r="B48" s="6" t="s">
        <v>27</v>
      </c>
      <c r="C48" s="6" t="s">
        <v>7</v>
      </c>
      <c r="D48" s="6" t="s">
        <v>12</v>
      </c>
      <c r="E48" s="7" t="s">
        <v>36</v>
      </c>
      <c r="F48" s="6">
        <v>570</v>
      </c>
    </row>
    <row r="49" spans="1:6" x14ac:dyDescent="0.25">
      <c r="A49" s="5" t="s">
        <v>29</v>
      </c>
      <c r="B49" s="6" t="s">
        <v>27</v>
      </c>
      <c r="C49" s="6" t="s">
        <v>7</v>
      </c>
      <c r="D49" s="6" t="s">
        <v>13</v>
      </c>
      <c r="E49" s="7" t="s">
        <v>14</v>
      </c>
      <c r="F49" s="6">
        <v>190</v>
      </c>
    </row>
    <row r="50" spans="1:6" x14ac:dyDescent="0.25">
      <c r="A50" s="5" t="s">
        <v>29</v>
      </c>
      <c r="B50" s="6" t="s">
        <v>27</v>
      </c>
      <c r="C50" s="6" t="s">
        <v>16</v>
      </c>
      <c r="D50" s="6" t="s">
        <v>13</v>
      </c>
      <c r="E50" s="7" t="s">
        <v>17</v>
      </c>
      <c r="F50" s="6">
        <v>118.75</v>
      </c>
    </row>
    <row r="51" spans="1:6" x14ac:dyDescent="0.25">
      <c r="A51" s="5" t="s">
        <v>29</v>
      </c>
      <c r="B51" s="6" t="s">
        <v>27</v>
      </c>
      <c r="C51" s="6" t="s">
        <v>7</v>
      </c>
      <c r="D51" s="6" t="s">
        <v>18</v>
      </c>
      <c r="E51" s="7" t="s">
        <v>19</v>
      </c>
      <c r="F51" s="6" t="s">
        <v>15</v>
      </c>
    </row>
    <row r="52" spans="1:6" x14ac:dyDescent="0.25">
      <c r="A52" s="10" t="s">
        <v>30</v>
      </c>
      <c r="B52" s="11" t="s">
        <v>6</v>
      </c>
      <c r="C52" s="11" t="s">
        <v>7</v>
      </c>
      <c r="D52" s="11" t="s">
        <v>687</v>
      </c>
      <c r="E52" s="12" t="s">
        <v>8</v>
      </c>
      <c r="F52" s="11">
        <v>900</v>
      </c>
    </row>
    <row r="53" spans="1:6" x14ac:dyDescent="0.25">
      <c r="A53" s="10" t="s">
        <v>30</v>
      </c>
      <c r="B53" s="11" t="s">
        <v>6</v>
      </c>
      <c r="C53" s="11" t="s">
        <v>7</v>
      </c>
      <c r="D53" s="11" t="s">
        <v>12</v>
      </c>
      <c r="E53" s="12" t="s">
        <v>36</v>
      </c>
      <c r="F53" s="11">
        <v>450</v>
      </c>
    </row>
    <row r="54" spans="1:6" x14ac:dyDescent="0.25">
      <c r="A54" s="10" t="s">
        <v>30</v>
      </c>
      <c r="B54" s="11" t="s">
        <v>6</v>
      </c>
      <c r="C54" s="11" t="s">
        <v>7</v>
      </c>
      <c r="D54" s="11" t="s">
        <v>13</v>
      </c>
      <c r="E54" s="12" t="s">
        <v>14</v>
      </c>
      <c r="F54" s="11">
        <v>112.5</v>
      </c>
    </row>
    <row r="55" spans="1:6" x14ac:dyDescent="0.25">
      <c r="A55" s="10" t="s">
        <v>30</v>
      </c>
      <c r="B55" s="11" t="s">
        <v>6</v>
      </c>
      <c r="C55" s="11" t="s">
        <v>16</v>
      </c>
      <c r="D55" s="11" t="s">
        <v>13</v>
      </c>
      <c r="E55" s="12" t="s">
        <v>17</v>
      </c>
      <c r="F55" s="11">
        <v>112.5</v>
      </c>
    </row>
    <row r="56" spans="1:6" x14ac:dyDescent="0.25">
      <c r="A56" s="10" t="s">
        <v>30</v>
      </c>
      <c r="B56" s="11" t="s">
        <v>6</v>
      </c>
      <c r="C56" s="11" t="s">
        <v>7</v>
      </c>
      <c r="D56" s="11" t="s">
        <v>18</v>
      </c>
      <c r="E56" s="12" t="s">
        <v>19</v>
      </c>
      <c r="F56" s="11" t="s">
        <v>15</v>
      </c>
    </row>
    <row r="57" spans="1:6" x14ac:dyDescent="0.25">
      <c r="A57" s="10" t="s">
        <v>30</v>
      </c>
      <c r="B57" s="11" t="s">
        <v>21</v>
      </c>
      <c r="C57" s="11" t="s">
        <v>7</v>
      </c>
      <c r="D57" s="11" t="s">
        <v>687</v>
      </c>
      <c r="E57" s="12" t="s">
        <v>8</v>
      </c>
      <c r="F57" s="11">
        <v>900</v>
      </c>
    </row>
    <row r="58" spans="1:6" x14ac:dyDescent="0.25">
      <c r="A58" s="10" t="s">
        <v>30</v>
      </c>
      <c r="B58" s="11" t="s">
        <v>21</v>
      </c>
      <c r="C58" s="11" t="s">
        <v>7</v>
      </c>
      <c r="D58" s="11" t="s">
        <v>12</v>
      </c>
      <c r="E58" s="12" t="s">
        <v>36</v>
      </c>
      <c r="F58" s="11">
        <v>450</v>
      </c>
    </row>
    <row r="59" spans="1:6" x14ac:dyDescent="0.25">
      <c r="A59" s="10" t="s">
        <v>30</v>
      </c>
      <c r="B59" s="11" t="s">
        <v>21</v>
      </c>
      <c r="C59" s="11" t="s">
        <v>7</v>
      </c>
      <c r="D59" s="11" t="s">
        <v>13</v>
      </c>
      <c r="E59" s="12" t="s">
        <v>14</v>
      </c>
      <c r="F59" s="11">
        <v>112.5</v>
      </c>
    </row>
    <row r="60" spans="1:6" x14ac:dyDescent="0.25">
      <c r="A60" s="10" t="s">
        <v>30</v>
      </c>
      <c r="B60" s="11" t="s">
        <v>21</v>
      </c>
      <c r="C60" s="11" t="s">
        <v>16</v>
      </c>
      <c r="D60" s="11" t="s">
        <v>13</v>
      </c>
      <c r="E60" s="12" t="s">
        <v>17</v>
      </c>
      <c r="F60" s="11">
        <v>112.5</v>
      </c>
    </row>
    <row r="61" spans="1:6" x14ac:dyDescent="0.25">
      <c r="A61" s="10" t="s">
        <v>30</v>
      </c>
      <c r="B61" s="11" t="s">
        <v>21</v>
      </c>
      <c r="C61" s="11" t="s">
        <v>7</v>
      </c>
      <c r="D61" s="11" t="s">
        <v>18</v>
      </c>
      <c r="E61" s="12" t="s">
        <v>19</v>
      </c>
      <c r="F61" s="11" t="s">
        <v>15</v>
      </c>
    </row>
    <row r="62" spans="1:6" x14ac:dyDescent="0.25">
      <c r="A62" s="5" t="s">
        <v>31</v>
      </c>
      <c r="B62" s="6" t="s">
        <v>6</v>
      </c>
      <c r="C62" s="6" t="s">
        <v>7</v>
      </c>
      <c r="D62" s="6" t="s">
        <v>687</v>
      </c>
      <c r="E62" s="7" t="s">
        <v>8</v>
      </c>
      <c r="F62" s="6">
        <v>1150</v>
      </c>
    </row>
    <row r="63" spans="1:6" x14ac:dyDescent="0.25">
      <c r="A63" s="5" t="s">
        <v>31</v>
      </c>
      <c r="B63" s="6" t="s">
        <v>6</v>
      </c>
      <c r="C63" s="6" t="s">
        <v>7</v>
      </c>
      <c r="D63" s="6" t="s">
        <v>12</v>
      </c>
      <c r="E63" s="7" t="s">
        <v>36</v>
      </c>
      <c r="F63" s="6">
        <v>650</v>
      </c>
    </row>
    <row r="64" spans="1:6" x14ac:dyDescent="0.25">
      <c r="A64" s="5" t="s">
        <v>31</v>
      </c>
      <c r="B64" s="6" t="s">
        <v>6</v>
      </c>
      <c r="C64" s="6" t="s">
        <v>7</v>
      </c>
      <c r="D64" s="6" t="s">
        <v>13</v>
      </c>
      <c r="E64" s="7" t="s">
        <v>14</v>
      </c>
      <c r="F64" s="6">
        <v>175</v>
      </c>
    </row>
    <row r="65" spans="1:6" x14ac:dyDescent="0.25">
      <c r="A65" s="5" t="s">
        <v>31</v>
      </c>
      <c r="B65" s="6" t="s">
        <v>6</v>
      </c>
      <c r="C65" s="6" t="s">
        <v>16</v>
      </c>
      <c r="D65" s="6" t="s">
        <v>13</v>
      </c>
      <c r="E65" s="7" t="s">
        <v>17</v>
      </c>
      <c r="F65" s="6">
        <v>125</v>
      </c>
    </row>
    <row r="66" spans="1:6" x14ac:dyDescent="0.25">
      <c r="A66" s="5" t="s">
        <v>31</v>
      </c>
      <c r="B66" s="6" t="s">
        <v>6</v>
      </c>
      <c r="C66" s="6" t="s">
        <v>7</v>
      </c>
      <c r="D66" s="6" t="s">
        <v>18</v>
      </c>
      <c r="E66" s="7" t="s">
        <v>19</v>
      </c>
      <c r="F66" s="6" t="s">
        <v>15</v>
      </c>
    </row>
    <row r="67" spans="1:6" x14ac:dyDescent="0.25">
      <c r="A67" s="5" t="s">
        <v>31</v>
      </c>
      <c r="B67" s="6" t="s">
        <v>21</v>
      </c>
      <c r="C67" s="6" t="s">
        <v>7</v>
      </c>
      <c r="D67" s="6" t="s">
        <v>687</v>
      </c>
      <c r="E67" s="7" t="s">
        <v>8</v>
      </c>
      <c r="F67" s="6">
        <v>1150</v>
      </c>
    </row>
    <row r="68" spans="1:6" x14ac:dyDescent="0.25">
      <c r="A68" s="5" t="s">
        <v>31</v>
      </c>
      <c r="B68" s="6" t="s">
        <v>21</v>
      </c>
      <c r="C68" s="6" t="s">
        <v>7</v>
      </c>
      <c r="D68" s="6" t="s">
        <v>12</v>
      </c>
      <c r="E68" s="7" t="s">
        <v>36</v>
      </c>
      <c r="F68" s="6">
        <v>650</v>
      </c>
    </row>
    <row r="69" spans="1:6" x14ac:dyDescent="0.25">
      <c r="A69" s="5" t="s">
        <v>31</v>
      </c>
      <c r="B69" s="6" t="s">
        <v>21</v>
      </c>
      <c r="C69" s="6" t="s">
        <v>7</v>
      </c>
      <c r="D69" s="6" t="s">
        <v>13</v>
      </c>
      <c r="E69" s="7" t="s">
        <v>14</v>
      </c>
      <c r="F69" s="6">
        <v>175</v>
      </c>
    </row>
    <row r="70" spans="1:6" x14ac:dyDescent="0.25">
      <c r="A70" s="5" t="s">
        <v>31</v>
      </c>
      <c r="B70" s="6" t="s">
        <v>21</v>
      </c>
      <c r="C70" s="6" t="s">
        <v>16</v>
      </c>
      <c r="D70" s="6" t="s">
        <v>13</v>
      </c>
      <c r="E70" s="7" t="s">
        <v>17</v>
      </c>
      <c r="F70" s="6">
        <v>125</v>
      </c>
    </row>
    <row r="71" spans="1:6" x14ac:dyDescent="0.25">
      <c r="A71" s="5" t="s">
        <v>31</v>
      </c>
      <c r="B71" s="6" t="s">
        <v>21</v>
      </c>
      <c r="C71" s="6" t="s">
        <v>7</v>
      </c>
      <c r="D71" s="6" t="s">
        <v>18</v>
      </c>
      <c r="E71" s="7" t="s">
        <v>19</v>
      </c>
      <c r="F71" s="6" t="s">
        <v>15</v>
      </c>
    </row>
    <row r="72" spans="1:6" x14ac:dyDescent="0.25">
      <c r="A72" s="5" t="s">
        <v>31</v>
      </c>
      <c r="B72" s="6" t="s">
        <v>27</v>
      </c>
      <c r="C72" s="6" t="s">
        <v>7</v>
      </c>
      <c r="D72" s="6" t="s">
        <v>687</v>
      </c>
      <c r="E72" s="7" t="s">
        <v>8</v>
      </c>
      <c r="F72" s="6">
        <v>1150</v>
      </c>
    </row>
    <row r="73" spans="1:6" x14ac:dyDescent="0.25">
      <c r="A73" s="5" t="s">
        <v>31</v>
      </c>
      <c r="B73" s="6" t="s">
        <v>27</v>
      </c>
      <c r="C73" s="6" t="s">
        <v>7</v>
      </c>
      <c r="D73" s="6" t="s">
        <v>12</v>
      </c>
      <c r="E73" s="7" t="s">
        <v>36</v>
      </c>
      <c r="F73" s="6">
        <v>650</v>
      </c>
    </row>
    <row r="74" spans="1:6" x14ac:dyDescent="0.25">
      <c r="A74" s="5" t="s">
        <v>31</v>
      </c>
      <c r="B74" s="6" t="s">
        <v>27</v>
      </c>
      <c r="C74" s="6" t="s">
        <v>7</v>
      </c>
      <c r="D74" s="6" t="s">
        <v>13</v>
      </c>
      <c r="E74" s="7" t="s">
        <v>14</v>
      </c>
      <c r="F74" s="6">
        <v>175</v>
      </c>
    </row>
    <row r="75" spans="1:6" x14ac:dyDescent="0.25">
      <c r="A75" s="5" t="s">
        <v>31</v>
      </c>
      <c r="B75" s="6" t="s">
        <v>27</v>
      </c>
      <c r="C75" s="6" t="s">
        <v>16</v>
      </c>
      <c r="D75" s="6" t="s">
        <v>13</v>
      </c>
      <c r="E75" s="7" t="s">
        <v>17</v>
      </c>
      <c r="F75" s="6">
        <v>125</v>
      </c>
    </row>
    <row r="76" spans="1:6" x14ac:dyDescent="0.25">
      <c r="A76" s="5" t="s">
        <v>31</v>
      </c>
      <c r="B76" s="6" t="s">
        <v>27</v>
      </c>
      <c r="C76" s="6" t="s">
        <v>7</v>
      </c>
      <c r="D76" s="6" t="s">
        <v>18</v>
      </c>
      <c r="E76" s="7" t="s">
        <v>19</v>
      </c>
      <c r="F76" s="6" t="s">
        <v>15</v>
      </c>
    </row>
    <row r="77" spans="1:6" x14ac:dyDescent="0.25">
      <c r="A77" s="10" t="s">
        <v>473</v>
      </c>
      <c r="B77" s="11" t="s">
        <v>6</v>
      </c>
      <c r="C77" s="11" t="s">
        <v>7</v>
      </c>
      <c r="D77" s="11" t="s">
        <v>687</v>
      </c>
      <c r="E77" s="12" t="s">
        <v>8</v>
      </c>
      <c r="F77" s="11">
        <v>1150</v>
      </c>
    </row>
    <row r="78" spans="1:6" x14ac:dyDescent="0.25">
      <c r="A78" s="10" t="s">
        <v>473</v>
      </c>
      <c r="B78" s="11" t="s">
        <v>6</v>
      </c>
      <c r="C78" s="11" t="s">
        <v>7</v>
      </c>
      <c r="D78" s="11" t="s">
        <v>12</v>
      </c>
      <c r="E78" s="12" t="s">
        <v>36</v>
      </c>
      <c r="F78" s="11">
        <v>650</v>
      </c>
    </row>
    <row r="79" spans="1:6" x14ac:dyDescent="0.25">
      <c r="A79" s="10" t="s">
        <v>473</v>
      </c>
      <c r="B79" s="11" t="s">
        <v>6</v>
      </c>
      <c r="C79" s="11" t="s">
        <v>7</v>
      </c>
      <c r="D79" s="11" t="s">
        <v>13</v>
      </c>
      <c r="E79" s="12" t="s">
        <v>14</v>
      </c>
      <c r="F79" s="11">
        <v>175</v>
      </c>
    </row>
    <row r="80" spans="1:6" x14ac:dyDescent="0.25">
      <c r="A80" s="10" t="s">
        <v>473</v>
      </c>
      <c r="B80" s="11" t="s">
        <v>6</v>
      </c>
      <c r="C80" s="11" t="s">
        <v>16</v>
      </c>
      <c r="D80" s="11" t="s">
        <v>13</v>
      </c>
      <c r="E80" s="12" t="s">
        <v>17</v>
      </c>
      <c r="F80" s="11">
        <v>125</v>
      </c>
    </row>
    <row r="81" spans="1:6" x14ac:dyDescent="0.25">
      <c r="A81" s="10" t="s">
        <v>473</v>
      </c>
      <c r="B81" s="11" t="s">
        <v>6</v>
      </c>
      <c r="C81" s="11" t="s">
        <v>7</v>
      </c>
      <c r="D81" s="11" t="s">
        <v>18</v>
      </c>
      <c r="E81" s="12" t="s">
        <v>19</v>
      </c>
      <c r="F81" s="11">
        <v>650</v>
      </c>
    </row>
    <row r="82" spans="1:6" x14ac:dyDescent="0.25">
      <c r="A82" s="10" t="s">
        <v>473</v>
      </c>
      <c r="B82" s="11" t="s">
        <v>21</v>
      </c>
      <c r="C82" s="11" t="s">
        <v>7</v>
      </c>
      <c r="D82" s="11" t="s">
        <v>687</v>
      </c>
      <c r="E82" s="12" t="s">
        <v>8</v>
      </c>
      <c r="F82" s="11">
        <v>1150</v>
      </c>
    </row>
    <row r="83" spans="1:6" x14ac:dyDescent="0.25">
      <c r="A83" s="10" t="s">
        <v>473</v>
      </c>
      <c r="B83" s="11" t="s">
        <v>21</v>
      </c>
      <c r="C83" s="11" t="s">
        <v>7</v>
      </c>
      <c r="D83" s="11" t="s">
        <v>12</v>
      </c>
      <c r="E83" s="12" t="s">
        <v>36</v>
      </c>
      <c r="F83" s="11">
        <v>650</v>
      </c>
    </row>
    <row r="84" spans="1:6" x14ac:dyDescent="0.25">
      <c r="A84" s="10" t="s">
        <v>473</v>
      </c>
      <c r="B84" s="11" t="s">
        <v>21</v>
      </c>
      <c r="C84" s="11" t="s">
        <v>7</v>
      </c>
      <c r="D84" s="11" t="s">
        <v>13</v>
      </c>
      <c r="E84" s="12" t="s">
        <v>14</v>
      </c>
      <c r="F84" s="11">
        <v>175</v>
      </c>
    </row>
    <row r="85" spans="1:6" x14ac:dyDescent="0.25">
      <c r="A85" s="10" t="s">
        <v>473</v>
      </c>
      <c r="B85" s="11" t="s">
        <v>21</v>
      </c>
      <c r="C85" s="11" t="s">
        <v>16</v>
      </c>
      <c r="D85" s="11" t="s">
        <v>13</v>
      </c>
      <c r="E85" s="12" t="s">
        <v>17</v>
      </c>
      <c r="F85" s="11">
        <v>125</v>
      </c>
    </row>
    <row r="86" spans="1:6" x14ac:dyDescent="0.25">
      <c r="A86" s="10" t="s">
        <v>473</v>
      </c>
      <c r="B86" s="11" t="s">
        <v>21</v>
      </c>
      <c r="C86" s="11" t="s">
        <v>7</v>
      </c>
      <c r="D86" s="11" t="s">
        <v>18</v>
      </c>
      <c r="E86" s="12" t="s">
        <v>19</v>
      </c>
      <c r="F86" s="11">
        <v>650</v>
      </c>
    </row>
    <row r="87" spans="1:6" x14ac:dyDescent="0.25">
      <c r="A87" s="10" t="s">
        <v>473</v>
      </c>
      <c r="B87" s="11" t="s">
        <v>27</v>
      </c>
      <c r="C87" s="11" t="s">
        <v>7</v>
      </c>
      <c r="D87" s="11" t="s">
        <v>687</v>
      </c>
      <c r="E87" s="12" t="s">
        <v>8</v>
      </c>
      <c r="F87" s="11">
        <v>1150</v>
      </c>
    </row>
    <row r="88" spans="1:6" x14ac:dyDescent="0.25">
      <c r="A88" s="10" t="s">
        <v>473</v>
      </c>
      <c r="B88" s="11" t="s">
        <v>27</v>
      </c>
      <c r="C88" s="11" t="s">
        <v>7</v>
      </c>
      <c r="D88" s="11" t="s">
        <v>12</v>
      </c>
      <c r="E88" s="12" t="s">
        <v>36</v>
      </c>
      <c r="F88" s="11">
        <v>650</v>
      </c>
    </row>
    <row r="89" spans="1:6" x14ac:dyDescent="0.25">
      <c r="A89" s="10" t="s">
        <v>473</v>
      </c>
      <c r="B89" s="11" t="s">
        <v>27</v>
      </c>
      <c r="C89" s="11" t="s">
        <v>7</v>
      </c>
      <c r="D89" s="11" t="s">
        <v>13</v>
      </c>
      <c r="E89" s="12" t="s">
        <v>14</v>
      </c>
      <c r="F89" s="11">
        <v>175</v>
      </c>
    </row>
    <row r="90" spans="1:6" x14ac:dyDescent="0.25">
      <c r="A90" s="10" t="s">
        <v>473</v>
      </c>
      <c r="B90" s="11" t="s">
        <v>27</v>
      </c>
      <c r="C90" s="11" t="s">
        <v>16</v>
      </c>
      <c r="D90" s="11" t="s">
        <v>13</v>
      </c>
      <c r="E90" s="12" t="s">
        <v>17</v>
      </c>
      <c r="F90" s="11">
        <v>125</v>
      </c>
    </row>
    <row r="91" spans="1:6" x14ac:dyDescent="0.25">
      <c r="A91" s="10" t="s">
        <v>473</v>
      </c>
      <c r="B91" s="11" t="s">
        <v>27</v>
      </c>
      <c r="C91" s="11" t="s">
        <v>7</v>
      </c>
      <c r="D91" s="11" t="s">
        <v>18</v>
      </c>
      <c r="E91" s="12" t="s">
        <v>19</v>
      </c>
      <c r="F91" s="11">
        <v>650</v>
      </c>
    </row>
    <row r="92" spans="1:6" x14ac:dyDescent="0.25">
      <c r="A92" s="5" t="s">
        <v>474</v>
      </c>
      <c r="B92" s="6" t="s">
        <v>6</v>
      </c>
      <c r="C92" s="6" t="s">
        <v>7</v>
      </c>
      <c r="D92" s="6" t="s">
        <v>687</v>
      </c>
      <c r="E92" s="7" t="s">
        <v>8</v>
      </c>
      <c r="F92" s="6">
        <v>1150</v>
      </c>
    </row>
    <row r="93" spans="1:6" x14ac:dyDescent="0.25">
      <c r="A93" s="5" t="s">
        <v>474</v>
      </c>
      <c r="B93" s="6" t="s">
        <v>6</v>
      </c>
      <c r="C93" s="6" t="s">
        <v>7</v>
      </c>
      <c r="D93" s="6" t="s">
        <v>12</v>
      </c>
      <c r="E93" s="7" t="s">
        <v>36</v>
      </c>
      <c r="F93" s="6">
        <v>650</v>
      </c>
    </row>
    <row r="94" spans="1:6" x14ac:dyDescent="0.25">
      <c r="A94" s="5" t="s">
        <v>474</v>
      </c>
      <c r="B94" s="6" t="s">
        <v>6</v>
      </c>
      <c r="C94" s="6" t="s">
        <v>7</v>
      </c>
      <c r="D94" s="6" t="s">
        <v>13</v>
      </c>
      <c r="E94" s="7" t="s">
        <v>14</v>
      </c>
      <c r="F94" s="6">
        <v>175</v>
      </c>
    </row>
    <row r="95" spans="1:6" x14ac:dyDescent="0.25">
      <c r="A95" s="5" t="s">
        <v>474</v>
      </c>
      <c r="B95" s="6" t="s">
        <v>6</v>
      </c>
      <c r="C95" s="6" t="s">
        <v>16</v>
      </c>
      <c r="D95" s="6" t="s">
        <v>13</v>
      </c>
      <c r="E95" s="7" t="s">
        <v>17</v>
      </c>
      <c r="F95" s="6">
        <v>125</v>
      </c>
    </row>
    <row r="96" spans="1:6" x14ac:dyDescent="0.25">
      <c r="A96" s="5" t="s">
        <v>474</v>
      </c>
      <c r="B96" s="6" t="s">
        <v>6</v>
      </c>
      <c r="C96" s="6" t="s">
        <v>7</v>
      </c>
      <c r="D96" s="6" t="s">
        <v>18</v>
      </c>
      <c r="E96" s="7" t="s">
        <v>19</v>
      </c>
      <c r="F96" s="6">
        <v>650</v>
      </c>
    </row>
    <row r="97" spans="1:6" x14ac:dyDescent="0.25">
      <c r="A97" s="5" t="s">
        <v>474</v>
      </c>
      <c r="B97" s="6" t="s">
        <v>21</v>
      </c>
      <c r="C97" s="6" t="s">
        <v>7</v>
      </c>
      <c r="D97" s="6" t="s">
        <v>687</v>
      </c>
      <c r="E97" s="7" t="s">
        <v>8</v>
      </c>
      <c r="F97" s="6">
        <v>1150</v>
      </c>
    </row>
    <row r="98" spans="1:6" x14ac:dyDescent="0.25">
      <c r="A98" s="5" t="s">
        <v>474</v>
      </c>
      <c r="B98" s="6" t="s">
        <v>21</v>
      </c>
      <c r="C98" s="6" t="s">
        <v>7</v>
      </c>
      <c r="D98" s="6" t="s">
        <v>12</v>
      </c>
      <c r="E98" s="7" t="s">
        <v>36</v>
      </c>
      <c r="F98" s="6">
        <v>650</v>
      </c>
    </row>
    <row r="99" spans="1:6" x14ac:dyDescent="0.25">
      <c r="A99" s="5" t="s">
        <v>474</v>
      </c>
      <c r="B99" s="6" t="s">
        <v>21</v>
      </c>
      <c r="C99" s="6" t="s">
        <v>7</v>
      </c>
      <c r="D99" s="6" t="s">
        <v>13</v>
      </c>
      <c r="E99" s="7" t="s">
        <v>14</v>
      </c>
      <c r="F99" s="6">
        <v>175</v>
      </c>
    </row>
    <row r="100" spans="1:6" x14ac:dyDescent="0.25">
      <c r="A100" s="5" t="s">
        <v>474</v>
      </c>
      <c r="B100" s="6" t="s">
        <v>21</v>
      </c>
      <c r="C100" s="6" t="s">
        <v>16</v>
      </c>
      <c r="D100" s="6" t="s">
        <v>13</v>
      </c>
      <c r="E100" s="7" t="s">
        <v>17</v>
      </c>
      <c r="F100" s="6">
        <v>125</v>
      </c>
    </row>
    <row r="101" spans="1:6" x14ac:dyDescent="0.25">
      <c r="A101" s="5" t="s">
        <v>474</v>
      </c>
      <c r="B101" s="6" t="s">
        <v>21</v>
      </c>
      <c r="C101" s="6" t="s">
        <v>7</v>
      </c>
      <c r="D101" s="6" t="s">
        <v>18</v>
      </c>
      <c r="E101" s="7" t="s">
        <v>19</v>
      </c>
      <c r="F101" s="6">
        <v>650</v>
      </c>
    </row>
    <row r="102" spans="1:6" x14ac:dyDescent="0.25">
      <c r="A102" s="5" t="s">
        <v>474</v>
      </c>
      <c r="B102" s="6" t="s">
        <v>27</v>
      </c>
      <c r="C102" s="6" t="s">
        <v>7</v>
      </c>
      <c r="D102" s="6" t="s">
        <v>687</v>
      </c>
      <c r="E102" s="7" t="s">
        <v>8</v>
      </c>
      <c r="F102" s="6">
        <v>1150</v>
      </c>
    </row>
    <row r="103" spans="1:6" x14ac:dyDescent="0.25">
      <c r="A103" s="5" t="s">
        <v>474</v>
      </c>
      <c r="B103" s="6" t="s">
        <v>27</v>
      </c>
      <c r="C103" s="6" t="s">
        <v>7</v>
      </c>
      <c r="D103" s="6" t="s">
        <v>12</v>
      </c>
      <c r="E103" s="7" t="s">
        <v>36</v>
      </c>
      <c r="F103" s="6">
        <v>650</v>
      </c>
    </row>
    <row r="104" spans="1:6" x14ac:dyDescent="0.25">
      <c r="A104" s="5" t="s">
        <v>474</v>
      </c>
      <c r="B104" s="6" t="s">
        <v>27</v>
      </c>
      <c r="C104" s="6" t="s">
        <v>7</v>
      </c>
      <c r="D104" s="6" t="s">
        <v>13</v>
      </c>
      <c r="E104" s="7" t="s">
        <v>14</v>
      </c>
      <c r="F104" s="6">
        <v>175</v>
      </c>
    </row>
    <row r="105" spans="1:6" x14ac:dyDescent="0.25">
      <c r="A105" s="5" t="s">
        <v>474</v>
      </c>
      <c r="B105" s="6" t="s">
        <v>27</v>
      </c>
      <c r="C105" s="6" t="s">
        <v>16</v>
      </c>
      <c r="D105" s="6" t="s">
        <v>13</v>
      </c>
      <c r="E105" s="7" t="s">
        <v>17</v>
      </c>
      <c r="F105" s="6">
        <v>125</v>
      </c>
    </row>
    <row r="106" spans="1:6" x14ac:dyDescent="0.25">
      <c r="A106" s="5" t="s">
        <v>474</v>
      </c>
      <c r="B106" s="6" t="s">
        <v>27</v>
      </c>
      <c r="C106" s="6" t="s">
        <v>7</v>
      </c>
      <c r="D106" s="6" t="s">
        <v>18</v>
      </c>
      <c r="E106" s="7" t="s">
        <v>19</v>
      </c>
      <c r="F106" s="6">
        <v>650</v>
      </c>
    </row>
    <row r="107" spans="1:6" x14ac:dyDescent="0.25">
      <c r="A107" s="10" t="s">
        <v>470</v>
      </c>
      <c r="B107" s="11" t="s">
        <v>6</v>
      </c>
      <c r="C107" s="11" t="s">
        <v>7</v>
      </c>
      <c r="D107" s="11" t="s">
        <v>687</v>
      </c>
      <c r="E107" s="12" t="s">
        <v>8</v>
      </c>
      <c r="F107" s="11">
        <v>1150</v>
      </c>
    </row>
    <row r="108" spans="1:6" x14ac:dyDescent="0.25">
      <c r="A108" s="10" t="s">
        <v>470</v>
      </c>
      <c r="B108" s="11" t="s">
        <v>6</v>
      </c>
      <c r="C108" s="11" t="s">
        <v>7</v>
      </c>
      <c r="D108" s="11" t="s">
        <v>12</v>
      </c>
      <c r="E108" s="12" t="s">
        <v>36</v>
      </c>
      <c r="F108" s="11">
        <v>650</v>
      </c>
    </row>
    <row r="109" spans="1:6" x14ac:dyDescent="0.25">
      <c r="A109" s="10" t="s">
        <v>470</v>
      </c>
      <c r="B109" s="11" t="s">
        <v>6</v>
      </c>
      <c r="C109" s="11" t="s">
        <v>7</v>
      </c>
      <c r="D109" s="11" t="s">
        <v>13</v>
      </c>
      <c r="E109" s="12" t="s">
        <v>14</v>
      </c>
      <c r="F109" s="11">
        <v>175</v>
      </c>
    </row>
    <row r="110" spans="1:6" x14ac:dyDescent="0.25">
      <c r="A110" s="10" t="s">
        <v>470</v>
      </c>
      <c r="B110" s="11" t="s">
        <v>6</v>
      </c>
      <c r="C110" s="11" t="s">
        <v>16</v>
      </c>
      <c r="D110" s="11" t="s">
        <v>13</v>
      </c>
      <c r="E110" s="12" t="s">
        <v>17</v>
      </c>
      <c r="F110" s="11">
        <v>125</v>
      </c>
    </row>
    <row r="111" spans="1:6" x14ac:dyDescent="0.25">
      <c r="A111" s="10" t="s">
        <v>470</v>
      </c>
      <c r="B111" s="11" t="s">
        <v>6</v>
      </c>
      <c r="C111" s="11" t="s">
        <v>7</v>
      </c>
      <c r="D111" s="11" t="s">
        <v>18</v>
      </c>
      <c r="E111" s="12" t="s">
        <v>19</v>
      </c>
      <c r="F111" s="11">
        <v>650</v>
      </c>
    </row>
    <row r="112" spans="1:6" x14ac:dyDescent="0.25">
      <c r="A112" s="10" t="s">
        <v>470</v>
      </c>
      <c r="B112" s="11" t="s">
        <v>21</v>
      </c>
      <c r="C112" s="11" t="s">
        <v>7</v>
      </c>
      <c r="D112" s="11" t="s">
        <v>687</v>
      </c>
      <c r="E112" s="12" t="s">
        <v>8</v>
      </c>
      <c r="F112" s="11">
        <v>1150</v>
      </c>
    </row>
    <row r="113" spans="1:6" x14ac:dyDescent="0.25">
      <c r="A113" s="10" t="s">
        <v>470</v>
      </c>
      <c r="B113" s="11" t="s">
        <v>21</v>
      </c>
      <c r="C113" s="11" t="s">
        <v>7</v>
      </c>
      <c r="D113" s="11" t="s">
        <v>12</v>
      </c>
      <c r="E113" s="12" t="s">
        <v>36</v>
      </c>
      <c r="F113" s="11">
        <v>650</v>
      </c>
    </row>
    <row r="114" spans="1:6" x14ac:dyDescent="0.25">
      <c r="A114" s="10" t="s">
        <v>470</v>
      </c>
      <c r="B114" s="11" t="s">
        <v>21</v>
      </c>
      <c r="C114" s="11" t="s">
        <v>7</v>
      </c>
      <c r="D114" s="11" t="s">
        <v>13</v>
      </c>
      <c r="E114" s="12" t="s">
        <v>14</v>
      </c>
      <c r="F114" s="11">
        <v>175</v>
      </c>
    </row>
    <row r="115" spans="1:6" x14ac:dyDescent="0.25">
      <c r="A115" s="10" t="s">
        <v>470</v>
      </c>
      <c r="B115" s="11" t="s">
        <v>21</v>
      </c>
      <c r="C115" s="11" t="s">
        <v>16</v>
      </c>
      <c r="D115" s="11" t="s">
        <v>13</v>
      </c>
      <c r="E115" s="12" t="s">
        <v>17</v>
      </c>
      <c r="F115" s="11">
        <v>125</v>
      </c>
    </row>
    <row r="116" spans="1:6" x14ac:dyDescent="0.25">
      <c r="A116" s="10" t="s">
        <v>470</v>
      </c>
      <c r="B116" s="11" t="s">
        <v>21</v>
      </c>
      <c r="C116" s="11" t="s">
        <v>7</v>
      </c>
      <c r="D116" s="11" t="s">
        <v>18</v>
      </c>
      <c r="E116" s="12" t="s">
        <v>19</v>
      </c>
      <c r="F116" s="11">
        <v>650</v>
      </c>
    </row>
    <row r="117" spans="1:6" x14ac:dyDescent="0.25">
      <c r="A117" s="10" t="s">
        <v>470</v>
      </c>
      <c r="B117" s="11" t="s">
        <v>27</v>
      </c>
      <c r="C117" s="11" t="s">
        <v>7</v>
      </c>
      <c r="D117" s="11" t="s">
        <v>687</v>
      </c>
      <c r="E117" s="12" t="s">
        <v>8</v>
      </c>
      <c r="F117" s="11">
        <v>1150</v>
      </c>
    </row>
    <row r="118" spans="1:6" x14ac:dyDescent="0.25">
      <c r="A118" s="10" t="s">
        <v>470</v>
      </c>
      <c r="B118" s="11" t="s">
        <v>27</v>
      </c>
      <c r="C118" s="11" t="s">
        <v>7</v>
      </c>
      <c r="D118" s="11" t="s">
        <v>12</v>
      </c>
      <c r="E118" s="12" t="s">
        <v>36</v>
      </c>
      <c r="F118" s="11">
        <v>650</v>
      </c>
    </row>
    <row r="119" spans="1:6" x14ac:dyDescent="0.25">
      <c r="A119" s="10" t="s">
        <v>470</v>
      </c>
      <c r="B119" s="11" t="s">
        <v>27</v>
      </c>
      <c r="C119" s="11" t="s">
        <v>7</v>
      </c>
      <c r="D119" s="11" t="s">
        <v>13</v>
      </c>
      <c r="E119" s="12" t="s">
        <v>14</v>
      </c>
      <c r="F119" s="11">
        <v>175</v>
      </c>
    </row>
    <row r="120" spans="1:6" x14ac:dyDescent="0.25">
      <c r="A120" s="10" t="s">
        <v>470</v>
      </c>
      <c r="B120" s="11" t="s">
        <v>27</v>
      </c>
      <c r="C120" s="11" t="s">
        <v>16</v>
      </c>
      <c r="D120" s="11" t="s">
        <v>13</v>
      </c>
      <c r="E120" s="12" t="s">
        <v>17</v>
      </c>
      <c r="F120" s="11">
        <v>125</v>
      </c>
    </row>
    <row r="121" spans="1:6" x14ac:dyDescent="0.25">
      <c r="A121" s="10" t="s">
        <v>470</v>
      </c>
      <c r="B121" s="11" t="s">
        <v>27</v>
      </c>
      <c r="C121" s="11" t="s">
        <v>7</v>
      </c>
      <c r="D121" s="11" t="s">
        <v>18</v>
      </c>
      <c r="E121" s="12" t="s">
        <v>19</v>
      </c>
      <c r="F121" s="11">
        <v>650</v>
      </c>
    </row>
    <row r="122" spans="1:6" x14ac:dyDescent="0.25">
      <c r="A122" s="10" t="s">
        <v>470</v>
      </c>
      <c r="B122" s="11" t="s">
        <v>135</v>
      </c>
      <c r="C122" s="11" t="s">
        <v>7</v>
      </c>
      <c r="D122" s="11" t="s">
        <v>687</v>
      </c>
      <c r="E122" s="12" t="s">
        <v>8</v>
      </c>
      <c r="F122" s="11">
        <v>950</v>
      </c>
    </row>
    <row r="123" spans="1:6" x14ac:dyDescent="0.25">
      <c r="A123" s="10" t="s">
        <v>470</v>
      </c>
      <c r="B123" s="11" t="s">
        <v>135</v>
      </c>
      <c r="C123" s="11" t="s">
        <v>7</v>
      </c>
      <c r="D123" s="11" t="s">
        <v>12</v>
      </c>
      <c r="E123" s="12" t="s">
        <v>36</v>
      </c>
      <c r="F123" s="11"/>
    </row>
    <row r="124" spans="1:6" x14ac:dyDescent="0.25">
      <c r="A124" s="10" t="s">
        <v>470</v>
      </c>
      <c r="B124" s="11" t="s">
        <v>135</v>
      </c>
      <c r="C124" s="11" t="s">
        <v>7</v>
      </c>
      <c r="D124" s="11" t="s">
        <v>13</v>
      </c>
      <c r="E124" s="12" t="s">
        <v>14</v>
      </c>
      <c r="F124" s="11">
        <f>F125</f>
        <v>118.75</v>
      </c>
    </row>
    <row r="125" spans="1:6" x14ac:dyDescent="0.25">
      <c r="A125" s="10" t="s">
        <v>470</v>
      </c>
      <c r="B125" s="11" t="s">
        <v>135</v>
      </c>
      <c r="C125" s="11" t="s">
        <v>16</v>
      </c>
      <c r="D125" s="11" t="s">
        <v>13</v>
      </c>
      <c r="E125" s="12" t="s">
        <v>17</v>
      </c>
      <c r="F125" s="11">
        <f>F122/8</f>
        <v>118.75</v>
      </c>
    </row>
    <row r="126" spans="1:6" x14ac:dyDescent="0.25">
      <c r="A126" s="10" t="s">
        <v>470</v>
      </c>
      <c r="B126" s="11" t="s">
        <v>135</v>
      </c>
      <c r="C126" s="11" t="s">
        <v>7</v>
      </c>
      <c r="D126" s="11" t="s">
        <v>18</v>
      </c>
      <c r="E126" s="12" t="s">
        <v>19</v>
      </c>
      <c r="F126" s="11">
        <v>650</v>
      </c>
    </row>
    <row r="127" spans="1:6" x14ac:dyDescent="0.25">
      <c r="A127" s="5" t="s">
        <v>34</v>
      </c>
      <c r="B127" s="6" t="s">
        <v>6</v>
      </c>
      <c r="C127" s="6" t="s">
        <v>7</v>
      </c>
      <c r="D127" s="6" t="s">
        <v>687</v>
      </c>
      <c r="E127" s="7" t="s">
        <v>8</v>
      </c>
      <c r="F127" s="6">
        <v>1150</v>
      </c>
    </row>
    <row r="128" spans="1:6" x14ac:dyDescent="0.25">
      <c r="A128" s="5" t="s">
        <v>34</v>
      </c>
      <c r="B128" s="6" t="s">
        <v>6</v>
      </c>
      <c r="C128" s="6" t="s">
        <v>7</v>
      </c>
      <c r="D128" s="6" t="s">
        <v>12</v>
      </c>
      <c r="E128" s="7" t="s">
        <v>36</v>
      </c>
      <c r="F128" s="13">
        <v>650</v>
      </c>
    </row>
    <row r="129" spans="1:6" x14ac:dyDescent="0.25">
      <c r="A129" s="5" t="s">
        <v>34</v>
      </c>
      <c r="B129" s="6" t="s">
        <v>6</v>
      </c>
      <c r="C129" s="6" t="s">
        <v>7</v>
      </c>
      <c r="D129" s="6" t="s">
        <v>13</v>
      </c>
      <c r="E129" s="7" t="s">
        <v>14</v>
      </c>
      <c r="F129" s="13">
        <v>175</v>
      </c>
    </row>
    <row r="130" spans="1:6" x14ac:dyDescent="0.25">
      <c r="A130" s="5" t="s">
        <v>34</v>
      </c>
      <c r="B130" s="6" t="s">
        <v>6</v>
      </c>
      <c r="C130" s="6" t="s">
        <v>16</v>
      </c>
      <c r="D130" s="6" t="s">
        <v>13</v>
      </c>
      <c r="E130" s="7" t="s">
        <v>17</v>
      </c>
      <c r="F130" s="13">
        <v>125</v>
      </c>
    </row>
    <row r="131" spans="1:6" x14ac:dyDescent="0.25">
      <c r="A131" s="5" t="s">
        <v>34</v>
      </c>
      <c r="B131" s="6" t="s">
        <v>6</v>
      </c>
      <c r="C131" s="6" t="s">
        <v>7</v>
      </c>
      <c r="D131" s="6" t="s">
        <v>18</v>
      </c>
      <c r="E131" s="7" t="s">
        <v>19</v>
      </c>
      <c r="F131" s="6" t="s">
        <v>15</v>
      </c>
    </row>
    <row r="132" spans="1:6" x14ac:dyDescent="0.25">
      <c r="A132" s="5" t="s">
        <v>34</v>
      </c>
      <c r="B132" s="6" t="s">
        <v>21</v>
      </c>
      <c r="C132" s="6" t="s">
        <v>7</v>
      </c>
      <c r="D132" s="6" t="s">
        <v>687</v>
      </c>
      <c r="E132" s="7" t="s">
        <v>8</v>
      </c>
      <c r="F132" s="6">
        <v>1150</v>
      </c>
    </row>
    <row r="133" spans="1:6" x14ac:dyDescent="0.25">
      <c r="A133" s="5" t="s">
        <v>34</v>
      </c>
      <c r="B133" s="6" t="s">
        <v>21</v>
      </c>
      <c r="C133" s="6" t="s">
        <v>7</v>
      </c>
      <c r="D133" s="6" t="s">
        <v>12</v>
      </c>
      <c r="E133" s="7" t="s">
        <v>36</v>
      </c>
      <c r="F133" s="13">
        <v>650</v>
      </c>
    </row>
    <row r="134" spans="1:6" x14ac:dyDescent="0.25">
      <c r="A134" s="5" t="s">
        <v>34</v>
      </c>
      <c r="B134" s="6" t="s">
        <v>21</v>
      </c>
      <c r="C134" s="6" t="s">
        <v>7</v>
      </c>
      <c r="D134" s="6" t="s">
        <v>13</v>
      </c>
      <c r="E134" s="7" t="s">
        <v>14</v>
      </c>
      <c r="F134" s="13">
        <v>175</v>
      </c>
    </row>
    <row r="135" spans="1:6" x14ac:dyDescent="0.25">
      <c r="A135" s="5" t="s">
        <v>34</v>
      </c>
      <c r="B135" s="6" t="s">
        <v>21</v>
      </c>
      <c r="C135" s="6" t="s">
        <v>16</v>
      </c>
      <c r="D135" s="6" t="s">
        <v>13</v>
      </c>
      <c r="E135" s="7" t="s">
        <v>17</v>
      </c>
      <c r="F135" s="13">
        <v>125</v>
      </c>
    </row>
    <row r="136" spans="1:6" x14ac:dyDescent="0.25">
      <c r="A136" s="5" t="s">
        <v>34</v>
      </c>
      <c r="B136" s="6" t="s">
        <v>21</v>
      </c>
      <c r="C136" s="6" t="s">
        <v>7</v>
      </c>
      <c r="D136" s="6" t="s">
        <v>18</v>
      </c>
      <c r="E136" s="7" t="s">
        <v>19</v>
      </c>
      <c r="F136" s="6" t="s">
        <v>15</v>
      </c>
    </row>
    <row r="137" spans="1:6" x14ac:dyDescent="0.25">
      <c r="A137" s="5" t="s">
        <v>34</v>
      </c>
      <c r="B137" s="6" t="s">
        <v>27</v>
      </c>
      <c r="C137" s="6" t="s">
        <v>7</v>
      </c>
      <c r="D137" s="6" t="s">
        <v>687</v>
      </c>
      <c r="E137" s="7" t="s">
        <v>8</v>
      </c>
      <c r="F137" s="6">
        <v>1150</v>
      </c>
    </row>
    <row r="138" spans="1:6" x14ac:dyDescent="0.25">
      <c r="A138" s="5" t="s">
        <v>34</v>
      </c>
      <c r="B138" s="6" t="s">
        <v>27</v>
      </c>
      <c r="C138" s="6" t="s">
        <v>7</v>
      </c>
      <c r="D138" s="6" t="s">
        <v>12</v>
      </c>
      <c r="E138" s="7" t="s">
        <v>36</v>
      </c>
      <c r="F138" s="13">
        <v>650</v>
      </c>
    </row>
    <row r="139" spans="1:6" x14ac:dyDescent="0.25">
      <c r="A139" s="5" t="s">
        <v>34</v>
      </c>
      <c r="B139" s="6" t="s">
        <v>27</v>
      </c>
      <c r="C139" s="6" t="s">
        <v>7</v>
      </c>
      <c r="D139" s="6" t="s">
        <v>13</v>
      </c>
      <c r="E139" s="7" t="s">
        <v>14</v>
      </c>
      <c r="F139" s="13">
        <v>175</v>
      </c>
    </row>
    <row r="140" spans="1:6" x14ac:dyDescent="0.25">
      <c r="A140" s="5" t="s">
        <v>34</v>
      </c>
      <c r="B140" s="6" t="s">
        <v>27</v>
      </c>
      <c r="C140" s="6" t="s">
        <v>16</v>
      </c>
      <c r="D140" s="6" t="s">
        <v>13</v>
      </c>
      <c r="E140" s="7" t="s">
        <v>17</v>
      </c>
      <c r="F140" s="13">
        <v>125</v>
      </c>
    </row>
    <row r="141" spans="1:6" x14ac:dyDescent="0.25">
      <c r="A141" s="5" t="s">
        <v>34</v>
      </c>
      <c r="B141" s="6" t="s">
        <v>27</v>
      </c>
      <c r="C141" s="6" t="s">
        <v>7</v>
      </c>
      <c r="D141" s="6" t="s">
        <v>18</v>
      </c>
      <c r="E141" s="7" t="s">
        <v>19</v>
      </c>
      <c r="F141" s="6" t="s">
        <v>15</v>
      </c>
    </row>
    <row r="142" spans="1:6" x14ac:dyDescent="0.25">
      <c r="A142" s="10" t="s">
        <v>35</v>
      </c>
      <c r="B142" s="11" t="s">
        <v>6</v>
      </c>
      <c r="C142" s="11" t="s">
        <v>7</v>
      </c>
      <c r="D142" s="11" t="s">
        <v>687</v>
      </c>
      <c r="E142" s="12" t="s">
        <v>8</v>
      </c>
      <c r="F142" s="11">
        <v>1250</v>
      </c>
    </row>
    <row r="143" spans="1:6" x14ac:dyDescent="0.25">
      <c r="A143" s="10" t="s">
        <v>35</v>
      </c>
      <c r="B143" s="11" t="s">
        <v>6</v>
      </c>
      <c r="C143" s="11" t="s">
        <v>7</v>
      </c>
      <c r="D143" s="11" t="s">
        <v>12</v>
      </c>
      <c r="E143" s="12" t="s">
        <v>36</v>
      </c>
      <c r="F143" s="11">
        <v>700</v>
      </c>
    </row>
    <row r="144" spans="1:6" x14ac:dyDescent="0.25">
      <c r="A144" s="10" t="s">
        <v>35</v>
      </c>
      <c r="B144" s="11" t="s">
        <v>6</v>
      </c>
      <c r="C144" s="11" t="s">
        <v>7</v>
      </c>
      <c r="D144" s="11" t="s">
        <v>13</v>
      </c>
      <c r="E144" s="12" t="s">
        <v>14</v>
      </c>
      <c r="F144" s="11">
        <v>185</v>
      </c>
    </row>
    <row r="145" spans="1:6" x14ac:dyDescent="0.25">
      <c r="A145" s="10" t="s">
        <v>35</v>
      </c>
      <c r="B145" s="11" t="s">
        <v>6</v>
      </c>
      <c r="C145" s="11" t="s">
        <v>16</v>
      </c>
      <c r="D145" s="11" t="s">
        <v>13</v>
      </c>
      <c r="E145" s="12" t="s">
        <v>17</v>
      </c>
      <c r="F145" s="11">
        <v>140</v>
      </c>
    </row>
    <row r="146" spans="1:6" x14ac:dyDescent="0.25">
      <c r="A146" s="10" t="s">
        <v>35</v>
      </c>
      <c r="B146" s="11" t="s">
        <v>6</v>
      </c>
      <c r="C146" s="11" t="s">
        <v>7</v>
      </c>
      <c r="D146" s="11" t="s">
        <v>18</v>
      </c>
      <c r="E146" s="12" t="s">
        <v>19</v>
      </c>
      <c r="F146" s="11">
        <v>800</v>
      </c>
    </row>
    <row r="147" spans="1:6" x14ac:dyDescent="0.25">
      <c r="A147" s="10" t="s">
        <v>35</v>
      </c>
      <c r="B147" s="11" t="s">
        <v>21</v>
      </c>
      <c r="C147" s="11" t="s">
        <v>7</v>
      </c>
      <c r="D147" s="11" t="s">
        <v>687</v>
      </c>
      <c r="E147" s="12" t="s">
        <v>8</v>
      </c>
      <c r="F147" s="11">
        <v>1250</v>
      </c>
    </row>
    <row r="148" spans="1:6" x14ac:dyDescent="0.25">
      <c r="A148" s="10" t="s">
        <v>35</v>
      </c>
      <c r="B148" s="11" t="s">
        <v>21</v>
      </c>
      <c r="C148" s="11" t="s">
        <v>7</v>
      </c>
      <c r="D148" s="11" t="s">
        <v>12</v>
      </c>
      <c r="E148" s="12" t="s">
        <v>36</v>
      </c>
      <c r="F148" s="11">
        <v>700</v>
      </c>
    </row>
    <row r="149" spans="1:6" x14ac:dyDescent="0.25">
      <c r="A149" s="10" t="s">
        <v>35</v>
      </c>
      <c r="B149" s="11" t="s">
        <v>21</v>
      </c>
      <c r="C149" s="11" t="s">
        <v>7</v>
      </c>
      <c r="D149" s="11" t="s">
        <v>13</v>
      </c>
      <c r="E149" s="12" t="s">
        <v>14</v>
      </c>
      <c r="F149" s="11">
        <v>185</v>
      </c>
    </row>
    <row r="150" spans="1:6" x14ac:dyDescent="0.25">
      <c r="A150" s="10" t="s">
        <v>35</v>
      </c>
      <c r="B150" s="11" t="s">
        <v>21</v>
      </c>
      <c r="C150" s="11" t="s">
        <v>16</v>
      </c>
      <c r="D150" s="11" t="s">
        <v>13</v>
      </c>
      <c r="E150" s="12" t="s">
        <v>17</v>
      </c>
      <c r="F150" s="11">
        <v>140</v>
      </c>
    </row>
    <row r="151" spans="1:6" x14ac:dyDescent="0.25">
      <c r="A151" s="10" t="s">
        <v>35</v>
      </c>
      <c r="B151" s="11" t="s">
        <v>21</v>
      </c>
      <c r="C151" s="11" t="s">
        <v>7</v>
      </c>
      <c r="D151" s="11" t="s">
        <v>18</v>
      </c>
      <c r="E151" s="12" t="s">
        <v>19</v>
      </c>
      <c r="F151" s="11">
        <v>800</v>
      </c>
    </row>
    <row r="152" spans="1:6" x14ac:dyDescent="0.25">
      <c r="A152" s="10" t="s">
        <v>35</v>
      </c>
      <c r="B152" s="11" t="s">
        <v>27</v>
      </c>
      <c r="C152" s="11" t="s">
        <v>7</v>
      </c>
      <c r="D152" s="11" t="s">
        <v>687</v>
      </c>
      <c r="E152" s="12" t="s">
        <v>8</v>
      </c>
      <c r="F152" s="11">
        <v>1250</v>
      </c>
    </row>
    <row r="153" spans="1:6" x14ac:dyDescent="0.25">
      <c r="A153" s="10" t="s">
        <v>35</v>
      </c>
      <c r="B153" s="11" t="s">
        <v>27</v>
      </c>
      <c r="C153" s="11" t="s">
        <v>7</v>
      </c>
      <c r="D153" s="11" t="s">
        <v>12</v>
      </c>
      <c r="E153" s="12" t="s">
        <v>36</v>
      </c>
      <c r="F153" s="11">
        <v>700</v>
      </c>
    </row>
    <row r="154" spans="1:6" x14ac:dyDescent="0.25">
      <c r="A154" s="10" t="s">
        <v>35</v>
      </c>
      <c r="B154" s="11" t="s">
        <v>27</v>
      </c>
      <c r="C154" s="11" t="s">
        <v>7</v>
      </c>
      <c r="D154" s="11" t="s">
        <v>13</v>
      </c>
      <c r="E154" s="12" t="s">
        <v>14</v>
      </c>
      <c r="F154" s="11">
        <v>185</v>
      </c>
    </row>
    <row r="155" spans="1:6" x14ac:dyDescent="0.25">
      <c r="A155" s="10" t="s">
        <v>35</v>
      </c>
      <c r="B155" s="11" t="s">
        <v>27</v>
      </c>
      <c r="C155" s="11" t="s">
        <v>16</v>
      </c>
      <c r="D155" s="11" t="s">
        <v>13</v>
      </c>
      <c r="E155" s="12" t="s">
        <v>17</v>
      </c>
      <c r="F155" s="11">
        <v>140</v>
      </c>
    </row>
    <row r="156" spans="1:6" x14ac:dyDescent="0.25">
      <c r="A156" s="10" t="s">
        <v>35</v>
      </c>
      <c r="B156" s="11" t="s">
        <v>27</v>
      </c>
      <c r="C156" s="11" t="s">
        <v>7</v>
      </c>
      <c r="D156" s="11" t="s">
        <v>18</v>
      </c>
      <c r="E156" s="12" t="s">
        <v>19</v>
      </c>
      <c r="F156" s="11">
        <v>800</v>
      </c>
    </row>
    <row r="157" spans="1:6" x14ac:dyDescent="0.25">
      <c r="A157" t="s">
        <v>102</v>
      </c>
      <c r="B157" s="4" t="s">
        <v>6</v>
      </c>
      <c r="C157" s="4" t="s">
        <v>16</v>
      </c>
      <c r="D157" s="4" t="s">
        <v>13</v>
      </c>
      <c r="E157" s="14" t="s">
        <v>423</v>
      </c>
      <c r="F157" s="160">
        <v>6.25</v>
      </c>
    </row>
    <row r="158" spans="1:6" x14ac:dyDescent="0.25">
      <c r="A158" t="s">
        <v>400</v>
      </c>
      <c r="B158" s="4" t="s">
        <v>6</v>
      </c>
      <c r="C158" s="4" t="s">
        <v>7</v>
      </c>
      <c r="D158" s="4" t="s">
        <v>687</v>
      </c>
      <c r="E158" s="14" t="s">
        <v>8</v>
      </c>
      <c r="F158" s="4">
        <v>1150</v>
      </c>
    </row>
    <row r="159" spans="1:6" x14ac:dyDescent="0.25">
      <c r="A159" t="s">
        <v>400</v>
      </c>
      <c r="B159" s="4" t="s">
        <v>6</v>
      </c>
      <c r="C159" s="4" t="s">
        <v>7</v>
      </c>
      <c r="D159" s="4" t="s">
        <v>12</v>
      </c>
      <c r="E159" s="14" t="s">
        <v>36</v>
      </c>
      <c r="F159" s="4">
        <v>650</v>
      </c>
    </row>
    <row r="160" spans="1:6" x14ac:dyDescent="0.25">
      <c r="A160" t="s">
        <v>400</v>
      </c>
      <c r="B160" s="4" t="s">
        <v>6</v>
      </c>
      <c r="C160" s="4" t="s">
        <v>7</v>
      </c>
      <c r="D160" s="4" t="s">
        <v>13</v>
      </c>
      <c r="E160" s="14" t="s">
        <v>423</v>
      </c>
      <c r="F160" s="4">
        <v>175</v>
      </c>
    </row>
    <row r="161" spans="1:6" x14ac:dyDescent="0.25">
      <c r="A161" t="s">
        <v>400</v>
      </c>
      <c r="B161" s="4" t="s">
        <v>6</v>
      </c>
      <c r="C161" s="4" t="s">
        <v>16</v>
      </c>
      <c r="D161" s="4" t="s">
        <v>13</v>
      </c>
      <c r="E161" s="14" t="s">
        <v>423</v>
      </c>
      <c r="F161" s="4">
        <v>125</v>
      </c>
    </row>
    <row r="162" spans="1:6" x14ac:dyDescent="0.25">
      <c r="A162" t="s">
        <v>400</v>
      </c>
      <c r="B162" s="4" t="s">
        <v>6</v>
      </c>
      <c r="C162" s="4" t="s">
        <v>7</v>
      </c>
      <c r="D162" s="4" t="s">
        <v>19</v>
      </c>
      <c r="E162" s="14" t="s">
        <v>424</v>
      </c>
      <c r="F162" s="4">
        <v>650</v>
      </c>
    </row>
    <row r="163" spans="1:6" x14ac:dyDescent="0.25">
      <c r="A163" t="s">
        <v>400</v>
      </c>
      <c r="B163" s="4" t="s">
        <v>27</v>
      </c>
      <c r="C163" s="4" t="s">
        <v>7</v>
      </c>
      <c r="D163" s="4" t="s">
        <v>687</v>
      </c>
      <c r="E163" s="14" t="s">
        <v>8</v>
      </c>
      <c r="F163" s="4">
        <v>1150</v>
      </c>
    </row>
    <row r="164" spans="1:6" x14ac:dyDescent="0.25">
      <c r="A164" t="s">
        <v>400</v>
      </c>
      <c r="B164" s="4" t="s">
        <v>27</v>
      </c>
      <c r="C164" s="4" t="s">
        <v>7</v>
      </c>
      <c r="D164" s="4" t="s">
        <v>12</v>
      </c>
      <c r="E164" s="14" t="s">
        <v>36</v>
      </c>
      <c r="F164" s="4">
        <v>650</v>
      </c>
    </row>
    <row r="165" spans="1:6" x14ac:dyDescent="0.25">
      <c r="A165" t="s">
        <v>400</v>
      </c>
      <c r="B165" s="4" t="s">
        <v>27</v>
      </c>
      <c r="C165" s="4" t="s">
        <v>7</v>
      </c>
      <c r="D165" s="4" t="s">
        <v>13</v>
      </c>
      <c r="E165" s="14" t="s">
        <v>423</v>
      </c>
      <c r="F165" s="4">
        <v>175</v>
      </c>
    </row>
    <row r="166" spans="1:6" x14ac:dyDescent="0.25">
      <c r="A166" t="s">
        <v>400</v>
      </c>
      <c r="B166" s="4" t="s">
        <v>27</v>
      </c>
      <c r="C166" s="4" t="s">
        <v>16</v>
      </c>
      <c r="D166" s="4" t="s">
        <v>13</v>
      </c>
      <c r="E166" s="14" t="s">
        <v>423</v>
      </c>
      <c r="F166" s="4">
        <v>125</v>
      </c>
    </row>
    <row r="167" spans="1:6" x14ac:dyDescent="0.25">
      <c r="A167" t="s">
        <v>400</v>
      </c>
      <c r="B167" s="4" t="s">
        <v>27</v>
      </c>
      <c r="C167" s="4" t="s">
        <v>7</v>
      </c>
      <c r="D167" s="4" t="s">
        <v>19</v>
      </c>
      <c r="E167" s="14" t="s">
        <v>424</v>
      </c>
      <c r="F167" s="4">
        <v>650</v>
      </c>
    </row>
    <row r="168" spans="1:6" x14ac:dyDescent="0.25">
      <c r="A168" t="s">
        <v>99</v>
      </c>
      <c r="B168" s="4" t="s">
        <v>6</v>
      </c>
      <c r="C168" s="4" t="s">
        <v>16</v>
      </c>
      <c r="D168" s="4" t="s">
        <v>13</v>
      </c>
      <c r="E168" s="14" t="s">
        <v>423</v>
      </c>
      <c r="F168" s="4">
        <v>0</v>
      </c>
    </row>
    <row r="169" spans="1:6" x14ac:dyDescent="0.25">
      <c r="A169" t="s">
        <v>99</v>
      </c>
      <c r="B169" s="4" t="s">
        <v>6</v>
      </c>
      <c r="C169" s="4" t="s">
        <v>7</v>
      </c>
      <c r="D169" s="4" t="s">
        <v>13</v>
      </c>
      <c r="E169" s="14" t="s">
        <v>423</v>
      </c>
      <c r="F169" s="4">
        <v>0</v>
      </c>
    </row>
    <row r="170" spans="1:6" x14ac:dyDescent="0.25">
      <c r="A170" t="s">
        <v>635</v>
      </c>
      <c r="B170" s="4" t="s">
        <v>6</v>
      </c>
      <c r="C170" s="4" t="s">
        <v>16</v>
      </c>
      <c r="D170" s="4" t="s">
        <v>13</v>
      </c>
      <c r="E170" s="14" t="s">
        <v>423</v>
      </c>
      <c r="F170" s="4">
        <v>125</v>
      </c>
    </row>
    <row r="171" spans="1:6" x14ac:dyDescent="0.25">
      <c r="A171" t="s">
        <v>635</v>
      </c>
      <c r="B171" s="4" t="s">
        <v>6</v>
      </c>
      <c r="C171" s="4" t="s">
        <v>7</v>
      </c>
      <c r="D171" s="4" t="s">
        <v>13</v>
      </c>
      <c r="E171" s="14" t="s">
        <v>423</v>
      </c>
      <c r="F171" s="4">
        <v>175</v>
      </c>
    </row>
    <row r="172" spans="1:6" x14ac:dyDescent="0.25">
      <c r="A172" t="s">
        <v>635</v>
      </c>
      <c r="B172" s="4" t="s">
        <v>6</v>
      </c>
      <c r="C172" s="4" t="s">
        <v>7</v>
      </c>
      <c r="D172" s="4" t="s">
        <v>12</v>
      </c>
      <c r="E172" s="14" t="s">
        <v>36</v>
      </c>
      <c r="F172" s="4">
        <v>650</v>
      </c>
    </row>
    <row r="173" spans="1:6" x14ac:dyDescent="0.25">
      <c r="A173" t="s">
        <v>635</v>
      </c>
      <c r="B173" s="4" t="s">
        <v>6</v>
      </c>
      <c r="C173" s="4" t="s">
        <v>7</v>
      </c>
      <c r="D173" s="4" t="s">
        <v>687</v>
      </c>
      <c r="E173" s="14" t="s">
        <v>8</v>
      </c>
      <c r="F173" s="4">
        <v>1150</v>
      </c>
    </row>
    <row r="174" spans="1:6" x14ac:dyDescent="0.25">
      <c r="A174" t="s">
        <v>635</v>
      </c>
      <c r="B174" s="4" t="s">
        <v>6</v>
      </c>
      <c r="C174" s="4" t="s">
        <v>7</v>
      </c>
      <c r="D174" s="4" t="s">
        <v>19</v>
      </c>
      <c r="E174" s="14" t="s">
        <v>424</v>
      </c>
      <c r="F174" s="4">
        <v>650</v>
      </c>
    </row>
    <row r="175" spans="1:6" x14ac:dyDescent="0.25">
      <c r="A175" t="s">
        <v>635</v>
      </c>
      <c r="B175" s="4" t="s">
        <v>21</v>
      </c>
      <c r="C175" s="4" t="s">
        <v>16</v>
      </c>
      <c r="D175" s="4" t="s">
        <v>13</v>
      </c>
      <c r="E175" s="14" t="s">
        <v>423</v>
      </c>
      <c r="F175" s="4">
        <v>125</v>
      </c>
    </row>
    <row r="176" spans="1:6" x14ac:dyDescent="0.25">
      <c r="A176" t="s">
        <v>635</v>
      </c>
      <c r="B176" s="4" t="s">
        <v>21</v>
      </c>
      <c r="C176" s="4" t="s">
        <v>7</v>
      </c>
      <c r="D176" s="4" t="s">
        <v>13</v>
      </c>
      <c r="E176" s="14" t="s">
        <v>423</v>
      </c>
      <c r="F176" s="4">
        <v>175</v>
      </c>
    </row>
    <row r="177" spans="1:6" x14ac:dyDescent="0.25">
      <c r="A177" t="s">
        <v>635</v>
      </c>
      <c r="B177" s="4" t="s">
        <v>21</v>
      </c>
      <c r="C177" s="4" t="s">
        <v>7</v>
      </c>
      <c r="D177" s="4" t="s">
        <v>12</v>
      </c>
      <c r="E177" s="14" t="s">
        <v>36</v>
      </c>
      <c r="F177" s="4">
        <v>650</v>
      </c>
    </row>
    <row r="178" spans="1:6" x14ac:dyDescent="0.25">
      <c r="A178" t="s">
        <v>635</v>
      </c>
      <c r="B178" s="4" t="s">
        <v>21</v>
      </c>
      <c r="C178" s="4" t="s">
        <v>7</v>
      </c>
      <c r="D178" s="4" t="s">
        <v>687</v>
      </c>
      <c r="E178" s="14" t="s">
        <v>8</v>
      </c>
      <c r="F178" s="4">
        <v>1150</v>
      </c>
    </row>
    <row r="179" spans="1:6" x14ac:dyDescent="0.25">
      <c r="A179" t="s">
        <v>635</v>
      </c>
      <c r="B179" s="4" t="s">
        <v>21</v>
      </c>
      <c r="C179" s="4" t="s">
        <v>7</v>
      </c>
      <c r="D179" s="4" t="s">
        <v>19</v>
      </c>
      <c r="E179" s="14" t="s">
        <v>424</v>
      </c>
      <c r="F179" s="4">
        <v>650</v>
      </c>
    </row>
    <row r="180" spans="1:6" x14ac:dyDescent="0.25">
      <c r="A180" t="s">
        <v>635</v>
      </c>
      <c r="B180" s="4" t="s">
        <v>27</v>
      </c>
      <c r="C180" s="4" t="s">
        <v>16</v>
      </c>
      <c r="D180" s="4" t="s">
        <v>13</v>
      </c>
      <c r="E180" s="14" t="s">
        <v>423</v>
      </c>
      <c r="F180" s="4">
        <v>125</v>
      </c>
    </row>
    <row r="181" spans="1:6" x14ac:dyDescent="0.25">
      <c r="A181" t="s">
        <v>635</v>
      </c>
      <c r="B181" s="4" t="s">
        <v>27</v>
      </c>
      <c r="C181" s="4" t="s">
        <v>7</v>
      </c>
      <c r="D181" s="4" t="s">
        <v>13</v>
      </c>
      <c r="E181" s="14" t="s">
        <v>423</v>
      </c>
      <c r="F181" s="4">
        <v>175</v>
      </c>
    </row>
    <row r="182" spans="1:6" x14ac:dyDescent="0.25">
      <c r="A182" t="s">
        <v>635</v>
      </c>
      <c r="B182" s="4" t="s">
        <v>27</v>
      </c>
      <c r="C182" s="4" t="s">
        <v>7</v>
      </c>
      <c r="D182" s="4" t="s">
        <v>12</v>
      </c>
      <c r="E182" s="14" t="s">
        <v>36</v>
      </c>
      <c r="F182" s="4">
        <v>650</v>
      </c>
    </row>
    <row r="183" spans="1:6" x14ac:dyDescent="0.25">
      <c r="A183" t="s">
        <v>635</v>
      </c>
      <c r="B183" s="4" t="s">
        <v>27</v>
      </c>
      <c r="C183" s="4" t="s">
        <v>7</v>
      </c>
      <c r="D183" s="4" t="s">
        <v>687</v>
      </c>
      <c r="E183" s="14" t="s">
        <v>8</v>
      </c>
      <c r="F183" s="4">
        <v>1150</v>
      </c>
    </row>
    <row r="184" spans="1:6" x14ac:dyDescent="0.25">
      <c r="A184" t="s">
        <v>635</v>
      </c>
      <c r="B184" s="4" t="s">
        <v>27</v>
      </c>
      <c r="C184" s="4" t="s">
        <v>7</v>
      </c>
      <c r="D184" s="4" t="s">
        <v>19</v>
      </c>
      <c r="E184" s="14" t="s">
        <v>424</v>
      </c>
      <c r="F184" s="4">
        <v>650</v>
      </c>
    </row>
    <row r="335" spans="1:6" x14ac:dyDescent="0.25">
      <c r="A335" t="s">
        <v>31</v>
      </c>
      <c r="B335" s="4" t="s">
        <v>6</v>
      </c>
      <c r="C335" s="4" t="s">
        <v>7</v>
      </c>
      <c r="D335" s="4" t="s">
        <v>426</v>
      </c>
      <c r="F335" s="4">
        <v>15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19050</xdr:colOff>
                <xdr:row>0</xdr:row>
                <xdr:rowOff>19050</xdr:rowOff>
              </from>
              <to>
                <xdr:col>7</xdr:col>
                <xdr:colOff>457200</xdr:colOff>
                <xdr:row>0</xdr:row>
                <xdr:rowOff>400050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928A-5F04-42AA-811E-3B1BFDE826F5}">
  <sheetPr codeName="Projectsheet"/>
  <dimension ref="A1:B12"/>
  <sheetViews>
    <sheetView workbookViewId="0">
      <selection activeCell="G6" sqref="G6"/>
    </sheetView>
  </sheetViews>
  <sheetFormatPr defaultRowHeight="15" x14ac:dyDescent="0.25"/>
  <cols>
    <col min="1" max="1" width="61.85546875" bestFit="1" customWidth="1"/>
    <col min="2" max="2" width="20.28515625" bestFit="1" customWidth="1"/>
    <col min="10" max="10" width="18.85546875" bestFit="1" customWidth="1"/>
  </cols>
  <sheetData>
    <row r="1" spans="1:2" ht="48.6" customHeight="1" x14ac:dyDescent="0.25">
      <c r="A1" s="43" t="s">
        <v>458</v>
      </c>
      <c r="B1" s="43" t="s">
        <v>42</v>
      </c>
    </row>
    <row r="2" spans="1:2" x14ac:dyDescent="0.25">
      <c r="A2" t="s">
        <v>52</v>
      </c>
      <c r="B2" t="s">
        <v>470</v>
      </c>
    </row>
    <row r="3" spans="1:2" x14ac:dyDescent="0.25">
      <c r="A3" t="s">
        <v>611</v>
      </c>
      <c r="B3" t="s">
        <v>470</v>
      </c>
    </row>
    <row r="4" spans="1:2" x14ac:dyDescent="0.25">
      <c r="A4" t="s">
        <v>52</v>
      </c>
      <c r="B4" t="s">
        <v>473</v>
      </c>
    </row>
    <row r="5" spans="1:2" x14ac:dyDescent="0.25">
      <c r="A5" t="s">
        <v>125</v>
      </c>
      <c r="B5" t="s">
        <v>475</v>
      </c>
    </row>
    <row r="6" spans="1:2" x14ac:dyDescent="0.25">
      <c r="A6" t="s">
        <v>52</v>
      </c>
      <c r="B6" t="s">
        <v>400</v>
      </c>
    </row>
    <row r="7" spans="1:2" x14ac:dyDescent="0.25">
      <c r="A7" t="s">
        <v>52</v>
      </c>
      <c r="B7" t="s">
        <v>91</v>
      </c>
    </row>
    <row r="8" spans="1:2" x14ac:dyDescent="0.25">
      <c r="A8" t="s">
        <v>612</v>
      </c>
      <c r="B8" t="s">
        <v>396</v>
      </c>
    </row>
    <row r="9" spans="1:2" x14ac:dyDescent="0.25">
      <c r="A9" t="s">
        <v>132</v>
      </c>
      <c r="B9" t="s">
        <v>28</v>
      </c>
    </row>
    <row r="10" spans="1:2" x14ac:dyDescent="0.25">
      <c r="A10" t="s">
        <v>433</v>
      </c>
      <c r="B10" t="s">
        <v>28</v>
      </c>
    </row>
    <row r="11" spans="1:2" x14ac:dyDescent="0.25">
      <c r="A11" t="s">
        <v>52</v>
      </c>
      <c r="B11" t="s">
        <v>31</v>
      </c>
    </row>
    <row r="12" spans="1:2" x14ac:dyDescent="0.25">
      <c r="A12" t="s">
        <v>52</v>
      </c>
      <c r="B12" t="s">
        <v>368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ProjectAanmaken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1562100</xdr:colOff>
                <xdr:row>1</xdr:row>
                <xdr:rowOff>9525</xdr:rowOff>
              </to>
            </anchor>
          </controlPr>
        </control>
      </mc:Choice>
      <mc:Fallback>
        <control shapeId="5121" r:id="rId3" name="ProjectAanmake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5168C-2C56-4985-BE56-C5DA516B0F66}">
  <sheetPr codeName="Contactsheet"/>
  <dimension ref="A1:X62"/>
  <sheetViews>
    <sheetView zoomScale="89" zoomScaleNormal="89" workbookViewId="0">
      <pane ySplit="1" topLeftCell="A2" activePane="bottomLeft" state="frozen"/>
      <selection pane="bottomLeft" activeCell="A25" sqref="A25"/>
    </sheetView>
  </sheetViews>
  <sheetFormatPr defaultRowHeight="15" x14ac:dyDescent="0.25"/>
  <cols>
    <col min="1" max="1" width="21.7109375" style="17" bestFit="1" customWidth="1"/>
    <col min="2" max="2" width="8.28515625" style="17" customWidth="1"/>
    <col min="3" max="3" width="15.28515625" style="17" bestFit="1" customWidth="1"/>
    <col min="4" max="4" width="23.7109375" style="17" bestFit="1" customWidth="1"/>
    <col min="5" max="5" width="19" style="17" customWidth="1"/>
    <col min="6" max="6" width="21.28515625" style="17" customWidth="1"/>
    <col min="7" max="7" width="6.140625" style="17" bestFit="1" customWidth="1"/>
    <col min="8" max="8" width="4.140625" style="80" bestFit="1" customWidth="1"/>
    <col min="9" max="9" width="5.28515625" style="17" bestFit="1" customWidth="1"/>
    <col min="10" max="10" width="9" style="17" bestFit="1" customWidth="1"/>
    <col min="11" max="11" width="20.7109375" style="17" customWidth="1"/>
    <col min="12" max="12" width="9.140625" style="17" bestFit="1" customWidth="1"/>
    <col min="13" max="13" width="12" style="17" bestFit="1" customWidth="1"/>
    <col min="14" max="14" width="18.28515625" style="17" bestFit="1" customWidth="1"/>
    <col min="15" max="15" width="25.28515625" style="17" customWidth="1"/>
    <col min="16" max="16" width="34.85546875" style="17" customWidth="1"/>
    <col min="17" max="17" width="25.28515625" style="17" customWidth="1"/>
    <col min="18" max="18" width="36.85546875" style="17" customWidth="1"/>
    <col min="19" max="19" width="40.140625" style="17" customWidth="1"/>
    <col min="20" max="20" width="8.7109375" bestFit="1" customWidth="1"/>
    <col min="21" max="21" width="7.7109375" bestFit="1" customWidth="1"/>
    <col min="22" max="22" width="8.85546875" bestFit="1" customWidth="1"/>
    <col min="23" max="23" width="8.28515625" bestFit="1" customWidth="1"/>
    <col min="24" max="24" width="8.85546875" bestFit="1" customWidth="1"/>
  </cols>
  <sheetData>
    <row r="1" spans="1:24" s="16" customFormat="1" ht="78" customHeight="1" x14ac:dyDescent="0.25">
      <c r="A1" s="15" t="s">
        <v>42</v>
      </c>
      <c r="B1" s="15" t="s">
        <v>407</v>
      </c>
      <c r="C1" s="15" t="s">
        <v>323</v>
      </c>
      <c r="D1" s="15" t="s">
        <v>324</v>
      </c>
      <c r="E1" s="15" t="s">
        <v>325</v>
      </c>
      <c r="F1" s="15" t="s">
        <v>326</v>
      </c>
      <c r="G1" s="15" t="s">
        <v>327</v>
      </c>
      <c r="H1" s="79" t="s">
        <v>328</v>
      </c>
      <c r="I1" s="15" t="s">
        <v>329</v>
      </c>
      <c r="J1" s="15" t="s">
        <v>330</v>
      </c>
      <c r="K1" s="15" t="s">
        <v>331</v>
      </c>
      <c r="L1" s="15" t="s">
        <v>332</v>
      </c>
      <c r="M1" s="15" t="s">
        <v>333</v>
      </c>
      <c r="N1" s="15" t="s">
        <v>334</v>
      </c>
      <c r="O1" s="15" t="s">
        <v>335</v>
      </c>
      <c r="P1" s="15" t="s">
        <v>336</v>
      </c>
      <c r="Q1" s="15" t="s">
        <v>337</v>
      </c>
      <c r="R1" s="15" t="s">
        <v>338</v>
      </c>
      <c r="S1" s="15" t="s">
        <v>339</v>
      </c>
      <c r="T1" s="16" t="s">
        <v>340</v>
      </c>
      <c r="U1" s="16" t="s">
        <v>341</v>
      </c>
      <c r="V1" s="16" t="s">
        <v>342</v>
      </c>
      <c r="W1" s="16" t="s">
        <v>343</v>
      </c>
      <c r="X1" s="16" t="s">
        <v>344</v>
      </c>
    </row>
    <row r="2" spans="1:24" s="17" customFormat="1" x14ac:dyDescent="0.25">
      <c r="A2" s="17" t="s">
        <v>473</v>
      </c>
      <c r="B2" s="86"/>
      <c r="C2" s="17" t="s">
        <v>32</v>
      </c>
      <c r="D2" s="17" t="s">
        <v>382</v>
      </c>
      <c r="E2" s="17" t="s">
        <v>383</v>
      </c>
      <c r="F2" s="17" t="s">
        <v>384</v>
      </c>
      <c r="G2" s="17" t="s">
        <v>385</v>
      </c>
      <c r="H2" s="80"/>
      <c r="I2" s="17" t="s">
        <v>349</v>
      </c>
      <c r="J2" s="17">
        <v>1800</v>
      </c>
      <c r="K2" s="17" t="s">
        <v>386</v>
      </c>
      <c r="L2" s="17" t="s">
        <v>351</v>
      </c>
      <c r="M2" s="17">
        <v>861312884</v>
      </c>
      <c r="N2" s="17" t="s">
        <v>459</v>
      </c>
      <c r="O2" s="17" t="s">
        <v>387</v>
      </c>
      <c r="P2" s="78" t="s">
        <v>622</v>
      </c>
      <c r="Q2" s="17" t="s">
        <v>354</v>
      </c>
      <c r="R2" s="78" t="s">
        <v>547</v>
      </c>
      <c r="V2" s="17" t="s">
        <v>388</v>
      </c>
      <c r="W2" s="17" t="s">
        <v>389</v>
      </c>
      <c r="X2" s="17">
        <v>40</v>
      </c>
    </row>
    <row r="3" spans="1:24" s="17" customFormat="1" x14ac:dyDescent="0.25">
      <c r="A3" s="17" t="s">
        <v>400</v>
      </c>
      <c r="B3" s="17" t="s">
        <v>345</v>
      </c>
      <c r="C3" s="17" t="s">
        <v>401</v>
      </c>
      <c r="D3" s="17" t="s">
        <v>402</v>
      </c>
      <c r="E3" s="17" t="s">
        <v>403</v>
      </c>
      <c r="F3" s="17" t="s">
        <v>404</v>
      </c>
      <c r="G3" s="17">
        <v>47</v>
      </c>
      <c r="H3" s="80"/>
      <c r="I3" s="17" t="s">
        <v>349</v>
      </c>
      <c r="J3" s="17">
        <v>1840</v>
      </c>
      <c r="K3" s="17" t="s">
        <v>405</v>
      </c>
      <c r="L3" s="17" t="s">
        <v>351</v>
      </c>
      <c r="M3" s="17">
        <v>836317568</v>
      </c>
      <c r="N3" s="17" t="s">
        <v>459</v>
      </c>
      <c r="O3" s="17" t="s">
        <v>352</v>
      </c>
      <c r="P3" s="78" t="s">
        <v>406</v>
      </c>
      <c r="Q3" s="17" t="s">
        <v>354</v>
      </c>
      <c r="T3"/>
      <c r="U3"/>
      <c r="V3"/>
      <c r="W3"/>
      <c r="X3"/>
    </row>
    <row r="4" spans="1:24" s="17" customFormat="1" x14ac:dyDescent="0.25">
      <c r="A4" s="17" t="s">
        <v>102</v>
      </c>
      <c r="B4" s="86"/>
      <c r="C4" s="17" t="s">
        <v>362</v>
      </c>
      <c r="D4" s="17" t="s">
        <v>363</v>
      </c>
      <c r="E4" s="17" t="s">
        <v>364</v>
      </c>
      <c r="F4" s="17" t="s">
        <v>365</v>
      </c>
      <c r="G4" s="17">
        <v>11</v>
      </c>
      <c r="H4" s="80"/>
      <c r="I4" s="17" t="s">
        <v>349</v>
      </c>
      <c r="J4" s="17">
        <v>2387</v>
      </c>
      <c r="K4" s="17" t="s">
        <v>366</v>
      </c>
      <c r="L4" s="17" t="s">
        <v>351</v>
      </c>
      <c r="M4" s="17">
        <v>693729548</v>
      </c>
      <c r="N4" s="17" t="s">
        <v>459</v>
      </c>
      <c r="O4" s="17" t="s">
        <v>352</v>
      </c>
      <c r="P4" s="17" t="s">
        <v>367</v>
      </c>
      <c r="Q4" s="17" t="s">
        <v>354</v>
      </c>
    </row>
    <row r="5" spans="1:24" s="17" customFormat="1" x14ac:dyDescent="0.25">
      <c r="A5" s="17" t="s">
        <v>91</v>
      </c>
      <c r="B5" s="17" t="s">
        <v>345</v>
      </c>
      <c r="C5" s="17" t="s">
        <v>390</v>
      </c>
      <c r="D5" s="17" t="s">
        <v>391</v>
      </c>
      <c r="E5" s="17" t="s">
        <v>392</v>
      </c>
      <c r="F5" s="17" t="s">
        <v>393</v>
      </c>
      <c r="G5" s="17">
        <v>2</v>
      </c>
      <c r="H5" s="80">
        <v>1</v>
      </c>
      <c r="I5" s="17" t="s">
        <v>349</v>
      </c>
      <c r="J5" s="17">
        <v>2390</v>
      </c>
      <c r="K5" s="17" t="s">
        <v>394</v>
      </c>
      <c r="L5" s="17" t="s">
        <v>351</v>
      </c>
      <c r="M5" s="17">
        <v>460653790</v>
      </c>
      <c r="N5" s="17" t="s">
        <v>459</v>
      </c>
      <c r="O5" s="86"/>
      <c r="P5" s="86"/>
      <c r="Q5" s="17" t="s">
        <v>354</v>
      </c>
      <c r="V5" s="17" t="s">
        <v>395</v>
      </c>
      <c r="W5" s="17" t="s">
        <v>389</v>
      </c>
      <c r="X5" s="17">
        <v>40</v>
      </c>
    </row>
    <row r="6" spans="1:24" s="82" customFormat="1" x14ac:dyDescent="0.25">
      <c r="A6" s="82" t="s">
        <v>396</v>
      </c>
      <c r="B6" s="86"/>
      <c r="C6" s="82" t="s">
        <v>397</v>
      </c>
      <c r="D6" s="82" t="s">
        <v>548</v>
      </c>
      <c r="E6" s="82" t="s">
        <v>549</v>
      </c>
      <c r="F6" s="82" t="s">
        <v>398</v>
      </c>
      <c r="G6" s="82">
        <v>2</v>
      </c>
      <c r="H6" s="83"/>
      <c r="I6" s="17" t="s">
        <v>349</v>
      </c>
      <c r="J6" s="82">
        <v>9160</v>
      </c>
      <c r="K6" s="82" t="s">
        <v>399</v>
      </c>
      <c r="L6" s="82" t="s">
        <v>351</v>
      </c>
      <c r="M6" s="82">
        <v>830622183</v>
      </c>
      <c r="N6" s="82" t="s">
        <v>459</v>
      </c>
      <c r="O6" s="17" t="s">
        <v>352</v>
      </c>
      <c r="P6" s="84" t="s">
        <v>550</v>
      </c>
      <c r="Q6" s="82" t="s">
        <v>354</v>
      </c>
      <c r="T6" s="85"/>
      <c r="U6" s="85"/>
      <c r="V6" s="85"/>
      <c r="W6" s="85"/>
      <c r="X6" s="85"/>
    </row>
    <row r="7" spans="1:24" s="17" customFormat="1" x14ac:dyDescent="0.25">
      <c r="A7" s="17" t="s">
        <v>31</v>
      </c>
      <c r="B7" s="86"/>
      <c r="C7" s="17" t="s">
        <v>355</v>
      </c>
      <c r="D7" s="17" t="s">
        <v>356</v>
      </c>
      <c r="E7" s="17" t="s">
        <v>357</v>
      </c>
      <c r="F7" s="17" t="s">
        <v>358</v>
      </c>
      <c r="G7" s="17">
        <v>116</v>
      </c>
      <c r="H7" s="80"/>
      <c r="I7" s="17" t="s">
        <v>349</v>
      </c>
      <c r="J7" s="17">
        <v>2100</v>
      </c>
      <c r="K7" s="17" t="s">
        <v>359</v>
      </c>
      <c r="L7" s="17" t="s">
        <v>351</v>
      </c>
      <c r="M7" s="17">
        <v>809568136</v>
      </c>
      <c r="N7" s="17" t="s">
        <v>459</v>
      </c>
      <c r="O7" s="17" t="s">
        <v>352</v>
      </c>
      <c r="P7" s="156" t="s">
        <v>623</v>
      </c>
      <c r="Q7" s="17" t="s">
        <v>354</v>
      </c>
      <c r="R7" s="17" t="s">
        <v>361</v>
      </c>
      <c r="S7" s="78" t="s">
        <v>360</v>
      </c>
    </row>
    <row r="8" spans="1:24" s="17" customFormat="1" x14ac:dyDescent="0.25">
      <c r="A8" s="17" t="s">
        <v>30</v>
      </c>
      <c r="B8" s="17" t="s">
        <v>345</v>
      </c>
      <c r="C8" s="17" t="s">
        <v>92</v>
      </c>
      <c r="D8" s="17" t="s">
        <v>346</v>
      </c>
      <c r="E8" s="17" t="s">
        <v>347</v>
      </c>
      <c r="F8" s="17" t="s">
        <v>348</v>
      </c>
      <c r="G8" s="17">
        <v>25</v>
      </c>
      <c r="H8" s="80"/>
      <c r="I8" s="17" t="s">
        <v>349</v>
      </c>
      <c r="J8" s="17">
        <v>1840</v>
      </c>
      <c r="K8" s="17" t="s">
        <v>350</v>
      </c>
      <c r="L8" s="17" t="s">
        <v>351</v>
      </c>
      <c r="M8" s="17">
        <v>832794488</v>
      </c>
      <c r="N8" s="17" t="s">
        <v>459</v>
      </c>
      <c r="O8" s="17" t="s">
        <v>352</v>
      </c>
      <c r="P8" s="17" t="s">
        <v>353</v>
      </c>
      <c r="Q8" s="17" t="s">
        <v>354</v>
      </c>
    </row>
    <row r="9" spans="1:24" s="42" customFormat="1" x14ac:dyDescent="0.25">
      <c r="A9" s="17" t="s">
        <v>28</v>
      </c>
      <c r="B9" s="86"/>
      <c r="C9" s="17" t="s">
        <v>376</v>
      </c>
      <c r="D9" s="17" t="s">
        <v>377</v>
      </c>
      <c r="E9" s="17" t="s">
        <v>608</v>
      </c>
      <c r="F9" s="17" t="s">
        <v>378</v>
      </c>
      <c r="G9" s="17">
        <v>83</v>
      </c>
      <c r="H9" s="80" t="s">
        <v>379</v>
      </c>
      <c r="I9" s="17" t="s">
        <v>349</v>
      </c>
      <c r="J9" s="17">
        <v>2280</v>
      </c>
      <c r="K9" s="17" t="s">
        <v>380</v>
      </c>
      <c r="L9" s="17" t="s">
        <v>351</v>
      </c>
      <c r="M9" s="17">
        <v>882738206</v>
      </c>
      <c r="N9" s="17" t="s">
        <v>459</v>
      </c>
      <c r="O9" s="17" t="s">
        <v>352</v>
      </c>
      <c r="P9" s="17" t="s">
        <v>381</v>
      </c>
      <c r="Q9" s="17" t="s">
        <v>354</v>
      </c>
      <c r="R9" s="17"/>
      <c r="S9" s="17"/>
      <c r="T9" s="17"/>
      <c r="U9" s="17"/>
      <c r="V9" s="17"/>
      <c r="W9" s="17"/>
      <c r="X9" s="17"/>
    </row>
    <row r="10" spans="1:24" x14ac:dyDescent="0.25">
      <c r="A10" s="17" t="s">
        <v>368</v>
      </c>
      <c r="B10" s="86"/>
      <c r="C10" s="17" t="s">
        <v>369</v>
      </c>
      <c r="D10" s="17" t="s">
        <v>370</v>
      </c>
      <c r="E10" s="17" t="s">
        <v>371</v>
      </c>
      <c r="F10" s="17" t="s">
        <v>372</v>
      </c>
      <c r="G10" s="17">
        <v>42</v>
      </c>
      <c r="I10" s="17" t="s">
        <v>349</v>
      </c>
      <c r="J10" s="17">
        <v>2610</v>
      </c>
      <c r="K10" s="17" t="s">
        <v>373</v>
      </c>
      <c r="L10" s="17" t="s">
        <v>351</v>
      </c>
      <c r="M10" s="17">
        <v>413465171</v>
      </c>
      <c r="N10" s="17" t="s">
        <v>459</v>
      </c>
      <c r="O10" s="17" t="s">
        <v>352</v>
      </c>
      <c r="P10" s="17" t="s">
        <v>374</v>
      </c>
      <c r="Q10" s="17" t="s">
        <v>354</v>
      </c>
      <c r="R10" s="17" t="s">
        <v>375</v>
      </c>
      <c r="T10" s="17"/>
      <c r="U10" s="17"/>
      <c r="V10" s="17"/>
      <c r="W10" s="17"/>
      <c r="X10" s="17"/>
    </row>
    <row r="11" spans="1:24" x14ac:dyDescent="0.25">
      <c r="A11" s="17" t="s">
        <v>463</v>
      </c>
      <c r="B11" s="17" t="s">
        <v>345</v>
      </c>
      <c r="C11" s="17" t="s">
        <v>463</v>
      </c>
      <c r="D11" s="17" t="s">
        <v>464</v>
      </c>
      <c r="E11" s="17" t="s">
        <v>465</v>
      </c>
      <c r="F11" s="17" t="s">
        <v>466</v>
      </c>
      <c r="G11" s="17">
        <v>13</v>
      </c>
      <c r="H11" s="80">
        <v>2</v>
      </c>
      <c r="I11" s="17" t="s">
        <v>349</v>
      </c>
      <c r="J11" s="17">
        <v>8400</v>
      </c>
      <c r="K11" s="17" t="s">
        <v>467</v>
      </c>
      <c r="L11" s="17" t="s">
        <v>351</v>
      </c>
      <c r="M11" s="17">
        <v>878609766</v>
      </c>
      <c r="N11" s="17" t="s">
        <v>459</v>
      </c>
      <c r="O11" s="17" t="s">
        <v>460</v>
      </c>
      <c r="P11" s="17" t="s">
        <v>468</v>
      </c>
      <c r="Q11" s="17" t="s">
        <v>469</v>
      </c>
    </row>
    <row r="12" spans="1:24" x14ac:dyDescent="0.25">
      <c r="A12" s="17" t="s">
        <v>470</v>
      </c>
      <c r="B12" s="86"/>
      <c r="C12" s="17" t="s">
        <v>470</v>
      </c>
      <c r="D12" s="17" t="s">
        <v>485</v>
      </c>
      <c r="E12" s="17" t="s">
        <v>486</v>
      </c>
      <c r="F12" s="17" t="s">
        <v>487</v>
      </c>
      <c r="G12" s="17">
        <v>7</v>
      </c>
      <c r="I12" s="17" t="s">
        <v>349</v>
      </c>
      <c r="J12" s="17">
        <v>2200</v>
      </c>
      <c r="K12" s="17" t="s">
        <v>488</v>
      </c>
      <c r="L12" s="17" t="s">
        <v>351</v>
      </c>
      <c r="M12" s="17">
        <v>896506563</v>
      </c>
      <c r="N12" s="17" t="s">
        <v>459</v>
      </c>
      <c r="O12" s="17" t="s">
        <v>460</v>
      </c>
      <c r="P12" s="17" t="s">
        <v>484</v>
      </c>
      <c r="Q12" s="17" t="s">
        <v>469</v>
      </c>
    </row>
    <row r="13" spans="1:24" x14ac:dyDescent="0.25">
      <c r="A13" s="17" t="s">
        <v>474</v>
      </c>
      <c r="B13" s="86"/>
      <c r="C13" s="17" t="s">
        <v>483</v>
      </c>
      <c r="D13" s="17" t="s">
        <v>482</v>
      </c>
      <c r="E13" s="17" t="s">
        <v>483</v>
      </c>
      <c r="F13" s="17" t="s">
        <v>480</v>
      </c>
      <c r="G13" s="17">
        <v>7</v>
      </c>
      <c r="I13" s="17" t="s">
        <v>349</v>
      </c>
      <c r="J13" s="17">
        <v>2870</v>
      </c>
      <c r="K13" s="17" t="s">
        <v>481</v>
      </c>
      <c r="L13" s="17" t="s">
        <v>351</v>
      </c>
      <c r="M13" s="17">
        <v>430638528</v>
      </c>
      <c r="N13" s="17" t="s">
        <v>459</v>
      </c>
      <c r="O13" s="17" t="s">
        <v>460</v>
      </c>
      <c r="P13" s="17" t="s">
        <v>479</v>
      </c>
      <c r="Q13" s="17" t="s">
        <v>469</v>
      </c>
    </row>
    <row r="14" spans="1:24" x14ac:dyDescent="0.25">
      <c r="A14" s="17" t="s">
        <v>471</v>
      </c>
      <c r="B14" s="17" t="s">
        <v>345</v>
      </c>
      <c r="C14" s="17" t="s">
        <v>490</v>
      </c>
      <c r="D14" s="17" t="s">
        <v>489</v>
      </c>
      <c r="E14" s="17" t="s">
        <v>444</v>
      </c>
      <c r="F14" s="17" t="s">
        <v>492</v>
      </c>
      <c r="G14" s="17">
        <v>22</v>
      </c>
      <c r="I14" s="17" t="s">
        <v>349</v>
      </c>
      <c r="J14" s="17">
        <v>8511</v>
      </c>
      <c r="K14" s="17" t="s">
        <v>493</v>
      </c>
      <c r="L14" s="17" t="s">
        <v>351</v>
      </c>
      <c r="M14" s="17">
        <v>840122839</v>
      </c>
      <c r="N14" s="17" t="s">
        <v>459</v>
      </c>
      <c r="O14" s="17" t="s">
        <v>460</v>
      </c>
      <c r="P14" s="78" t="s">
        <v>494</v>
      </c>
      <c r="Q14" s="17" t="s">
        <v>469</v>
      </c>
    </row>
    <row r="15" spans="1:24" x14ac:dyDescent="0.25">
      <c r="A15" s="17" t="s">
        <v>472</v>
      </c>
      <c r="B15" s="86"/>
      <c r="C15" s="17" t="s">
        <v>500</v>
      </c>
      <c r="D15" s="17" t="s">
        <v>498</v>
      </c>
      <c r="E15" s="17" t="s">
        <v>499</v>
      </c>
      <c r="F15" s="17" t="s">
        <v>496</v>
      </c>
      <c r="G15" s="17">
        <v>26</v>
      </c>
      <c r="I15" s="17" t="s">
        <v>349</v>
      </c>
      <c r="J15" s="17">
        <v>2240</v>
      </c>
      <c r="K15" s="17" t="s">
        <v>497</v>
      </c>
      <c r="L15" s="17" t="s">
        <v>351</v>
      </c>
      <c r="M15" s="17">
        <v>643900747</v>
      </c>
      <c r="N15" s="17" t="s">
        <v>459</v>
      </c>
      <c r="O15" s="17" t="s">
        <v>460</v>
      </c>
      <c r="P15" s="17" t="s">
        <v>495</v>
      </c>
      <c r="Q15" s="17" t="s">
        <v>469</v>
      </c>
    </row>
    <row r="16" spans="1:24" x14ac:dyDescent="0.25">
      <c r="A16" s="17" t="s">
        <v>475</v>
      </c>
      <c r="B16" s="17" t="s">
        <v>503</v>
      </c>
      <c r="C16" s="17" t="s">
        <v>504</v>
      </c>
      <c r="D16" s="17" t="s">
        <v>501</v>
      </c>
      <c r="E16" s="17" t="s">
        <v>502</v>
      </c>
      <c r="F16" s="17" t="s">
        <v>505</v>
      </c>
      <c r="G16" s="17">
        <v>94</v>
      </c>
      <c r="H16" s="80" t="s">
        <v>506</v>
      </c>
      <c r="I16" s="17" t="s">
        <v>349</v>
      </c>
      <c r="J16" s="17">
        <v>1120</v>
      </c>
      <c r="K16" s="17" t="s">
        <v>507</v>
      </c>
      <c r="L16" s="17" t="s">
        <v>351</v>
      </c>
      <c r="M16" s="17">
        <v>402079252</v>
      </c>
      <c r="N16" s="17" t="s">
        <v>459</v>
      </c>
      <c r="O16" s="17" t="s">
        <v>460</v>
      </c>
      <c r="P16" s="78" t="s">
        <v>508</v>
      </c>
      <c r="Q16" s="17" t="s">
        <v>469</v>
      </c>
    </row>
    <row r="17" spans="1:18" x14ac:dyDescent="0.25">
      <c r="A17" s="17" t="s">
        <v>509</v>
      </c>
      <c r="B17" s="86"/>
      <c r="C17" s="17" t="s">
        <v>512</v>
      </c>
      <c r="D17" s="17" t="s">
        <v>510</v>
      </c>
      <c r="E17" s="17" t="s">
        <v>511</v>
      </c>
      <c r="F17" s="17" t="s">
        <v>513</v>
      </c>
      <c r="G17" s="17">
        <v>59</v>
      </c>
      <c r="H17" s="80">
        <v>12</v>
      </c>
      <c r="I17" s="17" t="s">
        <v>349</v>
      </c>
      <c r="J17" s="17">
        <v>2610</v>
      </c>
      <c r="K17" s="17" t="s">
        <v>373</v>
      </c>
      <c r="L17" s="17" t="s">
        <v>351</v>
      </c>
      <c r="M17" s="17">
        <v>430015252</v>
      </c>
      <c r="N17" s="17" t="s">
        <v>459</v>
      </c>
      <c r="O17" s="17" t="s">
        <v>460</v>
      </c>
      <c r="P17" s="78" t="s">
        <v>514</v>
      </c>
      <c r="Q17" s="17" t="s">
        <v>469</v>
      </c>
      <c r="R17" s="78" t="s">
        <v>515</v>
      </c>
    </row>
    <row r="18" spans="1:18" x14ac:dyDescent="0.25">
      <c r="A18" s="17" t="s">
        <v>516</v>
      </c>
      <c r="B18" s="17" t="s">
        <v>345</v>
      </c>
      <c r="C18" s="17" t="s">
        <v>476</v>
      </c>
      <c r="D18" s="17" t="s">
        <v>517</v>
      </c>
      <c r="E18" s="17" t="s">
        <v>518</v>
      </c>
      <c r="F18" s="17" t="s">
        <v>519</v>
      </c>
      <c r="G18" s="17">
        <v>98</v>
      </c>
      <c r="I18" s="17" t="s">
        <v>349</v>
      </c>
      <c r="J18" s="17">
        <v>1840</v>
      </c>
      <c r="K18" s="17" t="s">
        <v>405</v>
      </c>
      <c r="L18" s="17" t="s">
        <v>351</v>
      </c>
      <c r="M18" s="17">
        <v>828297846</v>
      </c>
      <c r="N18" s="17" t="s">
        <v>459</v>
      </c>
      <c r="O18" s="17" t="s">
        <v>460</v>
      </c>
      <c r="P18" s="78" t="s">
        <v>520</v>
      </c>
      <c r="Q18" s="17" t="s">
        <v>469</v>
      </c>
      <c r="R18" s="78" t="s">
        <v>521</v>
      </c>
    </row>
    <row r="19" spans="1:18" x14ac:dyDescent="0.25">
      <c r="A19" s="17" t="s">
        <v>522</v>
      </c>
      <c r="B19" s="17" t="s">
        <v>345</v>
      </c>
      <c r="C19" s="17" t="s">
        <v>97</v>
      </c>
      <c r="D19" s="17" t="s">
        <v>523</v>
      </c>
      <c r="E19" s="17" t="s">
        <v>524</v>
      </c>
      <c r="F19" s="17" t="s">
        <v>525</v>
      </c>
      <c r="G19" s="17">
        <v>90</v>
      </c>
      <c r="I19" s="17" t="s">
        <v>349</v>
      </c>
      <c r="J19" s="17">
        <v>2390</v>
      </c>
      <c r="K19" s="17" t="s">
        <v>394</v>
      </c>
      <c r="L19" s="17" t="s">
        <v>351</v>
      </c>
      <c r="M19" s="17">
        <v>506817476</v>
      </c>
      <c r="N19" s="17" t="s">
        <v>459</v>
      </c>
      <c r="O19" s="17" t="s">
        <v>460</v>
      </c>
      <c r="P19" s="78" t="s">
        <v>526</v>
      </c>
      <c r="Q19" s="17" t="s">
        <v>469</v>
      </c>
    </row>
    <row r="20" spans="1:18" ht="15.75" customHeight="1" x14ac:dyDescent="0.25">
      <c r="A20" s="77" t="s">
        <v>477</v>
      </c>
      <c r="B20" s="17" t="s">
        <v>527</v>
      </c>
      <c r="C20" s="17" t="s">
        <v>94</v>
      </c>
      <c r="D20" s="17" t="s">
        <v>528</v>
      </c>
      <c r="E20" s="17" t="s">
        <v>529</v>
      </c>
      <c r="F20" s="17" t="s">
        <v>530</v>
      </c>
      <c r="G20" s="17">
        <v>120</v>
      </c>
      <c r="H20" s="80">
        <v>1</v>
      </c>
      <c r="I20" s="17" t="s">
        <v>349</v>
      </c>
      <c r="J20" s="17">
        <v>2300</v>
      </c>
      <c r="K20" s="17" t="s">
        <v>531</v>
      </c>
      <c r="L20" s="17" t="s">
        <v>351</v>
      </c>
      <c r="M20" s="17">
        <v>888229790</v>
      </c>
      <c r="N20" s="17" t="s">
        <v>532</v>
      </c>
      <c r="O20" s="17" t="s">
        <v>533</v>
      </c>
      <c r="P20" s="78" t="s">
        <v>534</v>
      </c>
      <c r="Q20" s="17" t="s">
        <v>469</v>
      </c>
      <c r="R20" s="78" t="s">
        <v>535</v>
      </c>
    </row>
    <row r="21" spans="1:18" x14ac:dyDescent="0.25">
      <c r="A21" s="17" t="s">
        <v>34</v>
      </c>
      <c r="B21" s="86"/>
      <c r="C21" s="17" t="s">
        <v>491</v>
      </c>
      <c r="D21" s="17" t="s">
        <v>538</v>
      </c>
      <c r="E21" s="17" t="s">
        <v>539</v>
      </c>
      <c r="F21" s="17" t="s">
        <v>540</v>
      </c>
      <c r="G21" s="17">
        <v>8</v>
      </c>
      <c r="I21" s="17" t="s">
        <v>349</v>
      </c>
      <c r="J21" s="17">
        <v>2900</v>
      </c>
      <c r="K21" s="17" t="s">
        <v>541</v>
      </c>
      <c r="L21" s="17" t="s">
        <v>351</v>
      </c>
      <c r="M21" s="17">
        <v>877613240</v>
      </c>
      <c r="N21" s="17" t="s">
        <v>459</v>
      </c>
      <c r="O21" s="17" t="s">
        <v>460</v>
      </c>
      <c r="P21" s="78" t="s">
        <v>537</v>
      </c>
      <c r="Q21" s="17" t="s">
        <v>469</v>
      </c>
    </row>
    <row r="22" spans="1:18" x14ac:dyDescent="0.25">
      <c r="A22" s="17" t="s">
        <v>26</v>
      </c>
      <c r="B22" s="17" t="s">
        <v>345</v>
      </c>
      <c r="C22" s="17" t="s">
        <v>26</v>
      </c>
      <c r="D22" s="17" t="s">
        <v>542</v>
      </c>
      <c r="E22" s="17" t="s">
        <v>543</v>
      </c>
      <c r="F22" s="81" t="s">
        <v>544</v>
      </c>
      <c r="G22" s="17">
        <v>4</v>
      </c>
      <c r="I22" s="17" t="s">
        <v>349</v>
      </c>
      <c r="J22" s="17">
        <v>2800</v>
      </c>
      <c r="K22" s="17" t="s">
        <v>545</v>
      </c>
      <c r="L22" s="17" t="s">
        <v>351</v>
      </c>
      <c r="M22" s="17">
        <v>844042530</v>
      </c>
      <c r="N22" s="17" t="s">
        <v>459</v>
      </c>
      <c r="O22" s="17" t="s">
        <v>460</v>
      </c>
      <c r="P22" s="78" t="s">
        <v>546</v>
      </c>
      <c r="Q22" s="17" t="s">
        <v>469</v>
      </c>
    </row>
    <row r="23" spans="1:18" x14ac:dyDescent="0.25">
      <c r="A23" s="17" t="s">
        <v>99</v>
      </c>
      <c r="B23" s="17" t="s">
        <v>345</v>
      </c>
      <c r="F23" s="81"/>
      <c r="P23" s="78"/>
    </row>
    <row r="24" spans="1:18" x14ac:dyDescent="0.25">
      <c r="A24" s="17" t="s">
        <v>635</v>
      </c>
      <c r="B24" s="17" t="s">
        <v>345</v>
      </c>
      <c r="C24" s="17" t="s">
        <v>636</v>
      </c>
      <c r="D24" s="17" t="s">
        <v>637</v>
      </c>
      <c r="E24" s="17" t="s">
        <v>638</v>
      </c>
      <c r="F24" s="81" t="s">
        <v>639</v>
      </c>
      <c r="G24" s="17">
        <v>2</v>
      </c>
      <c r="I24" s="17" t="s">
        <v>349</v>
      </c>
      <c r="J24" s="17">
        <v>2547</v>
      </c>
      <c r="K24" s="17" t="s">
        <v>640</v>
      </c>
      <c r="L24" s="17" t="s">
        <v>351</v>
      </c>
      <c r="M24" s="17" t="s">
        <v>641</v>
      </c>
      <c r="N24" s="17" t="s">
        <v>459</v>
      </c>
      <c r="O24" s="17" t="s">
        <v>460</v>
      </c>
      <c r="P24" s="78" t="s">
        <v>642</v>
      </c>
      <c r="Q24" s="17" t="s">
        <v>354</v>
      </c>
      <c r="R24" s="17" t="s">
        <v>643</v>
      </c>
    </row>
    <row r="25" spans="1:18" ht="30" x14ac:dyDescent="0.25">
      <c r="A25" s="17" t="s">
        <v>660</v>
      </c>
      <c r="B25" s="17" t="s">
        <v>503</v>
      </c>
      <c r="C25" s="17" t="s">
        <v>661</v>
      </c>
      <c r="D25" s="17" t="s">
        <v>662</v>
      </c>
      <c r="E25" s="17" t="s">
        <v>661</v>
      </c>
      <c r="F25" s="17" t="s">
        <v>663</v>
      </c>
      <c r="G25" s="17">
        <v>3</v>
      </c>
      <c r="I25" s="17" t="s">
        <v>349</v>
      </c>
      <c r="J25" s="17">
        <v>2260</v>
      </c>
      <c r="K25" s="17" t="s">
        <v>664</v>
      </c>
      <c r="L25" s="17" t="s">
        <v>351</v>
      </c>
      <c r="M25" s="17" t="s">
        <v>665</v>
      </c>
      <c r="N25" s="17" t="s">
        <v>459</v>
      </c>
      <c r="O25" s="17" t="s">
        <v>460</v>
      </c>
      <c r="P25" s="78" t="s">
        <v>666</v>
      </c>
      <c r="Q25" s="17" t="s">
        <v>354</v>
      </c>
    </row>
    <row r="26" spans="1:18" x14ac:dyDescent="0.25">
      <c r="P26" s="78"/>
    </row>
    <row r="27" spans="1:18" x14ac:dyDescent="0.25">
      <c r="F27" s="81"/>
      <c r="P27" s="78"/>
    </row>
    <row r="28" spans="1:18" x14ac:dyDescent="0.25">
      <c r="F28" s="81"/>
      <c r="P28" s="78"/>
    </row>
    <row r="29" spans="1:18" x14ac:dyDescent="0.25">
      <c r="F29" s="81"/>
      <c r="P29" s="78"/>
    </row>
    <row r="30" spans="1:18" x14ac:dyDescent="0.25">
      <c r="F30" s="81"/>
      <c r="P30" s="78"/>
    </row>
    <row r="31" spans="1:18" x14ac:dyDescent="0.25">
      <c r="F31" s="81"/>
      <c r="P31" s="78"/>
    </row>
    <row r="32" spans="1:18" x14ac:dyDescent="0.25">
      <c r="F32" s="81"/>
      <c r="P32" s="78"/>
    </row>
    <row r="33" spans="6:16" x14ac:dyDescent="0.25">
      <c r="F33" s="81"/>
      <c r="P33" s="78"/>
    </row>
    <row r="34" spans="6:16" x14ac:dyDescent="0.25">
      <c r="F34" s="81"/>
      <c r="P34" s="78"/>
    </row>
    <row r="35" spans="6:16" x14ac:dyDescent="0.25">
      <c r="F35" s="81"/>
      <c r="P35" s="78"/>
    </row>
    <row r="36" spans="6:16" x14ac:dyDescent="0.25">
      <c r="F36" s="81"/>
      <c r="P36" s="78"/>
    </row>
    <row r="37" spans="6:16" x14ac:dyDescent="0.25">
      <c r="F37" s="81"/>
      <c r="P37" s="78"/>
    </row>
    <row r="38" spans="6:16" x14ac:dyDescent="0.25">
      <c r="F38" s="81"/>
      <c r="P38" s="78"/>
    </row>
    <row r="39" spans="6:16" x14ac:dyDescent="0.25">
      <c r="F39" s="81"/>
      <c r="P39" s="78"/>
    </row>
    <row r="40" spans="6:16" x14ac:dyDescent="0.25">
      <c r="F40" s="81"/>
      <c r="P40" s="78"/>
    </row>
    <row r="41" spans="6:16" x14ac:dyDescent="0.25">
      <c r="F41" s="81"/>
      <c r="P41" s="78"/>
    </row>
    <row r="42" spans="6:16" x14ac:dyDescent="0.25">
      <c r="F42" s="81"/>
      <c r="P42" s="78"/>
    </row>
    <row r="43" spans="6:16" x14ac:dyDescent="0.25">
      <c r="F43" s="81"/>
      <c r="P43" s="78"/>
    </row>
    <row r="44" spans="6:16" x14ac:dyDescent="0.25">
      <c r="F44" s="81"/>
      <c r="P44" s="78"/>
    </row>
    <row r="45" spans="6:16" x14ac:dyDescent="0.25">
      <c r="F45" s="81"/>
      <c r="P45" s="78"/>
    </row>
    <row r="46" spans="6:16" x14ac:dyDescent="0.25">
      <c r="F46" s="81"/>
      <c r="P46" s="78"/>
    </row>
    <row r="47" spans="6:16" x14ac:dyDescent="0.25">
      <c r="F47" s="81"/>
      <c r="P47" s="78"/>
    </row>
    <row r="48" spans="6:16" x14ac:dyDescent="0.25">
      <c r="F48" s="81"/>
      <c r="P48" s="78"/>
    </row>
    <row r="49" spans="6:16" x14ac:dyDescent="0.25">
      <c r="F49" s="81"/>
      <c r="P49" s="78"/>
    </row>
    <row r="50" spans="6:16" x14ac:dyDescent="0.25">
      <c r="F50" s="81"/>
      <c r="P50" s="78"/>
    </row>
    <row r="51" spans="6:16" x14ac:dyDescent="0.25">
      <c r="F51" s="81"/>
      <c r="P51" s="78"/>
    </row>
    <row r="52" spans="6:16" x14ac:dyDescent="0.25">
      <c r="F52" s="81"/>
      <c r="P52" s="78"/>
    </row>
    <row r="53" spans="6:16" x14ac:dyDescent="0.25">
      <c r="F53" s="81"/>
      <c r="P53" s="78"/>
    </row>
    <row r="54" spans="6:16" x14ac:dyDescent="0.25">
      <c r="F54" s="81"/>
      <c r="P54" s="78"/>
    </row>
    <row r="55" spans="6:16" x14ac:dyDescent="0.25">
      <c r="F55" s="81"/>
      <c r="P55" s="78"/>
    </row>
    <row r="56" spans="6:16" x14ac:dyDescent="0.25">
      <c r="F56" s="81"/>
      <c r="P56" s="78"/>
    </row>
    <row r="57" spans="6:16" x14ac:dyDescent="0.25">
      <c r="F57" s="81"/>
      <c r="P57" s="78"/>
    </row>
    <row r="58" spans="6:16" x14ac:dyDescent="0.25">
      <c r="F58" s="81"/>
      <c r="P58" s="78"/>
    </row>
    <row r="59" spans="6:16" x14ac:dyDescent="0.25">
      <c r="F59" s="81"/>
      <c r="P59" s="78"/>
    </row>
    <row r="60" spans="6:16" x14ac:dyDescent="0.25">
      <c r="F60" s="81"/>
      <c r="P60" s="78"/>
    </row>
    <row r="61" spans="6:16" x14ac:dyDescent="0.25">
      <c r="F61" s="81"/>
      <c r="P61" s="78"/>
    </row>
    <row r="62" spans="6:16" x14ac:dyDescent="0.25">
      <c r="F62" s="81"/>
      <c r="P62" s="78"/>
    </row>
  </sheetData>
  <autoFilter ref="A1:X22" xr:uid="{BB7CAC6E-B8EC-4B71-A93A-6C9AC44DEB43}"/>
  <sortState xmlns:xlrd2="http://schemas.microsoft.com/office/spreadsheetml/2017/richdata2" ref="A2:X11">
    <sortCondition ref="A2"/>
  </sortState>
  <hyperlinks>
    <hyperlink ref="Q8" r:id="rId1" xr:uid="{2B98AF1F-D083-4380-BB1C-88F51D38F6E1}"/>
    <hyperlink ref="P8" r:id="rId2" xr:uid="{4CF17838-8C75-4019-8FDF-702E800A1708}"/>
    <hyperlink ref="R7" r:id="rId3" xr:uid="{2C02CFA4-85F2-410E-B9D2-2B879745228B}"/>
    <hyperlink ref="S7" r:id="rId4" xr:uid="{20DCDDC1-3DA8-4486-AA97-B3D3009021E7}"/>
    <hyperlink ref="Q7" r:id="rId5" xr:uid="{4947EE33-AD34-405E-9F7C-554CED7334F8}"/>
    <hyperlink ref="P4" r:id="rId6" xr:uid="{3D09DD18-4B48-49F6-959B-4D23A2B7D7DE}"/>
    <hyperlink ref="Q4" r:id="rId7" xr:uid="{40B7D4A4-C2D4-48B9-9ED2-DE18E97B8BDD}"/>
    <hyperlink ref="P10" r:id="rId8" xr:uid="{0DE30659-F1B6-45FA-9E2B-3EE22CF3F165}"/>
    <hyperlink ref="Q10" r:id="rId9" xr:uid="{A5A658E5-3062-45A4-8789-F632C8C5F304}"/>
    <hyperlink ref="R10" r:id="rId10" xr:uid="{52C4C069-4A37-4898-90F7-6E0D6D028A88}"/>
    <hyperlink ref="P9" r:id="rId11" xr:uid="{8BCEE554-90B4-44CE-BC36-CDDCC76C2DBB}"/>
    <hyperlink ref="Q9" r:id="rId12" xr:uid="{CD09361C-986B-463A-8631-2F90DE5A2A65}"/>
    <hyperlink ref="P3" r:id="rId13" xr:uid="{B37C8DDF-0666-48E1-9B2D-9E3C367EF0D6}"/>
    <hyperlink ref="Q7:Q10" r:id="rId14" display="ilse@ariadnebvba.be" xr:uid="{AAD33770-BD91-4517-B17C-D3B8AEC1C344}"/>
    <hyperlink ref="P14" r:id="rId15" xr:uid="{C5DC699E-B66A-4B99-B51F-34CB8EB6C53E}"/>
    <hyperlink ref="P16" r:id="rId16" xr:uid="{FD8C65A3-9EB9-4D1A-9CC9-85662FBFDB3F}"/>
    <hyperlink ref="P17" r:id="rId17" xr:uid="{83429EC1-C640-49B8-B5B1-2D32A1ED6086}"/>
    <hyperlink ref="R17" r:id="rId18" xr:uid="{A0C9B9F1-4D86-4338-9626-64770903BE61}"/>
    <hyperlink ref="P18" r:id="rId19" xr:uid="{E84DCF86-A9E0-4EA2-BFB8-DD013FAF1CE1}"/>
    <hyperlink ref="R18" r:id="rId20" xr:uid="{76A45E63-EAC4-4DB2-A1DA-C0E9A3829E20}"/>
    <hyperlink ref="P19" r:id="rId21" xr:uid="{8109271E-D2CF-48D7-AECE-FA1C9957C80A}"/>
    <hyperlink ref="P20" r:id="rId22" xr:uid="{C1705683-FBE0-439F-B8DF-ED2CC63199F3}"/>
    <hyperlink ref="R20" r:id="rId23" xr:uid="{D0E4C479-F798-4BB2-BF83-4DFB861C8DC3}"/>
    <hyperlink ref="P21" r:id="rId24" xr:uid="{276C52BA-695E-49E7-A103-791B61F8E9C5}"/>
    <hyperlink ref="P22" r:id="rId25" xr:uid="{910DDE39-AB35-4C4A-9213-7784C785D101}"/>
    <hyperlink ref="R2" r:id="rId26" xr:uid="{E55FFD90-81ED-426B-A22A-F5687D49A298}"/>
    <hyperlink ref="P6" r:id="rId27" xr:uid="{9E0C7D84-E53D-4346-B9BF-F125AC769EB1}"/>
    <hyperlink ref="P2" r:id="rId28" xr:uid="{0E95733F-5FF1-4472-BD48-214928AF0E6C}"/>
    <hyperlink ref="P7" r:id="rId29" xr:uid="{55148D46-8B62-41EA-89A7-9EFA10C912C4}"/>
  </hyperlinks>
  <pageMargins left="0.7" right="0.7" top="0.75" bottom="0.75" header="0.3" footer="0.3"/>
  <pageSetup paperSize="9" orientation="portrait" r:id="rId30"/>
  <drawing r:id="rId31"/>
  <legacyDrawing r:id="rId32"/>
  <controls>
    <mc:AlternateContent xmlns:mc="http://schemas.openxmlformats.org/markup-compatibility/2006">
      <mc:Choice Requires="x14">
        <control shapeId="4097" r:id="rId33" name="CommandButton1">
          <controlPr defaultSize="0" autoLine="0" r:id="rId3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457200</xdr:colOff>
                <xdr:row>0</xdr:row>
                <xdr:rowOff>371475</xdr:rowOff>
              </to>
            </anchor>
          </controlPr>
        </control>
      </mc:Choice>
      <mc:Fallback>
        <control shapeId="4097" r:id="rId3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E7F7-E3FE-4F89-AB32-F3A5D5B816C1}">
  <sheetPr codeName="Datasheet"/>
  <dimension ref="A1:AA8"/>
  <sheetViews>
    <sheetView tabSelected="1" workbookViewId="0">
      <selection activeCell="K15" sqref="K15"/>
    </sheetView>
  </sheetViews>
  <sheetFormatPr defaultRowHeight="15" x14ac:dyDescent="0.25"/>
  <cols>
    <col min="1" max="1" width="14.7109375" bestFit="1" customWidth="1"/>
    <col min="2" max="2" width="9.140625" hidden="1" customWidth="1"/>
    <col min="3" max="5" width="8.85546875" hidden="1" customWidth="1"/>
    <col min="6" max="6" width="13.7109375" style="39" bestFit="1" customWidth="1"/>
    <col min="7" max="7" width="9.5703125" bestFit="1" customWidth="1"/>
    <col min="8" max="8" width="12" bestFit="1" customWidth="1"/>
    <col min="9" max="10" width="8.85546875" hidden="1" customWidth="1"/>
    <col min="11" max="11" width="11.28515625" style="39" bestFit="1" customWidth="1"/>
    <col min="12" max="12" width="11" bestFit="1" customWidth="1"/>
    <col min="13" max="15" width="8.85546875" hidden="1" customWidth="1"/>
    <col min="16" max="16" width="15.28515625" style="39" bestFit="1" customWidth="1"/>
    <col min="17" max="17" width="14.7109375" bestFit="1" customWidth="1"/>
    <col min="18" max="19" width="8.85546875" hidden="1" customWidth="1"/>
    <col min="20" max="20" width="8.85546875" style="39" hidden="1" customWidth="1"/>
    <col min="21" max="21" width="13.7109375" style="39" bestFit="1" customWidth="1"/>
    <col min="22" max="22" width="40.28515625" bestFit="1" customWidth="1"/>
    <col min="23" max="25" width="8.85546875" hidden="1" customWidth="1"/>
  </cols>
  <sheetData>
    <row r="1" spans="1:27" ht="29.45" customHeight="1" x14ac:dyDescent="0.25">
      <c r="A1" s="282" t="s">
        <v>320</v>
      </c>
      <c r="B1" s="282"/>
      <c r="C1" s="282"/>
      <c r="D1" s="282"/>
      <c r="E1" s="282"/>
      <c r="F1" s="282" t="s">
        <v>435</v>
      </c>
      <c r="G1" s="282"/>
      <c r="H1" s="282"/>
      <c r="I1" s="282"/>
      <c r="J1" s="282"/>
      <c r="K1" s="282" t="s">
        <v>1</v>
      </c>
      <c r="L1" s="282"/>
      <c r="M1" s="282"/>
      <c r="N1" s="282"/>
      <c r="O1" s="282"/>
      <c r="P1" s="282" t="s">
        <v>447</v>
      </c>
      <c r="Q1" s="282"/>
      <c r="R1" s="282"/>
      <c r="S1" s="282"/>
      <c r="T1" s="282"/>
      <c r="U1" s="282" t="s">
        <v>450</v>
      </c>
      <c r="V1" s="282"/>
      <c r="W1" s="282"/>
      <c r="X1" s="282"/>
      <c r="Y1" s="282"/>
    </row>
    <row r="2" spans="1:27" x14ac:dyDescent="0.25">
      <c r="A2" s="36" t="s">
        <v>320</v>
      </c>
      <c r="B2" s="36"/>
      <c r="C2" s="36"/>
      <c r="D2" s="36"/>
      <c r="E2" s="36"/>
      <c r="F2" s="36" t="s">
        <v>434</v>
      </c>
      <c r="G2" s="36" t="s">
        <v>436</v>
      </c>
      <c r="H2" s="36" t="s">
        <v>437</v>
      </c>
      <c r="I2" s="36"/>
      <c r="J2" s="36"/>
      <c r="K2" s="40" t="s">
        <v>445</v>
      </c>
      <c r="L2" s="36" t="s">
        <v>431</v>
      </c>
      <c r="M2" s="36"/>
      <c r="N2" s="36"/>
      <c r="O2" s="36"/>
      <c r="P2" s="40" t="s">
        <v>448</v>
      </c>
      <c r="Q2" s="36" t="s">
        <v>449</v>
      </c>
      <c r="R2" s="36"/>
      <c r="S2" s="36"/>
      <c r="T2" s="40"/>
      <c r="U2" s="40" t="s">
        <v>425</v>
      </c>
      <c r="V2" s="36" t="s">
        <v>451</v>
      </c>
      <c r="W2" s="36"/>
      <c r="X2" s="36"/>
      <c r="Y2" s="36"/>
    </row>
    <row r="3" spans="1:27" x14ac:dyDescent="0.25">
      <c r="A3" t="s">
        <v>321</v>
      </c>
      <c r="F3" s="39" t="s">
        <v>21</v>
      </c>
      <c r="G3" t="s">
        <v>438</v>
      </c>
      <c r="H3" t="s">
        <v>442</v>
      </c>
      <c r="K3" s="46" t="s">
        <v>16</v>
      </c>
      <c r="L3" s="41" t="s">
        <v>422</v>
      </c>
      <c r="P3" s="39" t="s">
        <v>12</v>
      </c>
      <c r="Q3" t="s">
        <v>36</v>
      </c>
      <c r="U3" s="39" t="s">
        <v>426</v>
      </c>
      <c r="V3" t="s">
        <v>427</v>
      </c>
    </row>
    <row r="4" spans="1:27" x14ac:dyDescent="0.25">
      <c r="A4" s="42" t="s">
        <v>54</v>
      </c>
      <c r="F4" s="46" t="s">
        <v>6</v>
      </c>
      <c r="G4" t="s">
        <v>439</v>
      </c>
      <c r="H4" t="s">
        <v>443</v>
      </c>
      <c r="K4" s="39" t="s">
        <v>7</v>
      </c>
      <c r="L4" s="41" t="s">
        <v>446</v>
      </c>
      <c r="P4" s="39" t="s">
        <v>722</v>
      </c>
      <c r="Q4" t="s">
        <v>8</v>
      </c>
      <c r="U4" s="39" t="s">
        <v>457</v>
      </c>
      <c r="V4" t="s">
        <v>428</v>
      </c>
      <c r="AA4" t="s">
        <v>452</v>
      </c>
    </row>
    <row r="5" spans="1:27" x14ac:dyDescent="0.25">
      <c r="A5" t="s">
        <v>322</v>
      </c>
      <c r="F5" s="39" t="s">
        <v>135</v>
      </c>
      <c r="G5" t="s">
        <v>363</v>
      </c>
      <c r="H5" t="s">
        <v>364</v>
      </c>
      <c r="P5" s="46" t="s">
        <v>13</v>
      </c>
      <c r="Q5" t="s">
        <v>423</v>
      </c>
      <c r="U5" s="39" t="s">
        <v>429</v>
      </c>
      <c r="V5" t="s">
        <v>430</v>
      </c>
      <c r="AA5" t="s">
        <v>453</v>
      </c>
    </row>
    <row r="6" spans="1:27" x14ac:dyDescent="0.25">
      <c r="F6" s="39" t="s">
        <v>27</v>
      </c>
      <c r="G6" t="s">
        <v>440</v>
      </c>
      <c r="H6" t="s">
        <v>444</v>
      </c>
      <c r="P6" s="39" t="s">
        <v>19</v>
      </c>
      <c r="Q6" t="s">
        <v>424</v>
      </c>
      <c r="U6" s="46" t="s">
        <v>459</v>
      </c>
      <c r="V6" t="s">
        <v>460</v>
      </c>
      <c r="AA6" t="s">
        <v>454</v>
      </c>
    </row>
    <row r="7" spans="1:27" x14ac:dyDescent="0.25">
      <c r="F7" s="39" t="s">
        <v>133</v>
      </c>
      <c r="G7" t="s">
        <v>441</v>
      </c>
      <c r="H7" t="s">
        <v>461</v>
      </c>
      <c r="P7" s="39" t="s">
        <v>723</v>
      </c>
      <c r="Q7" t="s">
        <v>612</v>
      </c>
      <c r="AA7" t="s">
        <v>455</v>
      </c>
    </row>
    <row r="8" spans="1:27" x14ac:dyDescent="0.25">
      <c r="AA8" t="s">
        <v>456</v>
      </c>
    </row>
  </sheetData>
  <mergeCells count="5">
    <mergeCell ref="A1:E1"/>
    <mergeCell ref="F1:J1"/>
    <mergeCell ref="K1:O1"/>
    <mergeCell ref="P1:T1"/>
    <mergeCell ref="U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HideEmptyColumns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962025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2470E-A228-4188-9F78-88185489D640}">
  <sheetPr codeName="Sheet2"/>
  <dimension ref="A1:G25"/>
  <sheetViews>
    <sheetView workbookViewId="0">
      <selection activeCell="B24" sqref="B24"/>
    </sheetView>
  </sheetViews>
  <sheetFormatPr defaultRowHeight="15" x14ac:dyDescent="0.25"/>
  <cols>
    <col min="1" max="1" width="21.7109375" bestFit="1" customWidth="1"/>
  </cols>
  <sheetData>
    <row r="1" spans="1:7" x14ac:dyDescent="0.25">
      <c r="A1" s="165" t="s">
        <v>658</v>
      </c>
      <c r="B1" s="165" t="s">
        <v>6</v>
      </c>
      <c r="C1" s="165" t="s">
        <v>21</v>
      </c>
      <c r="D1" s="165" t="s">
        <v>133</v>
      </c>
      <c r="E1" s="165" t="s">
        <v>135</v>
      </c>
      <c r="F1" s="165" t="s">
        <v>659</v>
      </c>
      <c r="G1" s="165" t="s">
        <v>27</v>
      </c>
    </row>
    <row r="2" spans="1:7" x14ac:dyDescent="0.25">
      <c r="A2" t="str">
        <f>Contactsheet!A2</f>
        <v>Advas</v>
      </c>
      <c r="C2" s="162"/>
    </row>
    <row r="3" spans="1:7" x14ac:dyDescent="0.25">
      <c r="A3" t="str">
        <f>Contactsheet!A3</f>
        <v xml:space="preserve">Bakkerij David </v>
      </c>
      <c r="B3" s="163"/>
    </row>
    <row r="4" spans="1:7" x14ac:dyDescent="0.25">
      <c r="A4" t="str">
        <f>Contactsheet!A4</f>
        <v>BYTA Comm.V</v>
      </c>
      <c r="E4" s="162"/>
    </row>
    <row r="5" spans="1:7" x14ac:dyDescent="0.25">
      <c r="A5" t="str">
        <f>Contactsheet!A5</f>
        <v>Consilo</v>
      </c>
      <c r="C5" s="163"/>
    </row>
    <row r="6" spans="1:7" x14ac:dyDescent="0.25">
      <c r="A6" t="str">
        <f>Contactsheet!A6</f>
        <v>DMV Advies</v>
      </c>
      <c r="C6" s="163"/>
    </row>
    <row r="7" spans="1:7" x14ac:dyDescent="0.25">
      <c r="A7" t="str">
        <f>Contactsheet!A7</f>
        <v>Eagle IT</v>
      </c>
      <c r="B7" s="162"/>
    </row>
    <row r="8" spans="1:7" x14ac:dyDescent="0.25">
      <c r="A8" t="str">
        <f>Contactsheet!A8</f>
        <v>Endo Projects</v>
      </c>
      <c r="B8" s="164"/>
    </row>
    <row r="9" spans="1:7" x14ac:dyDescent="0.25">
      <c r="A9" t="str">
        <f>Contactsheet!A9</f>
        <v>Erie Water Treatment</v>
      </c>
      <c r="B9" s="162"/>
    </row>
    <row r="10" spans="1:7" x14ac:dyDescent="0.25">
      <c r="A10" t="str">
        <f>Contactsheet!A10</f>
        <v>Laboratoria Smeets</v>
      </c>
      <c r="B10" s="163"/>
    </row>
    <row r="11" spans="1:7" x14ac:dyDescent="0.25">
      <c r="A11" t="str">
        <f>Contactsheet!A11</f>
        <v>Pro Mackx</v>
      </c>
      <c r="F11" s="162"/>
    </row>
    <row r="12" spans="1:7" x14ac:dyDescent="0.25">
      <c r="A12" t="str">
        <f>Contactsheet!A12</f>
        <v>EMDS</v>
      </c>
      <c r="B12" s="162"/>
    </row>
    <row r="13" spans="1:7" x14ac:dyDescent="0.25">
      <c r="A13" t="str">
        <f>Contactsheet!A13</f>
        <v>Louis Culot</v>
      </c>
      <c r="F13" s="162"/>
    </row>
    <row r="14" spans="1:7" x14ac:dyDescent="0.25">
      <c r="A14" t="str">
        <f>Contactsheet!A14</f>
        <v>BetoWest</v>
      </c>
      <c r="B14" s="163"/>
    </row>
    <row r="15" spans="1:7" x14ac:dyDescent="0.25">
      <c r="A15" t="str">
        <f>Contactsheet!A15</f>
        <v>UltraZonic</v>
      </c>
      <c r="B15" s="163"/>
    </row>
    <row r="16" spans="1:7" x14ac:dyDescent="0.25">
      <c r="A16" t="str">
        <f>Contactsheet!A16</f>
        <v xml:space="preserve">Vitesske </v>
      </c>
      <c r="D16" s="162"/>
    </row>
    <row r="17" spans="1:7" x14ac:dyDescent="0.25">
      <c r="A17" t="str">
        <f>Contactsheet!A17</f>
        <v>ALSO-group</v>
      </c>
      <c r="B17" s="163"/>
    </row>
    <row r="18" spans="1:7" x14ac:dyDescent="0.25">
      <c r="A18" t="str">
        <f>Contactsheet!A18</f>
        <v>Vlaeminck &amp; Co</v>
      </c>
      <c r="G18" s="162"/>
    </row>
    <row r="19" spans="1:7" x14ac:dyDescent="0.25">
      <c r="A19" t="str">
        <f>Contactsheet!A19</f>
        <v xml:space="preserve">Mercator Cleaning </v>
      </c>
      <c r="C19" s="163"/>
    </row>
    <row r="20" spans="1:7" x14ac:dyDescent="0.25">
      <c r="A20" t="str">
        <f>Contactsheet!A20</f>
        <v>Robrechts &amp; Thienpont</v>
      </c>
      <c r="C20" s="163"/>
    </row>
    <row r="21" spans="1:7" x14ac:dyDescent="0.25">
      <c r="A21" t="str">
        <f>Contactsheet!A21</f>
        <v xml:space="preserve">Solid Networks </v>
      </c>
      <c r="B21" s="162"/>
    </row>
    <row r="22" spans="1:7" x14ac:dyDescent="0.25">
      <c r="A22" t="str">
        <f>Contactsheet!A22</f>
        <v>Roolit</v>
      </c>
      <c r="B22" s="163"/>
    </row>
    <row r="23" spans="1:7" x14ac:dyDescent="0.25">
      <c r="A23" t="str">
        <f>Contactsheet!A23</f>
        <v>Ariadne</v>
      </c>
      <c r="B23" s="162"/>
    </row>
    <row r="24" spans="1:7" x14ac:dyDescent="0.25">
      <c r="A24" t="str">
        <f>Contactsheet!A24</f>
        <v>DeHuisVerbouwer</v>
      </c>
      <c r="B24" s="162"/>
    </row>
    <row r="25" spans="1:7" x14ac:dyDescent="0.25">
      <c r="A25" t="str">
        <f>Contactsheet!A25</f>
        <v xml:space="preserve">Smet Jet </v>
      </c>
      <c r="B25" s="163"/>
    </row>
  </sheetData>
  <autoFilter ref="A1:G1" xr:uid="{2F70EFC0-F276-4BC1-89E0-86AAB207FACA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B6252-4B43-421D-B98A-E8577A076DA5}">
  <sheetPr codeName="Blad1"/>
  <dimension ref="B1:Q15"/>
  <sheetViews>
    <sheetView workbookViewId="0">
      <selection activeCell="L31" sqref="L31"/>
    </sheetView>
  </sheetViews>
  <sheetFormatPr defaultRowHeight="15" x14ac:dyDescent="0.25"/>
  <cols>
    <col min="2" max="2" width="12" customWidth="1"/>
    <col min="3" max="3" width="15.28515625" customWidth="1"/>
    <col min="15" max="15" width="8.85546875" bestFit="1" customWidth="1"/>
    <col min="16" max="16" width="6.85546875" bestFit="1" customWidth="1"/>
    <col min="17" max="17" width="25.28515625" bestFit="1" customWidth="1"/>
  </cols>
  <sheetData>
    <row r="1" spans="2:17" ht="15.75" thickBot="1" x14ac:dyDescent="0.3">
      <c r="B1" s="4"/>
      <c r="C1" s="4"/>
      <c r="D1" s="4"/>
      <c r="H1" s="100"/>
      <c r="I1" s="100"/>
      <c r="J1" s="4"/>
      <c r="K1" s="4"/>
      <c r="L1" s="4"/>
      <c r="M1" s="4"/>
      <c r="N1" s="4"/>
      <c r="O1" s="101">
        <v>0.17499999999999999</v>
      </c>
      <c r="P1" s="101">
        <v>7.4999999999999997E-2</v>
      </c>
    </row>
    <row r="2" spans="2:17" ht="45.75" thickBot="1" x14ac:dyDescent="0.3">
      <c r="B2" s="102" t="s">
        <v>590</v>
      </c>
      <c r="C2" s="102" t="s">
        <v>591</v>
      </c>
      <c r="D2" s="4"/>
      <c r="E2" s="102" t="s">
        <v>592</v>
      </c>
      <c r="F2" s="102" t="s">
        <v>593</v>
      </c>
      <c r="H2" s="103" t="s">
        <v>594</v>
      </c>
      <c r="I2" s="104" t="s">
        <v>478</v>
      </c>
      <c r="J2" s="105" t="s">
        <v>4</v>
      </c>
      <c r="K2" s="105" t="s">
        <v>595</v>
      </c>
      <c r="L2" s="105" t="s">
        <v>596</v>
      </c>
      <c r="M2" s="105" t="s">
        <v>597</v>
      </c>
      <c r="N2" s="105" t="s">
        <v>598</v>
      </c>
      <c r="O2" s="105" t="s">
        <v>599</v>
      </c>
      <c r="P2" s="105" t="s">
        <v>600</v>
      </c>
      <c r="Q2" s="106" t="s">
        <v>601</v>
      </c>
    </row>
    <row r="3" spans="2:17" ht="15.75" thickBot="1" x14ac:dyDescent="0.3">
      <c r="B3" s="125">
        <v>1050</v>
      </c>
      <c r="C3" s="125">
        <v>1300</v>
      </c>
      <c r="D3" s="4"/>
      <c r="E3" s="125">
        <f>C3-B3</f>
        <v>250</v>
      </c>
      <c r="F3" s="127">
        <f>E3/C3</f>
        <v>0.19230769230769232</v>
      </c>
      <c r="H3" s="103"/>
      <c r="I3" s="104"/>
      <c r="J3" s="105"/>
      <c r="K3" s="105"/>
      <c r="L3" s="105"/>
      <c r="M3" s="105"/>
      <c r="N3" s="105"/>
      <c r="O3" s="105"/>
      <c r="P3" s="105"/>
      <c r="Q3" s="106"/>
    </row>
    <row r="4" spans="2:17" x14ac:dyDescent="0.25">
      <c r="B4" s="125">
        <v>950</v>
      </c>
      <c r="C4" s="125">
        <v>1200</v>
      </c>
      <c r="D4" s="126"/>
      <c r="E4" s="125">
        <f>C4-B4</f>
        <v>250</v>
      </c>
      <c r="F4" s="127">
        <f>E4/C4</f>
        <v>0.20833333333333334</v>
      </c>
      <c r="G4" s="4"/>
      <c r="H4" s="108" t="s">
        <v>602</v>
      </c>
      <c r="I4" s="109" t="s">
        <v>603</v>
      </c>
      <c r="J4" s="110">
        <v>700</v>
      </c>
      <c r="K4" s="110">
        <v>900</v>
      </c>
      <c r="L4" s="110">
        <v>35</v>
      </c>
      <c r="M4" s="111">
        <f>L4*K4</f>
        <v>31500</v>
      </c>
      <c r="N4" s="111">
        <f>(K4-J4)*L4</f>
        <v>7000</v>
      </c>
      <c r="O4" s="112"/>
      <c r="P4" s="112">
        <f>(N4+N5)*P1</f>
        <v>750</v>
      </c>
      <c r="Q4" s="113">
        <f>J4*L4+O4+P4</f>
        <v>25250</v>
      </c>
    </row>
    <row r="5" spans="2:17" x14ac:dyDescent="0.25">
      <c r="B5" s="125">
        <v>900</v>
      </c>
      <c r="C5" s="125">
        <v>1150</v>
      </c>
      <c r="D5" s="126"/>
      <c r="E5" s="125">
        <f t="shared" ref="E5:E15" si="0">C5-B5</f>
        <v>250</v>
      </c>
      <c r="F5" s="127">
        <f t="shared" ref="F5:F15" si="1">E5/C5</f>
        <v>0.21739130434782608</v>
      </c>
      <c r="G5" s="4"/>
      <c r="H5" s="114" t="s">
        <v>604</v>
      </c>
      <c r="I5" s="115" t="s">
        <v>605</v>
      </c>
      <c r="J5" s="107">
        <v>450</v>
      </c>
      <c r="K5" s="107">
        <v>650</v>
      </c>
      <c r="L5" s="107">
        <v>15</v>
      </c>
      <c r="M5" s="116">
        <f>L5*K5</f>
        <v>9750</v>
      </c>
      <c r="N5" s="116">
        <f>(K5-J5)*L5</f>
        <v>3000</v>
      </c>
      <c r="O5" s="117"/>
      <c r="P5" s="117"/>
      <c r="Q5" s="118">
        <f>J5*L5+O5+P5</f>
        <v>6750</v>
      </c>
    </row>
    <row r="6" spans="2:17" ht="15.75" thickBot="1" x14ac:dyDescent="0.3">
      <c r="B6" s="134">
        <v>850</v>
      </c>
      <c r="C6" s="134">
        <v>1085</v>
      </c>
      <c r="D6" s="135"/>
      <c r="E6" s="134">
        <f t="shared" si="0"/>
        <v>235</v>
      </c>
      <c r="F6" s="136">
        <f t="shared" si="1"/>
        <v>0.21658986175115208</v>
      </c>
      <c r="G6" s="4"/>
      <c r="H6" s="119" t="s">
        <v>606</v>
      </c>
      <c r="I6" s="120" t="s">
        <v>607</v>
      </c>
      <c r="J6" s="121"/>
      <c r="K6" s="121"/>
      <c r="L6" s="121"/>
      <c r="M6" s="121"/>
      <c r="N6" s="121"/>
      <c r="O6" s="122">
        <f>(N4+N5)*O1</f>
        <v>1750</v>
      </c>
      <c r="P6" s="122"/>
      <c r="Q6" s="123">
        <f>J6*L6+O6+P6</f>
        <v>1750</v>
      </c>
    </row>
    <row r="7" spans="2:17" x14ac:dyDescent="0.25">
      <c r="B7" s="128">
        <v>800</v>
      </c>
      <c r="C7" s="128">
        <v>1020</v>
      </c>
      <c r="D7" s="129"/>
      <c r="E7" s="128">
        <f t="shared" si="0"/>
        <v>220</v>
      </c>
      <c r="F7" s="130">
        <f t="shared" si="1"/>
        <v>0.21568627450980393</v>
      </c>
      <c r="G7" s="4"/>
      <c r="H7" s="4"/>
      <c r="I7" s="4"/>
      <c r="J7" s="4"/>
      <c r="K7" s="4"/>
      <c r="L7" s="4"/>
      <c r="M7" s="4"/>
      <c r="N7" s="4"/>
    </row>
    <row r="8" spans="2:17" x14ac:dyDescent="0.25">
      <c r="B8" s="128">
        <v>750</v>
      </c>
      <c r="C8" s="128">
        <v>970</v>
      </c>
      <c r="D8" s="129"/>
      <c r="E8" s="128">
        <f t="shared" si="0"/>
        <v>220</v>
      </c>
      <c r="F8" s="130">
        <f t="shared" si="1"/>
        <v>0.22680412371134021</v>
      </c>
      <c r="G8" s="4"/>
      <c r="H8" s="4"/>
      <c r="I8" s="4"/>
      <c r="J8" s="4"/>
      <c r="K8" s="4"/>
      <c r="L8" s="4"/>
      <c r="M8" s="4"/>
      <c r="N8" s="4"/>
    </row>
    <row r="9" spans="2:17" x14ac:dyDescent="0.25">
      <c r="B9" s="128">
        <v>700</v>
      </c>
      <c r="C9" s="128">
        <v>920</v>
      </c>
      <c r="D9" s="129"/>
      <c r="E9" s="128">
        <f t="shared" si="0"/>
        <v>220</v>
      </c>
      <c r="F9" s="130">
        <f t="shared" si="1"/>
        <v>0.2391304347826087</v>
      </c>
      <c r="G9" s="4"/>
      <c r="H9" s="100"/>
      <c r="I9" s="100"/>
      <c r="J9" s="4"/>
      <c r="K9" s="4"/>
      <c r="L9" s="4"/>
      <c r="M9" s="4"/>
      <c r="N9" s="124"/>
      <c r="O9" s="4"/>
      <c r="P9" s="4"/>
      <c r="Q9" s="4"/>
    </row>
    <row r="10" spans="2:17" x14ac:dyDescent="0.25">
      <c r="B10" s="128">
        <v>650</v>
      </c>
      <c r="C10" s="128">
        <v>870</v>
      </c>
      <c r="D10" s="129"/>
      <c r="E10" s="128">
        <f t="shared" si="0"/>
        <v>220</v>
      </c>
      <c r="F10" s="130">
        <f t="shared" si="1"/>
        <v>0.25287356321839083</v>
      </c>
      <c r="G10" s="4"/>
      <c r="H10" s="4"/>
      <c r="I10" s="4"/>
      <c r="J10" s="4"/>
      <c r="K10" s="4"/>
      <c r="L10" s="4"/>
      <c r="M10" s="4"/>
      <c r="N10" s="124"/>
    </row>
    <row r="11" spans="2:17" x14ac:dyDescent="0.25">
      <c r="B11" s="131">
        <v>600</v>
      </c>
      <c r="C11" s="131">
        <v>800</v>
      </c>
      <c r="D11" s="132"/>
      <c r="E11" s="131">
        <f t="shared" si="0"/>
        <v>200</v>
      </c>
      <c r="F11" s="133">
        <f t="shared" si="1"/>
        <v>0.25</v>
      </c>
      <c r="G11" s="4"/>
      <c r="H11" s="4"/>
      <c r="I11" s="4"/>
      <c r="J11" s="4"/>
      <c r="K11" s="4"/>
      <c r="L11" s="4"/>
      <c r="M11" s="4"/>
      <c r="N11" s="4"/>
    </row>
    <row r="12" spans="2:17" x14ac:dyDescent="0.25">
      <c r="B12" s="131">
        <v>550</v>
      </c>
      <c r="C12" s="131">
        <v>750</v>
      </c>
      <c r="D12" s="132"/>
      <c r="E12" s="131">
        <f t="shared" si="0"/>
        <v>200</v>
      </c>
      <c r="F12" s="133">
        <f t="shared" si="1"/>
        <v>0.26666666666666666</v>
      </c>
      <c r="G12" s="4"/>
      <c r="H12" s="4"/>
      <c r="I12" s="4"/>
      <c r="J12" s="4"/>
      <c r="K12" s="4"/>
      <c r="L12" s="4"/>
      <c r="M12" s="4"/>
      <c r="N12" s="4"/>
    </row>
    <row r="13" spans="2:17" x14ac:dyDescent="0.25">
      <c r="B13" s="131">
        <v>500</v>
      </c>
      <c r="C13" s="131">
        <v>700</v>
      </c>
      <c r="D13" s="132"/>
      <c r="E13" s="131">
        <f t="shared" si="0"/>
        <v>200</v>
      </c>
      <c r="F13" s="133">
        <f t="shared" si="1"/>
        <v>0.2857142857142857</v>
      </c>
      <c r="G13" s="4"/>
      <c r="H13" s="4"/>
      <c r="I13" s="4"/>
      <c r="J13" s="4"/>
      <c r="K13" s="4"/>
      <c r="L13" s="4"/>
      <c r="M13" s="4"/>
      <c r="N13" s="4"/>
    </row>
    <row r="14" spans="2:17" x14ac:dyDescent="0.25">
      <c r="B14" s="131">
        <v>450</v>
      </c>
      <c r="C14" s="131">
        <v>650</v>
      </c>
      <c r="D14" s="132"/>
      <c r="E14" s="131">
        <f t="shared" si="0"/>
        <v>200</v>
      </c>
      <c r="F14" s="133">
        <f t="shared" si="1"/>
        <v>0.30769230769230771</v>
      </c>
      <c r="G14" s="4"/>
      <c r="H14" s="4"/>
      <c r="I14" s="4"/>
      <c r="J14" s="4"/>
      <c r="K14" s="4"/>
      <c r="L14" s="4"/>
      <c r="M14" s="4"/>
      <c r="N14" s="4"/>
    </row>
    <row r="15" spans="2:17" x14ac:dyDescent="0.25">
      <c r="B15" s="131">
        <v>400</v>
      </c>
      <c r="C15" s="131">
        <v>600</v>
      </c>
      <c r="D15" s="132"/>
      <c r="E15" s="131">
        <f t="shared" si="0"/>
        <v>200</v>
      </c>
      <c r="F15" s="133">
        <f t="shared" si="1"/>
        <v>0.33333333333333331</v>
      </c>
      <c r="G15" s="4"/>
      <c r="H15" s="4"/>
      <c r="I15" s="4"/>
      <c r="J15" s="4"/>
      <c r="K15" s="4"/>
      <c r="L15" s="4"/>
      <c r="M15" s="4"/>
      <c r="N1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Meetstaat</vt:lpstr>
      <vt:lpstr>Factuurtemplate</vt:lpstr>
      <vt:lpstr>FactuurDetailTemp</vt:lpstr>
      <vt:lpstr>Factuurrvb</vt:lpstr>
      <vt:lpstr>Revenue</vt:lpstr>
      <vt:lpstr>BI</vt:lpstr>
      <vt:lpstr>Tarievensheet</vt:lpstr>
      <vt:lpstr>Projectsheet</vt:lpstr>
      <vt:lpstr>Contactsheet</vt:lpstr>
      <vt:lpstr>Datasheet</vt:lpstr>
      <vt:lpstr>Voortgang </vt:lpstr>
      <vt:lpstr>Berekening Bruto marge </vt:lpstr>
      <vt:lpstr>LijstBedrijven</vt:lpstr>
      <vt:lpstr>ListStatus</vt:lpstr>
      <vt:lpstr>Factuurrvb!Print_Area</vt:lpstr>
      <vt:lpstr>Factuurtemplate!Print_Area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Zeger Vander Eyken</dc:creator>
  <cp:lastModifiedBy>Zeger Vander Eyken</cp:lastModifiedBy>
  <cp:lastPrinted>2018-12-02T12:26:19Z</cp:lastPrinted>
  <dcterms:created xsi:type="dcterms:W3CDTF">2018-08-21T17:29:03Z</dcterms:created>
  <dcterms:modified xsi:type="dcterms:W3CDTF">2018-12-16T20:19:25Z</dcterms:modified>
</cp:coreProperties>
</file>